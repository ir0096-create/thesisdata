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e Values" sheetId="1" r:id="rId5"/>
    <sheet state="visible" name="Matcha Values" sheetId="2" r:id="rId6"/>
    <sheet state="visible" name="Recipes" sheetId="3" r:id="rId7"/>
    <sheet state="visible" name="Abbreviations" sheetId="4" r:id="rId8"/>
  </sheets>
  <definedNames/>
  <calcPr/>
</workbook>
</file>

<file path=xl/sharedStrings.xml><?xml version="1.0" encoding="utf-8"?>
<sst xmlns="http://schemas.openxmlformats.org/spreadsheetml/2006/main" count="204" uniqueCount="136">
  <si>
    <t>SimaPro process</t>
  </si>
  <si>
    <t>Original Amount</t>
  </si>
  <si>
    <t>Adjusted Unit</t>
  </si>
  <si>
    <t>Unit</t>
  </si>
  <si>
    <t>Reasoning</t>
  </si>
  <si>
    <t>Sources</t>
  </si>
  <si>
    <t>Coffee Cup – Tokyo</t>
  </si>
  <si>
    <t>piece</t>
  </si>
  <si>
    <t>Functional unit is 1 served cup of a pourover coffee</t>
  </si>
  <si>
    <t>Assumption for all measurements</t>
  </si>
  <si>
    <t>Output</t>
  </si>
  <si>
    <t>Materials / fuels</t>
  </si>
  <si>
    <t>Coffee, green bean GLO</t>
  </si>
  <si>
    <t>g</t>
  </si>
  <si>
    <t>Account for 15% weight lost in roasting process</t>
  </si>
  <si>
    <t>https://hoos.coffee/blog/why-take-weight-loss-percentage</t>
  </si>
  <si>
    <t>Tap water RoW (wet processing)</t>
  </si>
  <si>
    <t>kg</t>
  </si>
  <si>
    <t>According to literature, Fresh cherry to clean coffee conversion ratio outturn was 17.23 and 15.00% in Dessu (washed and unwashed) and Me’oftu (unwashed) respectively; therefore estimate used was 16%... Next, The typical amount of water required by coffee plants per kilogram of coffee cherries is 2,500 liters. To make sure equation is in the same units, convert grams to kg</t>
  </si>
  <si>
    <t>https://cipsem.wordpress.com/2023/12/01/the-hidden-cost-how-many-liters-of-water-are-needed-to-produce-a-cup-of-coffee/</t>
  </si>
  <si>
    <t>SualehandDawid.pdf</t>
  </si>
  <si>
    <t>Nitrogen fertiliser as N GLO</t>
  </si>
  <si>
    <t>In East Africa, you need 1 kg of Nitrogen to be able to grow 10 kg of coffee berries.</t>
  </si>
  <si>
    <t>https://www.nutricarefertilisers.com/purposes/coffee/</t>
  </si>
  <si>
    <t>Pesticide unspecified RoW</t>
  </si>
  <si>
    <t>Looking at Japan, the max is 50, so given that a couple exceeded, we will utilize that</t>
  </si>
  <si>
    <t>Microsoft Word - 7_BMR-minor Fix-sz 444-7172-3 FCE Harmoko (FINAL).docx</t>
  </si>
  <si>
    <t>Fibre jute GLO (export burlap bag)</t>
  </si>
  <si>
    <t>One bag holds 70kg of green coffee beans</t>
  </si>
  <si>
    <t>https://joecoffeecompany.com/products/jute-coffee-bag</t>
  </si>
  <si>
    <t>Kraft paper RoW (retail bag)</t>
  </si>
  <si>
    <t>One bag holds 150g</t>
  </si>
  <si>
    <t>Rounded average from spreadsheet</t>
  </si>
  <si>
    <t>Single use paper cup</t>
  </si>
  <si>
    <t>350mL is about 12 oz - converted a case of 50 from lbs to kg</t>
  </si>
  <si>
    <t>https://www.gppro.com/gp/gppro/p/5342W</t>
  </si>
  <si>
    <t>Containerboard unspecified (sleeve)</t>
  </si>
  <si>
    <t>specs for 12oz</t>
  </si>
  <si>
    <t>https://wpackaging.net/products/coffee-cup-sleeves/#:~:text=Kraft/Kraft%20Coffee%20Sleeves%20(Fit%2012%2D20%20oz%20Cups),of%20the%20custom%20coffee%20sleeves%20we%20make</t>
  </si>
  <si>
    <t>Polyethylene LDPE RoW (lid)</t>
  </si>
  <si>
    <t>https://biodegradablecateringsupplies.com.au/product/cpla-90mm-lid-1000-lids/#:~:text=A%20CPLA%20coffee%20cup%20lid%20weighs%203.8,*%20**Calibre**%2090mm%20*%20**Weight**%203.8%20grams</t>
  </si>
  <si>
    <t>Tap water RoW (brewing)</t>
  </si>
  <si>
    <t>Direct from recipe</t>
  </si>
  <si>
    <t>Transport freight aircraft long haul GLO</t>
  </si>
  <si>
    <t>tkm</t>
  </si>
  <si>
    <t>Convert g --&gt; tonnes, distance = 10400 km</t>
  </si>
  <si>
    <t>Transport freight lorry 16-32t RoW (farm→airport)</t>
  </si>
  <si>
    <t>Convert g --&gt; tonnes, distance = ~50 km assumed from farm/port to airport</t>
  </si>
  <si>
    <t>Transport freight lorry 3.5-7.5t JP (roaster→café)</t>
  </si>
  <si>
    <t>Convert g --&gt; tonnes, distance = ~20 km assumed for intra-Tokyo delivery</t>
  </si>
  <si>
    <t>Diesel, agricultural machinery GLO</t>
  </si>
  <si>
    <t>kWh</t>
  </si>
  <si>
    <t xml:space="preserve">From Table A4 — the energy conversion factor for gasoline is 34.2 MJ/L, From Table 2 — 1 ton of cherry beans yields 150 kg of green coffee beans
</t>
  </si>
  <si>
    <t>Coffee Pulp Biomass Utilization on Coffee Production and Its Impact on Energy Saving, CO2 Emission Reduction, and Economic Value Added to Promote Green Lean Practice in Agriculture Production</t>
  </si>
  <si>
    <t>Electricity / heat</t>
  </si>
  <si>
    <t>Heat natural gas industrial furnace RoW (roasting)</t>
  </si>
  <si>
    <t>Assumes 5kg batch size, let's use medium roast = 1.75 kWh</t>
  </si>
  <si>
    <t>https://www.mdpi.com/1996-1073/18/5/1018</t>
  </si>
  <si>
    <t>Heat small scale natural gas RoW (hot water for pour over)</t>
  </si>
  <si>
    <t xml:space="preserve">Assumes initial temp at 20C and final temp at 93 C </t>
  </si>
  <si>
    <t>https://www.omnicalculator.com/physics/water-heating</t>
  </si>
  <si>
    <t>Waste treatment</t>
  </si>
  <si>
    <t>Kitchen and garden waste composting (grounds)</t>
  </si>
  <si>
    <t>Spent grounds ≈ dry dose weight = 21 g.</t>
  </si>
  <si>
    <t>Municipal solid waste incineration RoW</t>
  </si>
  <si>
    <t>Mass balance = cup and sleeve</t>
  </si>
  <si>
    <t>Waste polyethylene for recycling</t>
  </si>
  <si>
    <t>Mass balance =  lid input</t>
  </si>
  <si>
    <t xml:space="preserve">Matcha Latte – Tokyo </t>
  </si>
  <si>
    <t>Functional unit is 1 served cup of a matcha latte</t>
  </si>
  <si>
    <t>Tea dried GLO market for tea dried</t>
  </si>
  <si>
    <t>When Matcha powder is made at a factory, the final powder product they get is only about one fifth or sixth of the original leaf weight.</t>
  </si>
  <si>
    <t>https://www.japanesegreenteain.com/blogs/green-tea-and-health/the-process-behind-your-cup-of-matcha</t>
  </si>
  <si>
    <t>90 kg Nitrogen for 6000 kg tea leaves</t>
  </si>
  <si>
    <t>https://library.ihbt.res.in/Institute%20Brochures/Fertilizer%20Management%20in%20tea.pdf</t>
  </si>
  <si>
    <t>Polyethylene LDPE RoW (shade cloth)</t>
  </si>
  <si>
    <t>Estimated area of coverage</t>
  </si>
  <si>
    <t>https://www.amazon.com/Shatex-Fabric-Grommets-Pergola-Canopy/dp/B00YOSD3HQ?th=1</t>
  </si>
  <si>
    <t>Tin RoW tin production (tin container)</t>
  </si>
  <si>
    <t>150 g tin container allocated to 4 g matcha dose, tin itself weights 110</t>
  </si>
  <si>
    <t>https://ujichamatcha.com/products/ogurayama-yamamasa-koyamaen?variant=41814836969546</t>
  </si>
  <si>
    <t>https://www.uptontea.com/tea-tins-and-bags/brushed-steel-tin-150g/p/V00477/?srsltid=AfmBOoph0OK7jvc84U1pPrK6gSIa1NHvJhsF5KdAORvzHMBEvxumLgT0Ghw</t>
  </si>
  <si>
    <t>Silica sand (desiccant sachet)</t>
  </si>
  <si>
    <t>silica gel desiccant sachet inside tin</t>
  </si>
  <si>
    <t>https://www.vestil.com/product.php?FID=434</t>
  </si>
  <si>
    <t>Milk production from cow RoW</t>
  </si>
  <si>
    <t>1mL = 1.04 g</t>
  </si>
  <si>
    <t>https://www.thecalculatorsite.com/cooking/ml-grams.php</t>
  </si>
  <si>
    <t>Tap water RoW (latte water content)</t>
  </si>
  <si>
    <t>Recipe</t>
  </si>
  <si>
    <t>Bamboo pole (chasen whisk proxy)</t>
  </si>
  <si>
    <t>Proxy Bamboo pole used as proxy for bamboo chasen whisk, est 200 uses per whisk</t>
  </si>
  <si>
    <t>https://wildernesspoets.com/products/bamboo-whisk-chasen?variant=31474914721858</t>
  </si>
  <si>
    <t>Beverage carton 1 L for fresh milk</t>
  </si>
  <si>
    <t>Estimated share of carton allocated to milk</t>
  </si>
  <si>
    <t>https://www.nea.gov.sg/docs/default-source/our-services/packaging-benchmarks-(fresh-milk).pdf</t>
  </si>
  <si>
    <t>Same as coffee</t>
  </si>
  <si>
    <t>Transport freight lorry 3.5-7.5t RoW (Uji→Tokyo)</t>
  </si>
  <si>
    <t>Convert 4 g --&gt; tonnes, distance = 500 km from Uji to Tokyo</t>
  </si>
  <si>
    <t>Electricity medium voltage JP (steaming)</t>
  </si>
  <si>
    <t xml:space="preserve">Assumes initial temp at 20C and final temp at 65 C </t>
  </si>
  <si>
    <t>https://teaepicure.com/tea-leaves-oxidation/#:~:text=Control%20of%20Oxidation,Most%20common%20fixing%20methods</t>
  </si>
  <si>
    <t>Heat small scale natural gas RoW (drying)</t>
  </si>
  <si>
    <t>Assuming 5 kWh given range</t>
  </si>
  <si>
    <t>https://www.sciencedirect.com/science/article/abs/pii/S1359431123001473#:~:text=Processing%20of%20the%20tea%20leaves,4%5D%2C%20%5B6%5D.</t>
  </si>
  <si>
    <t>Electricity medium voltage JP (stone grinding)</t>
  </si>
  <si>
    <t>Assuming Granite Stone Mill power: 2.2 kW, Capacity: 10 kg/h</t>
  </si>
  <si>
    <t>https://www.delijx.com/new/The-Ultimate-Guide-to-Matcha-Production-Processes-3-Key-Machines-Compared.html</t>
  </si>
  <si>
    <t>Heat small scale natural gas RoW (whisking water)</t>
  </si>
  <si>
    <t xml:space="preserve">Assumes initial temp at 20C and final temp at 80 C </t>
  </si>
  <si>
    <t>Electricity medium voltage JP (steam wand)</t>
  </si>
  <si>
    <t>Estimated Steam wand steaming 286 mL milk. ~1400W wand for ~60s. 1.4 kW × 60s ÷ 3600 = ~0.023 kWh, rounded to 0.025 kWh. JP grid reflects use in Tokyo coffee shop.</t>
  </si>
  <si>
    <t>Tinplate scrap sorted RoW</t>
  </si>
  <si>
    <t>Mass balance:  tin input, recycling</t>
  </si>
  <si>
    <t>Waste paperboard sorted RoW (milk carton)</t>
  </si>
  <si>
    <t>Mass balance = carton input</t>
  </si>
  <si>
    <t>Kitchen and garden waste composting (whisk)</t>
  </si>
  <si>
    <t>Mass balance = bamboo input</t>
  </si>
  <si>
    <t>Product</t>
  </si>
  <si>
    <t>Quantity</t>
  </si>
  <si>
    <t>Pourover Coffee (350 mL)</t>
  </si>
  <si>
    <t>Coffee Grounds</t>
  </si>
  <si>
    <t>Water</t>
  </si>
  <si>
    <t>g or mL</t>
  </si>
  <si>
    <t>Matcha (350 mL)</t>
  </si>
  <si>
    <t>Matcha Powder</t>
  </si>
  <si>
    <t>mL</t>
  </si>
  <si>
    <t>Fresh Dairy Milk</t>
  </si>
  <si>
    <t>Abbreviation</t>
  </si>
  <si>
    <t>Meaning</t>
  </si>
  <si>
    <t>GLO</t>
  </si>
  <si>
    <t>Global</t>
  </si>
  <si>
    <t>RoW</t>
  </si>
  <si>
    <t>Rest of World</t>
  </si>
  <si>
    <t>JP</t>
  </si>
  <si>
    <t>Japan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</si>
</sst>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3.0"/>
      <color theme="1"/>
      <name val="&quot;Noto Serif&quot;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dpi.com/1996-1073/18/5/1018" TargetMode="External"/><Relationship Id="rId10" Type="http://schemas.openxmlformats.org/officeDocument/2006/relationships/hyperlink" Target="https://drive.google.com/file/d/1qebbZw72nYp55DFHQREQLAv-BqBA85vl/view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omnicalculator.com/physics/water-heating" TargetMode="External"/><Relationship Id="rId1" Type="http://schemas.openxmlformats.org/officeDocument/2006/relationships/hyperlink" Target="https://hoos.coffee/blog/why-take-weight-loss-percentage" TargetMode="External"/><Relationship Id="rId2" Type="http://schemas.openxmlformats.org/officeDocument/2006/relationships/hyperlink" Target="https://cipsem.wordpress.com/2023/12/01/the-hidden-cost-how-many-liters-of-water-are-needed-to-produce-a-cup-of-coffee/" TargetMode="External"/><Relationship Id="rId3" Type="http://schemas.openxmlformats.org/officeDocument/2006/relationships/hyperlink" Target="https://drive.google.com/file/d/1D49FvL3CdeH19XLty82x3zT06J2sAy-l/view" TargetMode="External"/><Relationship Id="rId4" Type="http://schemas.openxmlformats.org/officeDocument/2006/relationships/hyperlink" Target="https://www.nutricarefertilisers.com/purposes/coffee/" TargetMode="External"/><Relationship Id="rId9" Type="http://schemas.openxmlformats.org/officeDocument/2006/relationships/hyperlink" Target="https://biodegradablecateringsupplies.com.au/product/cpla-90mm-lid-1000-lids/" TargetMode="External"/><Relationship Id="rId5" Type="http://schemas.openxmlformats.org/officeDocument/2006/relationships/hyperlink" Target="https://drive.google.com/file/d/1cq819-HhMBRE-VMdXC7DmgdFYxOK2Bik/view" TargetMode="External"/><Relationship Id="rId6" Type="http://schemas.openxmlformats.org/officeDocument/2006/relationships/hyperlink" Target="https://joecoffeecompany.com/products/jute-coffee-bag" TargetMode="External"/><Relationship Id="rId7" Type="http://schemas.openxmlformats.org/officeDocument/2006/relationships/hyperlink" Target="https://www.gppro.com/gp/gppro/p/5342W" TargetMode="External"/><Relationship Id="rId8" Type="http://schemas.openxmlformats.org/officeDocument/2006/relationships/hyperlink" Target="https://wpackaging.net/products/coffee-cup-sleeves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teaepicure.com/tea-leaves-oxidation/" TargetMode="External"/><Relationship Id="rId10" Type="http://schemas.openxmlformats.org/officeDocument/2006/relationships/hyperlink" Target="https://www.omnicalculator.com/physics/water-heating" TargetMode="External"/><Relationship Id="rId13" Type="http://schemas.openxmlformats.org/officeDocument/2006/relationships/hyperlink" Target="https://www.delijx.com/new/The-Ultimate-Guide-to-Matcha-Production-Processes-3-Key-Machines-Compared.html" TargetMode="External"/><Relationship Id="rId12" Type="http://schemas.openxmlformats.org/officeDocument/2006/relationships/hyperlink" Target="https://www.sciencedirect.com/science/article/abs/pii/S1359431123001473" TargetMode="External"/><Relationship Id="rId1" Type="http://schemas.openxmlformats.org/officeDocument/2006/relationships/hyperlink" Target="https://www.japanesegreenteain.com/blogs/green-tea-and-health/the-process-behind-your-cup-of-matcha" TargetMode="External"/><Relationship Id="rId2" Type="http://schemas.openxmlformats.org/officeDocument/2006/relationships/hyperlink" Target="https://library.ihbt.res.in/Institute%20Brochures/Fertilizer%20Management%20in%20tea.pdf" TargetMode="External"/><Relationship Id="rId3" Type="http://schemas.openxmlformats.org/officeDocument/2006/relationships/hyperlink" Target="https://www.amazon.com/Shatex-Fabric-Grommets-Pergola-Canopy/dp/B00YOSD3HQ?th=1" TargetMode="External"/><Relationship Id="rId4" Type="http://schemas.openxmlformats.org/officeDocument/2006/relationships/hyperlink" Target="https://ujichamatcha.com/products/ogurayama-yamamasa-koyamaen?variant=41814836969546" TargetMode="External"/><Relationship Id="rId9" Type="http://schemas.openxmlformats.org/officeDocument/2006/relationships/hyperlink" Target="https://www.nea.gov.sg/docs/default-source/our-services/packaging-benchmarks-(fresh-milk).pdf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omnicalculator.com/physics/water-heating" TargetMode="External"/><Relationship Id="rId5" Type="http://schemas.openxmlformats.org/officeDocument/2006/relationships/hyperlink" Target="https://www.uptontea.com/tea-tins-and-bags/brushed-steel-tin-150g/p/V00477/?srsltid=AfmBOoph0OK7jvc84U1pPrK6gSIa1NHvJhsF5KdAORvzHMBEvxumLgT0Ghw" TargetMode="External"/><Relationship Id="rId6" Type="http://schemas.openxmlformats.org/officeDocument/2006/relationships/hyperlink" Target="https://www.vestil.com/product.php?FID=434" TargetMode="External"/><Relationship Id="rId7" Type="http://schemas.openxmlformats.org/officeDocument/2006/relationships/hyperlink" Target="https://www.thecalculatorsite.com/cooking/ml-grams.php" TargetMode="External"/><Relationship Id="rId8" Type="http://schemas.openxmlformats.org/officeDocument/2006/relationships/hyperlink" Target="https://wildernesspoets.com/products/bamboo-whisk-chasen?variant=3147491472185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/>
      <c r="C2" s="2">
        <v>1.0</v>
      </c>
      <c r="D2" s="2" t="s">
        <v>7</v>
      </c>
      <c r="E2" s="2" t="s">
        <v>8</v>
      </c>
      <c r="F2" s="2" t="s">
        <v>9</v>
      </c>
    </row>
    <row r="3">
      <c r="A3" s="1" t="s">
        <v>10</v>
      </c>
      <c r="F3" s="1"/>
    </row>
    <row r="4">
      <c r="A4" s="1" t="s">
        <v>11</v>
      </c>
      <c r="F4" s="1"/>
    </row>
    <row r="5">
      <c r="A5" s="2" t="s">
        <v>12</v>
      </c>
      <c r="B5" s="3">
        <f>Recipes!B3</f>
        <v>21</v>
      </c>
      <c r="C5" s="3">
        <f>B5*1.15</f>
        <v>24.15</v>
      </c>
      <c r="D5" s="2" t="s">
        <v>13</v>
      </c>
      <c r="E5" s="2" t="s">
        <v>14</v>
      </c>
      <c r="F5" s="4" t="s">
        <v>15</v>
      </c>
    </row>
    <row r="6" ht="15.75" customHeight="1">
      <c r="A6" s="2" t="s">
        <v>16</v>
      </c>
      <c r="B6" s="2">
        <v>2500.0</v>
      </c>
      <c r="C6" s="3">
        <f>((C5/1000)/0.16)*B6</f>
        <v>377.34375</v>
      </c>
      <c r="D6" s="2" t="s">
        <v>17</v>
      </c>
      <c r="E6" s="2" t="s">
        <v>18</v>
      </c>
      <c r="F6" s="5" t="s">
        <v>19</v>
      </c>
      <c r="G6" s="6" t="s">
        <v>20</v>
      </c>
    </row>
    <row r="7">
      <c r="A7" s="2" t="s">
        <v>21</v>
      </c>
      <c r="B7" s="2">
        <v>1.0</v>
      </c>
      <c r="C7" s="3">
        <f>((C5/0.16)/10)*B7</f>
        <v>15.09375</v>
      </c>
      <c r="D7" s="2" t="s">
        <v>13</v>
      </c>
      <c r="E7" s="2" t="s">
        <v>22</v>
      </c>
      <c r="F7" s="4" t="s">
        <v>23</v>
      </c>
    </row>
    <row r="8">
      <c r="A8" s="2" t="s">
        <v>24</v>
      </c>
      <c r="B8" s="2">
        <f>50/1000000</f>
        <v>0.00005</v>
      </c>
      <c r="C8" s="3">
        <f>B8/1000*C5</f>
        <v>0.0000012075</v>
      </c>
      <c r="D8" s="2" t="s">
        <v>13</v>
      </c>
      <c r="E8" s="2" t="s">
        <v>25</v>
      </c>
      <c r="F8" s="7" t="s">
        <v>26</v>
      </c>
    </row>
    <row r="9">
      <c r="A9" s="2" t="s">
        <v>27</v>
      </c>
      <c r="B9" s="2">
        <f>70*1000</f>
        <v>70000</v>
      </c>
      <c r="C9" s="3">
        <f>C5/B9</f>
        <v>0.000345</v>
      </c>
      <c r="D9" s="2" t="s">
        <v>13</v>
      </c>
      <c r="E9" s="2" t="s">
        <v>28</v>
      </c>
      <c r="F9" s="4" t="s">
        <v>29</v>
      </c>
    </row>
    <row r="10">
      <c r="A10" s="2" t="s">
        <v>30</v>
      </c>
      <c r="B10" s="2">
        <v>150.0</v>
      </c>
      <c r="C10" s="3">
        <f>B5/B10</f>
        <v>0.14</v>
      </c>
      <c r="D10" s="2" t="s">
        <v>13</v>
      </c>
      <c r="E10" s="2" t="s">
        <v>31</v>
      </c>
      <c r="F10" s="2" t="s">
        <v>32</v>
      </c>
    </row>
    <row r="11">
      <c r="A11" s="2" t="s">
        <v>33</v>
      </c>
      <c r="B11" s="2">
        <f>504.39472/50</f>
        <v>10.0878944</v>
      </c>
      <c r="C11" s="3">
        <f>1*B11</f>
        <v>10.0878944</v>
      </c>
      <c r="D11" s="2" t="s">
        <v>13</v>
      </c>
      <c r="E11" s="2" t="s">
        <v>34</v>
      </c>
      <c r="F11" s="4" t="s">
        <v>35</v>
      </c>
    </row>
    <row r="12">
      <c r="A12" s="2" t="s">
        <v>36</v>
      </c>
      <c r="B12" s="2">
        <v>3.6</v>
      </c>
      <c r="C12" s="3">
        <f t="shared" ref="C12:C17" si="1">B12</f>
        <v>3.6</v>
      </c>
      <c r="D12" s="2" t="s">
        <v>13</v>
      </c>
      <c r="E12" s="2" t="s">
        <v>37</v>
      </c>
      <c r="F12" s="4" t="s">
        <v>38</v>
      </c>
    </row>
    <row r="13">
      <c r="A13" s="2" t="s">
        <v>39</v>
      </c>
      <c r="B13" s="2">
        <v>3.8</v>
      </c>
      <c r="C13" s="3">
        <f t="shared" si="1"/>
        <v>3.8</v>
      </c>
      <c r="D13" s="2" t="s">
        <v>13</v>
      </c>
      <c r="E13" s="2" t="s">
        <v>37</v>
      </c>
      <c r="F13" s="4" t="s">
        <v>40</v>
      </c>
    </row>
    <row r="14">
      <c r="A14" s="2" t="s">
        <v>41</v>
      </c>
      <c r="B14" s="2">
        <f>Recipes!B4</f>
        <v>350</v>
      </c>
      <c r="C14" s="3">
        <f t="shared" si="1"/>
        <v>350</v>
      </c>
      <c r="D14" s="2" t="s">
        <v>13</v>
      </c>
      <c r="E14" s="2" t="s">
        <v>42</v>
      </c>
      <c r="F14" s="2"/>
    </row>
    <row r="15">
      <c r="A15" s="2" t="s">
        <v>43</v>
      </c>
      <c r="B15" s="2">
        <f>10400*(C5/1000000)</f>
        <v>0.25116</v>
      </c>
      <c r="C15" s="2">
        <f t="shared" si="1"/>
        <v>0.25116</v>
      </c>
      <c r="D15" s="2" t="s">
        <v>44</v>
      </c>
      <c r="E15" s="2" t="s">
        <v>45</v>
      </c>
      <c r="F15" s="1"/>
    </row>
    <row r="16">
      <c r="A16" s="2" t="s">
        <v>46</v>
      </c>
      <c r="B16" s="2">
        <f>50*(C5/1000000)</f>
        <v>0.0012075</v>
      </c>
      <c r="C16" s="2">
        <f t="shared" si="1"/>
        <v>0.0012075</v>
      </c>
      <c r="D16" s="2" t="s">
        <v>44</v>
      </c>
      <c r="E16" s="2" t="s">
        <v>47</v>
      </c>
      <c r="F16" s="2"/>
    </row>
    <row r="17">
      <c r="A17" s="2" t="s">
        <v>48</v>
      </c>
      <c r="B17" s="2">
        <f>20*(C5/1000000)</f>
        <v>0.000483</v>
      </c>
      <c r="C17" s="2">
        <f t="shared" si="1"/>
        <v>0.000483</v>
      </c>
      <c r="D17" s="2" t="s">
        <v>44</v>
      </c>
      <c r="E17" s="2" t="s">
        <v>49</v>
      </c>
      <c r="F17" s="2"/>
    </row>
    <row r="18" ht="15.0" customHeight="1">
      <c r="A18" s="2" t="s">
        <v>50</v>
      </c>
      <c r="B18" s="2">
        <v>34.2</v>
      </c>
      <c r="C18" s="2">
        <f>C5/100000*9*B18/3.6/150</f>
        <v>0.000137655</v>
      </c>
      <c r="D18" s="2" t="s">
        <v>51</v>
      </c>
      <c r="E18" s="2" t="s">
        <v>52</v>
      </c>
      <c r="F18" s="7" t="s">
        <v>53</v>
      </c>
    </row>
    <row r="19">
      <c r="A19" s="1" t="s">
        <v>54</v>
      </c>
      <c r="F19" s="2"/>
    </row>
    <row r="20">
      <c r="A20" s="2" t="s">
        <v>55</v>
      </c>
      <c r="B20" s="2">
        <v>1.75</v>
      </c>
      <c r="C20" s="2">
        <f>B20*((C5/1000)/5)</f>
        <v>0.0084525</v>
      </c>
      <c r="D20" s="2" t="s">
        <v>51</v>
      </c>
      <c r="E20" s="2" t="s">
        <v>56</v>
      </c>
      <c r="F20" s="4" t="s">
        <v>57</v>
      </c>
    </row>
    <row r="21">
      <c r="A21" s="2" t="s">
        <v>58</v>
      </c>
      <c r="B21" s="2">
        <f>C14</f>
        <v>350</v>
      </c>
      <c r="C21" s="2">
        <v>0.03</v>
      </c>
      <c r="D21" s="2" t="s">
        <v>51</v>
      </c>
      <c r="E21" s="2" t="s">
        <v>59</v>
      </c>
      <c r="F21" s="4" t="s">
        <v>60</v>
      </c>
    </row>
    <row r="22">
      <c r="A22" s="1" t="s">
        <v>61</v>
      </c>
      <c r="F22" s="2"/>
    </row>
    <row r="23">
      <c r="A23" s="2" t="s">
        <v>62</v>
      </c>
      <c r="B23" s="2">
        <f>B5</f>
        <v>21</v>
      </c>
      <c r="C23" s="2">
        <f>B23</f>
        <v>21</v>
      </c>
      <c r="D23" s="2" t="s">
        <v>13</v>
      </c>
      <c r="E23" s="2" t="s">
        <v>63</v>
      </c>
      <c r="F23" s="2"/>
    </row>
    <row r="24">
      <c r="A24" s="2" t="s">
        <v>64</v>
      </c>
      <c r="B24" s="2">
        <f t="shared" ref="B24:C24" si="2">B11+B13</f>
        <v>13.8878944</v>
      </c>
      <c r="C24" s="2">
        <f t="shared" si="2"/>
        <v>13.8878944</v>
      </c>
      <c r="D24" s="2" t="s">
        <v>13</v>
      </c>
      <c r="E24" s="2" t="s">
        <v>65</v>
      </c>
      <c r="F24" s="2"/>
    </row>
    <row r="25">
      <c r="A25" s="2" t="s">
        <v>66</v>
      </c>
      <c r="B25" s="2">
        <f t="shared" ref="B25:C25" si="3">B13</f>
        <v>3.8</v>
      </c>
      <c r="C25" s="2">
        <f t="shared" si="3"/>
        <v>3.8</v>
      </c>
      <c r="D25" s="2" t="s">
        <v>13</v>
      </c>
      <c r="E25" s="2" t="s">
        <v>67</v>
      </c>
      <c r="F25" s="2"/>
    </row>
    <row r="26">
      <c r="F26" s="2"/>
    </row>
  </sheetData>
  <mergeCells count="4">
    <mergeCell ref="A3:E3"/>
    <mergeCell ref="A4:E4"/>
    <mergeCell ref="A19:E19"/>
    <mergeCell ref="A22:E22"/>
  </mergeCells>
  <hyperlinks>
    <hyperlink r:id="rId1" ref="F5"/>
    <hyperlink r:id="rId2" ref="F6"/>
    <hyperlink r:id="rId3" ref="G6"/>
    <hyperlink r:id="rId4" ref="F7"/>
    <hyperlink r:id="rId5" ref="F8"/>
    <hyperlink r:id="rId6" ref="F9"/>
    <hyperlink r:id="rId7" ref="F11"/>
    <hyperlink r:id="rId8" location=":~:text=Kraft/Kraft%20Coffee%20Sleeves%20(Fit%2012%2D20%20oz%20Cups),of%20the%20custom%20coffee%20sleeves%20we%20make" ref="F12"/>
    <hyperlink r:id="rId9" location=":~:text=A%20CPLA%20coffee%20cup%20lid%20weighs%203.8,*%20**Calibre**%2090mm%20*%20**Weight**%203.8%20grams" ref="F13"/>
    <hyperlink r:id="rId10" ref="F18"/>
    <hyperlink r:id="rId11" ref="F20"/>
    <hyperlink r:id="rId12" ref="F21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68</v>
      </c>
      <c r="B2" s="2"/>
      <c r="C2" s="2">
        <v>1.0</v>
      </c>
      <c r="D2" s="2" t="s">
        <v>7</v>
      </c>
      <c r="E2" s="2" t="s">
        <v>69</v>
      </c>
      <c r="F2" s="2" t="s">
        <v>9</v>
      </c>
    </row>
    <row r="3">
      <c r="A3" s="1" t="s">
        <v>10</v>
      </c>
    </row>
    <row r="4">
      <c r="A4" s="1" t="s">
        <v>11</v>
      </c>
    </row>
    <row r="5">
      <c r="A5" s="2" t="s">
        <v>70</v>
      </c>
      <c r="B5" s="2">
        <v>5.0</v>
      </c>
      <c r="C5" s="2">
        <f>B5*Recipes!B7</f>
        <v>20</v>
      </c>
      <c r="D5" s="2" t="s">
        <v>13</v>
      </c>
      <c r="E5" s="2" t="s">
        <v>71</v>
      </c>
      <c r="F5" s="4" t="s">
        <v>72</v>
      </c>
    </row>
    <row r="6">
      <c r="A6" s="2" t="s">
        <v>21</v>
      </c>
      <c r="B6" s="2">
        <f>90000/6000000</f>
        <v>0.015</v>
      </c>
      <c r="C6" s="2">
        <f>B6*C5</f>
        <v>0.3</v>
      </c>
      <c r="D6" s="2" t="s">
        <v>13</v>
      </c>
      <c r="E6" s="2" t="s">
        <v>73</v>
      </c>
      <c r="F6" s="4" t="s">
        <v>74</v>
      </c>
    </row>
    <row r="7">
      <c r="A7" s="2" t="s">
        <v>75</v>
      </c>
      <c r="B7" s="2">
        <v>1161.196</v>
      </c>
      <c r="C7" s="2">
        <f>C5/B7</f>
        <v>0.01722362116</v>
      </c>
      <c r="D7" s="2" t="s">
        <v>13</v>
      </c>
      <c r="E7" s="2" t="s">
        <v>76</v>
      </c>
      <c r="F7" s="4" t="s">
        <v>77</v>
      </c>
    </row>
    <row r="8">
      <c r="A8" s="2" t="s">
        <v>78</v>
      </c>
      <c r="B8" s="2">
        <v>110.0</v>
      </c>
      <c r="C8" s="2">
        <f>Recipes!B7/B8</f>
        <v>0.03636363636</v>
      </c>
      <c r="D8" s="2" t="s">
        <v>13</v>
      </c>
      <c r="E8" s="2" t="s">
        <v>79</v>
      </c>
      <c r="F8" s="4" t="s">
        <v>80</v>
      </c>
      <c r="G8" s="4" t="s">
        <v>81</v>
      </c>
    </row>
    <row r="9">
      <c r="A9" s="2" t="s">
        <v>82</v>
      </c>
      <c r="B9" s="2">
        <v>2.0</v>
      </c>
      <c r="C9" s="2">
        <f>B9*(Recipes!B7*C8)</f>
        <v>0.2909090909</v>
      </c>
      <c r="D9" s="2" t="s">
        <v>13</v>
      </c>
      <c r="E9" s="2" t="s">
        <v>83</v>
      </c>
      <c r="F9" s="4" t="s">
        <v>84</v>
      </c>
    </row>
    <row r="10">
      <c r="A10" s="2" t="s">
        <v>85</v>
      </c>
      <c r="B10" s="2">
        <v>1.04</v>
      </c>
      <c r="C10" s="2">
        <f>B10*Recipes!B9</f>
        <v>244.4</v>
      </c>
      <c r="D10" s="2" t="s">
        <v>13</v>
      </c>
      <c r="E10" s="2" t="s">
        <v>86</v>
      </c>
      <c r="F10" s="4" t="s">
        <v>87</v>
      </c>
    </row>
    <row r="11">
      <c r="A11" s="2" t="s">
        <v>88</v>
      </c>
      <c r="B11" s="3">
        <f>Recipes!B8</f>
        <v>60</v>
      </c>
      <c r="C11" s="2">
        <f>B11</f>
        <v>60</v>
      </c>
      <c r="D11" s="2" t="s">
        <v>13</v>
      </c>
      <c r="E11" s="2" t="s">
        <v>89</v>
      </c>
    </row>
    <row r="12">
      <c r="A12" s="2" t="s">
        <v>90</v>
      </c>
      <c r="B12" s="2">
        <v>12.0</v>
      </c>
      <c r="C12" s="2">
        <f>B12/200</f>
        <v>0.06</v>
      </c>
      <c r="D12" s="2" t="s">
        <v>13</v>
      </c>
      <c r="E12" s="2" t="s">
        <v>91</v>
      </c>
      <c r="F12" s="5" t="s">
        <v>92</v>
      </c>
    </row>
    <row r="13">
      <c r="A13" s="2" t="s">
        <v>93</v>
      </c>
      <c r="B13" s="2">
        <v>33.0</v>
      </c>
      <c r="C13" s="2">
        <f>(C10/1040)*B13</f>
        <v>7.755</v>
      </c>
      <c r="D13" s="2" t="s">
        <v>13</v>
      </c>
      <c r="E13" s="2" t="s">
        <v>94</v>
      </c>
      <c r="F13" s="4" t="s">
        <v>95</v>
      </c>
    </row>
    <row r="14">
      <c r="A14" s="2" t="s">
        <v>33</v>
      </c>
      <c r="B14" s="3">
        <f>'Coffee Values'!B11</f>
        <v>10.0878944</v>
      </c>
      <c r="C14" s="2">
        <f t="shared" ref="C14:C17" si="1">B14</f>
        <v>10.0878944</v>
      </c>
      <c r="D14" s="2" t="s">
        <v>13</v>
      </c>
      <c r="E14" s="2" t="s">
        <v>96</v>
      </c>
    </row>
    <row r="15">
      <c r="A15" s="2" t="s">
        <v>36</v>
      </c>
      <c r="B15" s="3">
        <f>'Coffee Values'!B12</f>
        <v>3.6</v>
      </c>
      <c r="C15" s="2">
        <f t="shared" si="1"/>
        <v>3.6</v>
      </c>
      <c r="D15" s="2" t="s">
        <v>13</v>
      </c>
      <c r="E15" s="2" t="s">
        <v>96</v>
      </c>
    </row>
    <row r="16">
      <c r="A16" s="2" t="s">
        <v>39</v>
      </c>
      <c r="B16" s="3">
        <f>'Coffee Values'!B13</f>
        <v>3.8</v>
      </c>
      <c r="C16" s="2">
        <f t="shared" si="1"/>
        <v>3.8</v>
      </c>
      <c r="D16" s="2" t="s">
        <v>13</v>
      </c>
      <c r="E16" s="2" t="s">
        <v>96</v>
      </c>
    </row>
    <row r="17">
      <c r="A17" s="2" t="s">
        <v>97</v>
      </c>
      <c r="B17" s="3">
        <f>500*(4/1000000)</f>
        <v>0.002</v>
      </c>
      <c r="C17" s="2">
        <f t="shared" si="1"/>
        <v>0.002</v>
      </c>
      <c r="D17" s="2" t="s">
        <v>44</v>
      </c>
      <c r="E17" s="2" t="s">
        <v>98</v>
      </c>
    </row>
    <row r="18">
      <c r="A18" s="1" t="s">
        <v>54</v>
      </c>
    </row>
    <row r="19">
      <c r="A19" s="2" t="s">
        <v>99</v>
      </c>
      <c r="B19" s="2">
        <f>C5</f>
        <v>20</v>
      </c>
      <c r="C19" s="2">
        <v>0.0010475</v>
      </c>
      <c r="D19" s="2" t="s">
        <v>51</v>
      </c>
      <c r="E19" s="2" t="s">
        <v>100</v>
      </c>
      <c r="F19" s="4" t="s">
        <v>60</v>
      </c>
      <c r="G19" s="4" t="s">
        <v>101</v>
      </c>
    </row>
    <row r="20">
      <c r="A20" s="2" t="s">
        <v>102</v>
      </c>
      <c r="B20" s="2">
        <v>5.0</v>
      </c>
      <c r="C20" s="2">
        <f>B20*(C5/1000)</f>
        <v>0.1</v>
      </c>
      <c r="D20" s="2" t="s">
        <v>51</v>
      </c>
      <c r="E20" s="2" t="s">
        <v>103</v>
      </c>
      <c r="F20" s="4" t="s">
        <v>104</v>
      </c>
    </row>
    <row r="21">
      <c r="A21" s="2" t="s">
        <v>105</v>
      </c>
      <c r="B21" s="3">
        <f>2.2/10</f>
        <v>0.22</v>
      </c>
      <c r="C21" s="2">
        <f>B21*(C5/1000)</f>
        <v>0.0044</v>
      </c>
      <c r="D21" s="2" t="s">
        <v>51</v>
      </c>
      <c r="E21" s="2" t="s">
        <v>106</v>
      </c>
      <c r="F21" s="4" t="s">
        <v>107</v>
      </c>
    </row>
    <row r="22">
      <c r="A22" s="2" t="s">
        <v>108</v>
      </c>
      <c r="B22" s="3">
        <f>C11</f>
        <v>60</v>
      </c>
      <c r="C22" s="2">
        <v>0.00419</v>
      </c>
      <c r="D22" s="2" t="s">
        <v>51</v>
      </c>
      <c r="E22" s="2" t="s">
        <v>109</v>
      </c>
      <c r="F22" s="4" t="s">
        <v>60</v>
      </c>
    </row>
    <row r="23">
      <c r="A23" s="2" t="s">
        <v>110</v>
      </c>
      <c r="B23" s="2">
        <v>1.55</v>
      </c>
      <c r="C23" s="2">
        <f>B23*60/3600</f>
        <v>0.02583333333</v>
      </c>
      <c r="D23" s="2" t="s">
        <v>51</v>
      </c>
      <c r="E23" s="2" t="s">
        <v>111</v>
      </c>
    </row>
    <row r="24">
      <c r="A24" s="1" t="s">
        <v>61</v>
      </c>
    </row>
    <row r="25">
      <c r="A25" s="2" t="s">
        <v>112</v>
      </c>
      <c r="B25" s="3">
        <f>C8</f>
        <v>0.03636363636</v>
      </c>
      <c r="C25" s="2">
        <f>C8</f>
        <v>0.03636363636</v>
      </c>
      <c r="D25" s="2" t="s">
        <v>13</v>
      </c>
      <c r="E25" s="2" t="s">
        <v>113</v>
      </c>
    </row>
    <row r="26">
      <c r="A26" s="2" t="s">
        <v>114</v>
      </c>
      <c r="B26" s="3">
        <f>C13</f>
        <v>7.755</v>
      </c>
      <c r="C26" s="2">
        <f t="shared" ref="C26:C29" si="2">B26</f>
        <v>7.755</v>
      </c>
      <c r="D26" s="2" t="s">
        <v>13</v>
      </c>
      <c r="E26" s="2" t="s">
        <v>115</v>
      </c>
    </row>
    <row r="27">
      <c r="A27" s="2" t="s">
        <v>64</v>
      </c>
      <c r="B27" s="2">
        <f>B14+B16</f>
        <v>13.8878944</v>
      </c>
      <c r="C27" s="2">
        <f t="shared" si="2"/>
        <v>13.8878944</v>
      </c>
      <c r="D27" s="2" t="s">
        <v>13</v>
      </c>
      <c r="E27" s="2" t="s">
        <v>65</v>
      </c>
    </row>
    <row r="28">
      <c r="A28" s="2" t="s">
        <v>66</v>
      </c>
      <c r="B28" s="2">
        <f>B15</f>
        <v>3.6</v>
      </c>
      <c r="C28" s="2">
        <f t="shared" si="2"/>
        <v>3.6</v>
      </c>
      <c r="D28" s="2" t="s">
        <v>13</v>
      </c>
      <c r="E28" s="2" t="s">
        <v>67</v>
      </c>
    </row>
    <row r="29">
      <c r="A29" s="2" t="s">
        <v>116</v>
      </c>
      <c r="B29" s="3">
        <f>C12</f>
        <v>0.06</v>
      </c>
      <c r="C29" s="2">
        <f t="shared" si="2"/>
        <v>0.06</v>
      </c>
      <c r="D29" s="2" t="s">
        <v>13</v>
      </c>
      <c r="E29" s="2" t="s">
        <v>117</v>
      </c>
    </row>
  </sheetData>
  <mergeCells count="4">
    <mergeCell ref="A3:D3"/>
    <mergeCell ref="A4:D4"/>
    <mergeCell ref="A18:D18"/>
    <mergeCell ref="A24:D24"/>
  </mergeCells>
  <hyperlinks>
    <hyperlink r:id="rId1" ref="F5"/>
    <hyperlink r:id="rId2" ref="F6"/>
    <hyperlink r:id="rId3" ref="F7"/>
    <hyperlink r:id="rId4" ref="F8"/>
    <hyperlink r:id="rId5" ref="G8"/>
    <hyperlink r:id="rId6" ref="F9"/>
    <hyperlink r:id="rId7" ref="F10"/>
    <hyperlink r:id="rId8" ref="F12"/>
    <hyperlink r:id="rId9" ref="F13"/>
    <hyperlink r:id="rId10" ref="F19"/>
    <hyperlink r:id="rId11" location=":~:text=Control%20of%20Oxidation,Most%20common%20fixing%20methods" ref="G19"/>
    <hyperlink r:id="rId12" location=":~:text=Processing%20of%20the%20tea%20leaves,4%5D%2C%20%5B6%5D." ref="F20"/>
    <hyperlink r:id="rId13" ref="F21"/>
    <hyperlink r:id="rId14" ref="F22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2" t="s">
        <v>118</v>
      </c>
      <c r="B1" s="1" t="s">
        <v>119</v>
      </c>
      <c r="C1" s="1" t="s">
        <v>3</v>
      </c>
    </row>
    <row r="2">
      <c r="A2" s="1" t="s">
        <v>120</v>
      </c>
    </row>
    <row r="3">
      <c r="A3" s="2" t="s">
        <v>121</v>
      </c>
      <c r="B3" s="2">
        <v>21.0</v>
      </c>
      <c r="C3" s="2" t="s">
        <v>13</v>
      </c>
    </row>
    <row r="4">
      <c r="A4" s="2" t="s">
        <v>122</v>
      </c>
      <c r="B4" s="2">
        <v>350.0</v>
      </c>
      <c r="C4" s="2" t="s">
        <v>123</v>
      </c>
    </row>
    <row r="6">
      <c r="A6" s="1" t="s">
        <v>124</v>
      </c>
    </row>
    <row r="7">
      <c r="A7" s="2" t="s">
        <v>125</v>
      </c>
      <c r="B7" s="2">
        <v>4.0</v>
      </c>
      <c r="C7" s="2" t="s">
        <v>13</v>
      </c>
    </row>
    <row r="8">
      <c r="A8" s="2" t="s">
        <v>122</v>
      </c>
      <c r="B8" s="2">
        <v>60.0</v>
      </c>
      <c r="C8" s="2" t="s">
        <v>126</v>
      </c>
    </row>
    <row r="9">
      <c r="A9" s="2" t="s">
        <v>127</v>
      </c>
      <c r="B9" s="2">
        <v>235.0</v>
      </c>
      <c r="C9" s="2" t="s">
        <v>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128</v>
      </c>
      <c r="B1" s="1" t="s">
        <v>129</v>
      </c>
    </row>
    <row r="2">
      <c r="A2" s="2" t="s">
        <v>130</v>
      </c>
      <c r="B2" s="2" t="s">
        <v>131</v>
      </c>
    </row>
    <row r="3">
      <c r="A3" s="2" t="s">
        <v>132</v>
      </c>
      <c r="B3" s="2" t="s">
        <v>133</v>
      </c>
    </row>
    <row r="4">
      <c r="A4" s="2" t="s">
        <v>134</v>
      </c>
      <c r="B4" s="2" t="s">
        <v>135</v>
      </c>
    </row>
  </sheetData>
  <drawing r:id="rId1"/>
</worksheet>
</file>