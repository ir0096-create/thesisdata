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panese Results" sheetId="1" r:id="rId5"/>
    <sheet state="visible" name="English Results" sheetId="2" r:id="rId6"/>
    <sheet state="visible" name="Master English Sheet" sheetId="3" r:id="rId7"/>
    <sheet state="visible" name="Parse of Qs" sheetId="4" r:id="rId8"/>
    <sheet state="visible" name="Translation Key" sheetId="5" r:id="rId9"/>
    <sheet state="visible" name="Rosemark Translation" sheetId="6" r:id="rId10"/>
  </sheets>
  <definedNames/>
  <calcPr/>
</workbook>
</file>

<file path=xl/sharedStrings.xml><?xml version="1.0" encoding="utf-8"?>
<sst xmlns="http://schemas.openxmlformats.org/spreadsheetml/2006/main" count="17553" uniqueCount="370">
  <si>
    <t>Submission ID</t>
  </si>
  <si>
    <t>Respondent ID</t>
  </si>
  <si>
    <t>Submitted at</t>
  </si>
  <si>
    <t>What age group do you fall into? Translation</t>
  </si>
  <si>
    <t>To which gender do you identify most with? Translation</t>
  </si>
  <si>
    <t>What is your total household income before taxes? Translation</t>
  </si>
  <si>
    <t>What region of Japan do you primarily live in? Translation</t>
  </si>
  <si>
    <t>How often do you drink coffee? Translation</t>
  </si>
  <si>
    <t>What coffee beverage do you usually drink?</t>
  </si>
  <si>
    <t>Untitled short answer field</t>
  </si>
  <si>
    <t>How often do you drink matcha?</t>
  </si>
  <si>
    <t>What matcha beverage do you usually drink?</t>
  </si>
  <si>
    <t>When choosing between coffee and matcha, what factors influence your choice most? (Select up to two)</t>
  </si>
  <si>
    <t>How do you usually consume these drinks? (Select all that apply)</t>
  </si>
  <si>
    <t>How often do you visit cafés?</t>
  </si>
  <si>
    <t>What is your main reason for visiting a café?</t>
  </si>
  <si>
    <t>In your opinion, what makes a good café experience?</t>
  </si>
  <si>
    <t>Do you associate coffee with any particular culture or image?</t>
  </si>
  <si>
    <t>Do you associate matcha with any particular culture or image?</t>
  </si>
  <si>
    <t>How strongly do you agree with the following statements:</t>
  </si>
  <si>
    <t>Untitled linear scale field</t>
  </si>
  <si>
    <t>Would you be open to a short (15–20 minute) follow-up interview in English to discuss your thoughts about coffee, matcha, and café culture in more detail? Participants who take part in a follow-up interview will be offered a free drink/gift card as a thank-you for their time.</t>
  </si>
  <si>
    <t>Please provide your email address so I can contact you:</t>
  </si>
  <si>
    <t>EkoA68o</t>
  </si>
  <si>
    <t>LZp8NDy</t>
  </si>
  <si>
    <t>J9Ey24r</t>
  </si>
  <si>
    <t>xXarWEd</t>
  </si>
  <si>
    <t>26-35</t>
  </si>
  <si>
    <t>Female</t>
  </si>
  <si>
    <t>Under ¥3,000,000</t>
  </si>
  <si>
    <t>Kanto</t>
  </si>
  <si>
    <t>Several times a week</t>
  </si>
  <si>
    <t>Drip</t>
  </si>
  <si>
    <t>Usucha</t>
  </si>
  <si>
    <t>To meet friends</t>
  </si>
  <si>
    <t>Atmosphere</t>
  </si>
  <si>
    <t>Yes, Western</t>
  </si>
  <si>
    <t>Yes,  Japanese</t>
  </si>
  <si>
    <t>No</t>
  </si>
  <si>
    <t>ODxRYQA</t>
  </si>
  <si>
    <t>Y5WP1Lv</t>
  </si>
  <si>
    <t>18-25</t>
  </si>
  <si>
    <t>Male</t>
  </si>
  <si>
    <t>¥6,000,000 – ¥8,999,999</t>
  </si>
  <si>
    <t>Daily</t>
  </si>
  <si>
    <t>Koicha</t>
  </si>
  <si>
    <t>To try a new drink</t>
  </si>
  <si>
    <t>Quality of drinks</t>
  </si>
  <si>
    <t>Yes, Global</t>
  </si>
  <si>
    <t>Zjb0xWz</t>
  </si>
  <si>
    <t>q4Aa8P9</t>
  </si>
  <si>
    <t>36-45</t>
  </si>
  <si>
    <t>Prefer not to say</t>
  </si>
  <si>
    <t>Pour Over</t>
  </si>
  <si>
    <t>Other:</t>
  </si>
  <si>
    <t>Because I want to talk with the staff.</t>
  </si>
  <si>
    <t>It depends on the purpose at that time.</t>
  </si>
  <si>
    <t>GxAKvz2</t>
  </si>
  <si>
    <t>jaQQQKx</t>
  </si>
  <si>
    <t>Matcha Latte</t>
  </si>
  <si>
    <t>A few times a month</t>
  </si>
  <si>
    <t>To relax or take a break</t>
  </si>
  <si>
    <t>814zo8o</t>
  </si>
  <si>
    <t>EkQQQyN</t>
  </si>
  <si>
    <t>¥3,000,000 – ¥5,999,999</t>
  </si>
  <si>
    <t>Latte</t>
  </si>
  <si>
    <t>Unsure</t>
  </si>
  <si>
    <t>dWex1GN</t>
  </si>
  <si>
    <t>NpWVjdB</t>
  </si>
  <si>
    <t>Once a week</t>
  </si>
  <si>
    <t>Service</t>
  </si>
  <si>
    <t>Yes</t>
  </si>
  <si>
    <t>rjM6VAp</t>
  </si>
  <si>
    <t>RG5L4bP</t>
  </si>
  <si>
    <t>Rarely</t>
  </si>
  <si>
    <t>To study/work</t>
  </si>
  <si>
    <t>obLABbe</t>
  </si>
  <si>
    <t>QK50l5k</t>
  </si>
  <si>
    <t>Chubu</t>
  </si>
  <si>
    <t>KYKWO6z</t>
  </si>
  <si>
    <t>9qDpb2K</t>
  </si>
  <si>
    <t>Proximity/closeness</t>
  </si>
  <si>
    <t>Out of habit</t>
  </si>
  <si>
    <t>gD6Jpg4</t>
  </si>
  <si>
    <t>LZWvQYj</t>
  </si>
  <si>
    <t>65+</t>
  </si>
  <si>
    <t>Ek7ZY0N</t>
  </si>
  <si>
    <t>44xAgVY</t>
  </si>
  <si>
    <t>56-65</t>
  </si>
  <si>
    <t>¥12,000,000 or more</t>
  </si>
  <si>
    <t>Kansai</t>
  </si>
  <si>
    <t>I don’t drink matcha</t>
  </si>
  <si>
    <t>At office</t>
  </si>
  <si>
    <t>gD6JBP1</t>
  </si>
  <si>
    <t>xXaRM7y</t>
  </si>
  <si>
    <t>46-55</t>
  </si>
  <si>
    <t>I drink sencha everyday</t>
  </si>
  <si>
    <t>rjMkOgL</t>
  </si>
  <si>
    <t>aQYABpZ</t>
  </si>
  <si>
    <t>0QRD61Q</t>
  </si>
  <si>
    <t>OD5b0zp</t>
  </si>
  <si>
    <t>GxAQrlz</t>
  </si>
  <si>
    <t>q4AJOG9</t>
  </si>
  <si>
    <t>Never</t>
  </si>
  <si>
    <t/>
  </si>
  <si>
    <t>Work</t>
  </si>
  <si>
    <t>Y5lxOQ6</t>
  </si>
  <si>
    <t>Y5WJrKW</t>
  </si>
  <si>
    <t>Ek7NOBr</t>
  </si>
  <si>
    <t>J9AeG1K</t>
  </si>
  <si>
    <t>Kyushu</t>
  </si>
  <si>
    <t>eqWY140</t>
  </si>
  <si>
    <t>vGyJ12X</t>
  </si>
  <si>
    <t>Flavored coffee (mocha, vanilla, caramel, etc.)</t>
  </si>
  <si>
    <t>lbkvb1W</t>
  </si>
  <si>
    <t>EkQZE4l</t>
  </si>
  <si>
    <t>68EP7gY</t>
  </si>
  <si>
    <t>2ENDrBg</t>
  </si>
  <si>
    <t>Office</t>
  </si>
  <si>
    <t>9qjreME</t>
  </si>
  <si>
    <t>2EN7klD</t>
  </si>
  <si>
    <t>¥9,000,000 – ¥11,999,999</t>
  </si>
  <si>
    <t>lbkZXPo</t>
  </si>
  <si>
    <t>vGyWA4D</t>
  </si>
  <si>
    <t>Canned Coffee</t>
  </si>
  <si>
    <t>Ease of obtaining/availability</t>
  </si>
  <si>
    <t>jaAYBoY</t>
  </si>
  <si>
    <t>lbd4vZp</t>
  </si>
  <si>
    <t>Americano</t>
  </si>
  <si>
    <t>b5QyLD7</t>
  </si>
  <si>
    <t>9qDrrr5</t>
  </si>
  <si>
    <t>b5QyGKL</t>
  </si>
  <si>
    <t>zxDbBE0</t>
  </si>
  <si>
    <t>RGy19Xj</t>
  </si>
  <si>
    <t>GxdkPlk</t>
  </si>
  <si>
    <t>QKlQZjp</t>
  </si>
  <si>
    <t>q4A7ZJg</t>
  </si>
  <si>
    <t>PdJxOqV</t>
  </si>
  <si>
    <t>RG56DO4</t>
  </si>
  <si>
    <t>Np1jb7p</t>
  </si>
  <si>
    <t>81QgeBY</t>
  </si>
  <si>
    <t>pb2DOGb</t>
  </si>
  <si>
    <t>XxWp9kV</t>
  </si>
  <si>
    <t>EkOLgBr</t>
  </si>
  <si>
    <t>J9ANZQz</t>
  </si>
  <si>
    <t>Y5AYV0N</t>
  </si>
  <si>
    <t>44xWaRo</t>
  </si>
  <si>
    <t>Hokkaido</t>
  </si>
  <si>
    <t>yPaokO6</t>
  </si>
  <si>
    <t>Meb1MBp</t>
  </si>
  <si>
    <t>rjZqzzM</t>
  </si>
  <si>
    <t>Np6lJxO</t>
  </si>
  <si>
    <t>2E6gLL9</t>
  </si>
  <si>
    <t>WON8qMj</t>
  </si>
  <si>
    <t>LZ22L4G</t>
  </si>
  <si>
    <t>pbKL1Gy</t>
  </si>
  <si>
    <t>Tohoku</t>
  </si>
  <si>
    <t>rj4laqL</t>
  </si>
  <si>
    <t>Np6dba0</t>
  </si>
  <si>
    <t>Workplace</t>
  </si>
  <si>
    <t>VLeljXE</t>
  </si>
  <si>
    <t>xXpzMVk</t>
  </si>
  <si>
    <t>aQLx2aE</t>
  </si>
  <si>
    <t>WONqRGN</t>
  </si>
  <si>
    <t>Bzy1jOR</t>
  </si>
  <si>
    <t>zxqdr2g</t>
  </si>
  <si>
    <t>yPQEMog</t>
  </si>
  <si>
    <t>448EV9X</t>
  </si>
  <si>
    <t>xXqPPd9</t>
  </si>
  <si>
    <t>2EeZ8Ej</t>
  </si>
  <si>
    <t>QKZxNdp</t>
  </si>
  <si>
    <t>RG0lj0d</t>
  </si>
  <si>
    <t>I don't drink coffee</t>
  </si>
  <si>
    <t>LZrOWjz</t>
  </si>
  <si>
    <t>RG0QBEK</t>
  </si>
  <si>
    <t>I do not live in Japan</t>
  </si>
  <si>
    <t>dWMpYWq</t>
  </si>
  <si>
    <t>eq6gKzq</t>
  </si>
  <si>
    <t>Instant Coffee</t>
  </si>
  <si>
    <t>I have a matcha latte at Starbucks a few times a year.</t>
  </si>
  <si>
    <t>Cafe</t>
  </si>
  <si>
    <t>OD2gPRA</t>
  </si>
  <si>
    <t>kdy8J4J</t>
  </si>
  <si>
    <t>eqJOWJo</t>
  </si>
  <si>
    <t>eq6VvEk</t>
  </si>
  <si>
    <t>I drink green tea with meals.</t>
  </si>
  <si>
    <t>kd2VEeR</t>
  </si>
  <si>
    <t>xXdo7k9</t>
  </si>
  <si>
    <t>rjXV585</t>
  </si>
  <si>
    <t>kdYoB5e</t>
  </si>
  <si>
    <t>I change it depending on my mood.</t>
  </si>
  <si>
    <t>9qe69rG</t>
  </si>
  <si>
    <t>gD52JXN</t>
  </si>
  <si>
    <t>Sencha</t>
  </si>
  <si>
    <t>When I went out after a long time.</t>
  </si>
  <si>
    <t>Because I drank it often when I was in the U.S.</t>
  </si>
  <si>
    <t>dW7kDgN</t>
  </si>
  <si>
    <t>5Bd6vqb</t>
  </si>
  <si>
    <t>I only drink matcha at events</t>
  </si>
  <si>
    <t>Waiting time</t>
  </si>
  <si>
    <t>9qeoEKV</t>
  </si>
  <si>
    <t>pbLjWk1</t>
  </si>
  <si>
    <t>2E2Dxjp</t>
  </si>
  <si>
    <t>rjlNLpR</t>
  </si>
  <si>
    <t>Bottled</t>
  </si>
  <si>
    <t>Availability</t>
  </si>
  <si>
    <t>VLr41e6</t>
  </si>
  <si>
    <t>xXdkPVk</t>
  </si>
  <si>
    <t>QKGO82Y</t>
  </si>
  <si>
    <t>2E4qJge</t>
  </si>
  <si>
    <t>D4LZPPp</t>
  </si>
  <si>
    <t>ODApo5k</t>
  </si>
  <si>
    <t>obJkr8X</t>
  </si>
  <si>
    <t>gD5yxa1</t>
  </si>
  <si>
    <t>To kill time until my next appointment</t>
  </si>
  <si>
    <t>rjXvy2L</t>
  </si>
  <si>
    <t>9qdLg2Q</t>
  </si>
  <si>
    <t>0Q4a71P</t>
  </si>
  <si>
    <t>obArZ1x</t>
  </si>
  <si>
    <t>I don't know how to make matcha</t>
  </si>
  <si>
    <t>A place to stay when I’m out and have time before my next appointment and want to get some work done.</t>
  </si>
  <si>
    <t>ODRy7pR</t>
  </si>
  <si>
    <t>5BkXJlP</t>
  </si>
  <si>
    <t>dW7VyRz</t>
  </si>
  <si>
    <t>b5kqxyo</t>
  </si>
  <si>
    <t>Ekpr5r4</t>
  </si>
  <si>
    <t>D41BQOZ</t>
  </si>
  <si>
    <t>What age group do you fall into?</t>
  </si>
  <si>
    <t>To which gender do you identify most with?</t>
  </si>
  <si>
    <t>What is your total household income before taxes?</t>
  </si>
  <si>
    <t>What region of Japan do you primarily live in?</t>
  </si>
  <si>
    <t>How often do you drink coffee?</t>
  </si>
  <si>
    <t>How strongly do you agree with the following statements: Coffee feels like part of the modern Japanese lifestyle.</t>
  </si>
  <si>
    <t>How strongly do you agree with the following statements: Matcha feels connected to Japanese heritage and tradition.</t>
  </si>
  <si>
    <t>How strongly do you agree with the following statements: Cafés are important social spaces in Japan.</t>
  </si>
  <si>
    <t>When choosing between coffee and matcha, what factors influence your choice most? (Choice one)</t>
  </si>
  <si>
    <t>When choosing between coffee and matcha, what factors influence your choice most? (Choice two)</t>
  </si>
  <si>
    <t>How do you usually consume these drinks? (choice 1)</t>
  </si>
  <si>
    <t>How do you usually consume these drinks? (choice 2)</t>
  </si>
  <si>
    <t>How do you usually consume these drinks? (choice 3)</t>
  </si>
  <si>
    <t>How do you usually consume these drinks? (choice 4)</t>
  </si>
  <si>
    <t>Routine/Ritual</t>
  </si>
  <si>
    <t>Social atmosphere</t>
  </si>
  <si>
    <t>At cafés</t>
  </si>
  <si>
    <t>At home</t>
  </si>
  <si>
    <t>Taste/Flavor</t>
  </si>
  <si>
    <t>It is never really a choice; I just drink coffee</t>
  </si>
  <si>
    <t>Social norms / influence (what people around me usually drink)</t>
  </si>
  <si>
    <t>From convenience stores (7-Eleven, Lawson, etc.)</t>
  </si>
  <si>
    <t>From vending machines</t>
  </si>
  <si>
    <t>To try new things</t>
  </si>
  <si>
    <t>Health benefits</t>
  </si>
  <si>
    <t>Energy boost/Caffeine</t>
  </si>
  <si>
    <t>Availability in the area</t>
  </si>
  <si>
    <t>Mood</t>
  </si>
  <si>
    <t>Price</t>
  </si>
  <si>
    <t>Time of day</t>
  </si>
  <si>
    <t>When there is nice Wagashi, matcha will be nice. However, at home, we usually drink regular green tea instead.</t>
  </si>
  <si>
    <t>Branding/Imagery</t>
  </si>
  <si>
    <t>because I feel like drinking it at the time</t>
  </si>
  <si>
    <t>convenience (have everything at home)</t>
  </si>
  <si>
    <t>Availability (green tea is easily available everywhere, but not matcha)</t>
  </si>
  <si>
    <t>Japanese</t>
  </si>
  <si>
    <t>English</t>
  </si>
  <si>
    <t>18〜25歳</t>
  </si>
  <si>
    <t>26〜35歳</t>
  </si>
  <si>
    <t>36〜45歳</t>
  </si>
  <si>
    <t>46〜55歳</t>
  </si>
  <si>
    <t>56〜65歳</t>
  </si>
  <si>
    <t>65歳以上</t>
  </si>
  <si>
    <t>回答しない</t>
  </si>
  <si>
    <t>男性</t>
  </si>
  <si>
    <t>女性</t>
  </si>
  <si>
    <t>ノンバイナリー</t>
  </si>
  <si>
    <t>Nonbinary</t>
  </si>
  <si>
    <t>300万円未満</t>
  </si>
  <si>
    <t>300万円〜599万9,999円</t>
  </si>
  <si>
    <t>600万円〜899万9,999円</t>
  </si>
  <si>
    <t>900万円〜1,199万9,999円</t>
  </si>
  <si>
    <t>1,200万円以上</t>
  </si>
  <si>
    <t>北海道</t>
  </si>
  <si>
    <t>東北</t>
  </si>
  <si>
    <t>関東</t>
  </si>
  <si>
    <t>中部</t>
  </si>
  <si>
    <t>関西</t>
  </si>
  <si>
    <t>中国</t>
  </si>
  <si>
    <t>Chugoku</t>
  </si>
  <si>
    <t>四国</t>
  </si>
  <si>
    <t>Shikoku</t>
  </si>
  <si>
    <t>九州</t>
  </si>
  <si>
    <t>沖縄</t>
  </si>
  <si>
    <t>Okinawa</t>
  </si>
  <si>
    <t>日本には住んでいない</t>
  </si>
  <si>
    <t>毎日</t>
  </si>
  <si>
    <t>週に数回</t>
  </si>
  <si>
    <t>週に1回</t>
  </si>
  <si>
    <t>ほとんど飲まない</t>
  </si>
  <si>
    <t>まったく飲まない</t>
  </si>
  <si>
    <t>プアオーバー（ハンドドリップ）</t>
  </si>
  <si>
    <t>ドリップコーヒー</t>
  </si>
  <si>
    <t>コールドブリュー</t>
  </si>
  <si>
    <t>Cold Brew</t>
  </si>
  <si>
    <t>ラテ</t>
  </si>
  <si>
    <t>アメリカーノ</t>
  </si>
  <si>
    <t>カプチーノ</t>
  </si>
  <si>
    <t>Cappuccino</t>
  </si>
  <si>
    <t>フレーバーコーヒー（モカ、バニラ、キャラメルなど）</t>
  </si>
  <si>
    <t>コーヒーは飲まない</t>
  </si>
  <si>
    <t>その他:</t>
  </si>
  <si>
    <t>Every day</t>
  </si>
  <si>
    <t>薄茶</t>
  </si>
  <si>
    <t>濃茶</t>
  </si>
  <si>
    <t>抹茶ラテ</t>
  </si>
  <si>
    <t>抹茶は飲まない</t>
  </si>
  <si>
    <t>その他：</t>
  </si>
  <si>
    <t>味・風味</t>
  </si>
  <si>
    <t>価格</t>
  </si>
  <si>
    <t>エナジー／カフェイン</t>
  </si>
  <si>
    <t>健康面のメリット</t>
  </si>
  <si>
    <t>社交的な場や雰囲気の考慮</t>
  </si>
  <si>
    <t>習慣</t>
  </si>
  <si>
    <t>ブランド・イメージ</t>
  </si>
  <si>
    <t>新しいものを試したい</t>
  </si>
  <si>
    <t>社会的トレンドに同調・周囲の影響（周りの人がよく飲んでいるもの）</t>
  </si>
  <si>
    <t>カフェで</t>
  </si>
  <si>
    <t>自宅で</t>
  </si>
  <si>
    <t>コンビニ（セブンイレブン、ローソンなど）</t>
  </si>
  <si>
    <t>自動販売機</t>
  </si>
  <si>
    <t>月に数回</t>
  </si>
  <si>
    <t>ほとんど行かない</t>
  </si>
  <si>
    <t>いいえ</t>
  </si>
  <si>
    <t>はい</t>
  </si>
  <si>
    <t>はい（西洋的）</t>
  </si>
  <si>
    <t>はい（グローバル）</t>
  </si>
  <si>
    <t>はい（日本的）</t>
  </si>
  <si>
    <t>わからない</t>
  </si>
  <si>
    <t>休憩・リラックスするため</t>
  </si>
  <si>
    <t>友人と会うため</t>
  </si>
  <si>
    <t>勉強・仕事をするため</t>
  </si>
  <si>
    <t>新しい飲み物を試すため</t>
  </si>
  <si>
    <t>習慣として</t>
  </si>
  <si>
    <t>飲み物の味・品質</t>
  </si>
  <si>
    <t>雰囲気・心地良さ</t>
  </si>
  <si>
    <t>サービス</t>
  </si>
  <si>
    <t>Brand image</t>
  </si>
  <si>
    <t>Every Day</t>
  </si>
  <si>
    <t>respid</t>
  </si>
  <si>
    <t>Weight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</si>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</sst>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IFERROR(__xludf.DUMMYFUNCTION("IMPORTRANGE(""https://docs.google.com/spreadsheets/d/1JRp1QFgRUeO6wUkbMBdCuSKPn0UMXY4laNYwSgpe9m4/edit?gid=0#gid=0"",""Sheet1!A:AB"")"),"Submission ID")</f>
        <v>Submission ID</v>
      </c>
      <c r="B1" s="1" t="str">
        <f>IFERROR(__xludf.DUMMYFUNCTION("""COMPUTED_VALUE"""),"Respondent ID")</f>
        <v>Respondent ID</v>
      </c>
      <c r="C1" s="1" t="str">
        <f>IFERROR(__xludf.DUMMYFUNCTION("""COMPUTED_VALUE"""),"Submitted at")</f>
        <v>Submitted at</v>
      </c>
      <c r="D1" s="1" t="str">
        <f>IFERROR(__xludf.DUMMYFUNCTION("""COMPUTED_VALUE"""),"あなたの年齢層を教えてください。")</f>
        <v>あなたの年齢層を教えてください。</v>
      </c>
      <c r="E1" s="1" t="str">
        <f>IFERROR(__xludf.DUMMYFUNCTION("""COMPUTED_VALUE"""),"ご自身が最も当てはまると感じる性別を教えてください。")</f>
        <v>ご自身が最も当てはまると感じる性別を教えてください。</v>
      </c>
      <c r="F1" s="1" t="str">
        <f>IFERROR(__xludf.DUMMYFUNCTION("""COMPUTED_VALUE"""),"世帯年収（税引き前）を教えてください。")</f>
        <v>世帯年収（税引き前）を教えてください。</v>
      </c>
      <c r="G1" s="1" t="str">
        <f>IFERROR(__xludf.DUMMYFUNCTION("""COMPUTED_VALUE"""),"主にお住まいの地域はどこですか。")</f>
        <v>主にお住まいの地域はどこですか。</v>
      </c>
      <c r="H1" s="1" t="str">
        <f>IFERROR(__xludf.DUMMYFUNCTION("""COMPUTED_VALUE"""),"どのくらいの頻度でコーヒーを飲みますか。")</f>
        <v>どのくらいの頻度でコーヒーを飲みますか。</v>
      </c>
      <c r="I1" s="1" t="str">
        <f>IFERROR(__xludf.DUMMYFUNCTION("""COMPUTED_VALUE"""),"普段よく飲むコーヒーの種類は何ですか。")</f>
        <v>普段よく飲むコーヒーの種類は何ですか。</v>
      </c>
      <c r="J1" s="1" t="str">
        <f>IFERROR(__xludf.DUMMYFUNCTION("""COMPUTED_VALUE"""),"Untitled short answer field")</f>
        <v>Untitled short answer field</v>
      </c>
      <c r="K1" s="1" t="str">
        <f>IFERROR(__xludf.DUMMYFUNCTION("""COMPUTED_VALUE"""),"どのくらいの頻度で抹茶を飲みますか。")</f>
        <v>どのくらいの頻度で抹茶を飲みますか。</v>
      </c>
      <c r="L1" s="1" t="str">
        <f>IFERROR(__xludf.DUMMYFUNCTION("""COMPUTED_VALUE"""),"普段よく飲む抹茶の種類は何ですか。")</f>
        <v>普段よく飲む抹茶の種類は何ですか。</v>
      </c>
      <c r="M1" s="1" t="str">
        <f>IFERROR(__xludf.DUMMYFUNCTION("""COMPUTED_VALUE"""),"Untitled short answer field")</f>
        <v>Untitled short answer field</v>
      </c>
      <c r="N1" s="1" t="str">
        <f>IFERROR(__xludf.DUMMYFUNCTION("""COMPUTED_VALUE"""),"コーヒーと抹茶のどちらを選ぶか決める際、特に影響する要因は何ですか。（最大2つまで）")</f>
        <v>コーヒーと抹茶のどちらを選ぶか決める際、特に影響する要因は何ですか。（最大2つまで）</v>
      </c>
      <c r="O1" s="1" t="str">
        <f>IFERROR(__xludf.DUMMYFUNCTION("""COMPUTED_VALUE"""),"Untitled short answer field")</f>
        <v>Untitled short answer field</v>
      </c>
      <c r="P1" s="1" t="str">
        <f>IFERROR(__xludf.DUMMYFUNCTION("""COMPUTED_VALUE"""),"これらの飲み物をどのようにして飲むことが多いですか。（該当するものすべて）")</f>
        <v>これらの飲み物をどのようにして飲むことが多いですか。（該当するものすべて）</v>
      </c>
      <c r="Q1" s="1" t="str">
        <f>IFERROR(__xludf.DUMMYFUNCTION("""COMPUTED_VALUE"""),"Untitled short answer field")</f>
        <v>Untitled short answer field</v>
      </c>
      <c r="R1" s="1" t="str">
        <f>IFERROR(__xludf.DUMMYFUNCTION("""COMPUTED_VALUE"""),"どのくらいの頻度でカフェに行きますか。")</f>
        <v>どのくらいの頻度でカフェに行きますか。</v>
      </c>
      <c r="S1" s="1" t="str">
        <f>IFERROR(__xludf.DUMMYFUNCTION("""COMPUTED_VALUE"""),"カフェに行く主な理由は何ですか。")</f>
        <v>カフェに行く主な理由は何ですか。</v>
      </c>
      <c r="T1" s="1" t="str">
        <f>IFERROR(__xludf.DUMMYFUNCTION("""COMPUTED_VALUE"""),"Untitled short answer field")</f>
        <v>Untitled short answer field</v>
      </c>
      <c r="U1" s="1" t="str">
        <f>IFERROR(__xludf.DUMMYFUNCTION("""COMPUTED_VALUE"""),"あなたにとって、良いカフェ体験とは何ですか。")</f>
        <v>あなたにとって、良いカフェ体験とは何ですか。</v>
      </c>
      <c r="V1" s="1" t="str">
        <f>IFERROR(__xludf.DUMMYFUNCTION("""COMPUTED_VALUE"""),"Untitled short answer field")</f>
        <v>Untitled short answer field</v>
      </c>
      <c r="W1" s="1" t="str">
        <f>IFERROR(__xludf.DUMMYFUNCTION("""COMPUTED_VALUE"""),"コーヒーに特定の文化やイメージを結びつけますか。")</f>
        <v>コーヒーに特定の文化やイメージを結びつけますか。</v>
      </c>
      <c r="X1" s="1" t="str">
        <f>IFERROR(__xludf.DUMMYFUNCTION("""COMPUTED_VALUE"""),"抹茶に特定の文化やイメージを結びつけますか。")</f>
        <v>抹茶に特定の文化やイメージを結びつけますか。</v>
      </c>
      <c r="Y1" s="1" t="str">
        <f>IFERROR(__xludf.DUMMYFUNCTION("""COMPUTED_VALUE"""),"以下の意見について、どの程度同意しますか。")</f>
        <v>以下の意見について、どの程度同意しますか。</v>
      </c>
      <c r="Z1" s="1" t="str">
        <f>IFERROR(__xludf.DUMMYFUNCTION("""COMPUTED_VALUE"""),"Untitled linear scale field")</f>
        <v>Untitled linear scale field</v>
      </c>
      <c r="AA1" s="1" t="str">
        <f>IFERROR(__xludf.DUMMYFUNCTION("""COMPUTED_VALUE"""),"Untitled linear scale field")</f>
        <v>Untitled linear scale field</v>
      </c>
      <c r="AB1" s="1" t="str">
        <f>IFERROR(__xludf.DUMMYFUNCTION("""COMPUTED_VALUE"""),"コーヒー、抹茶、カフェ文化について、より詳しくお話を伺うための短いフォローアップ・インタビュー（15～20分・英語）に参加してもよいですか？※インタビューにご参加いただいた方には、謝礼として無料ドリンクまたはギフトカードを差し上げます。")</f>
        <v>コーヒー、抹茶、カフェ文化について、より詳しくお話を伺うための短いフォローアップ・インタビュー（15～20分・英語）に参加してもよいですか？※インタビューにご参加いただいた方には、謝礼として無料ドリンクまたはギフトカードを差し上げます。</v>
      </c>
      <c r="AE1" s="2"/>
      <c r="AF1" s="2"/>
      <c r="AG1" s="2"/>
      <c r="AH1" s="3"/>
      <c r="AI1" s="3"/>
      <c r="AJ1" s="3"/>
      <c r="AK1" s="4" t="s">
        <v>0</v>
      </c>
      <c r="AL1" s="4" t="s">
        <v>1</v>
      </c>
      <c r="AM1" s="4" t="s">
        <v>2</v>
      </c>
      <c r="AN1" s="3" t="s">
        <v>3</v>
      </c>
      <c r="AO1" s="3" t="s">
        <v>4</v>
      </c>
      <c r="AP1" s="3" t="s">
        <v>5</v>
      </c>
      <c r="AQ1" s="3" t="s">
        <v>6</v>
      </c>
      <c r="AR1" s="3" t="s">
        <v>7</v>
      </c>
      <c r="AS1" s="4" t="s">
        <v>8</v>
      </c>
      <c r="AT1" s="4" t="s">
        <v>9</v>
      </c>
      <c r="AU1" s="4" t="s">
        <v>10</v>
      </c>
      <c r="AV1" s="4" t="s">
        <v>11</v>
      </c>
      <c r="AW1" s="4" t="s">
        <v>9</v>
      </c>
      <c r="AX1" s="4" t="s">
        <v>12</v>
      </c>
      <c r="AY1" s="4" t="s">
        <v>9</v>
      </c>
      <c r="AZ1" s="4" t="s">
        <v>13</v>
      </c>
      <c r="BA1" s="4" t="s">
        <v>9</v>
      </c>
      <c r="BB1" s="4" t="s">
        <v>14</v>
      </c>
      <c r="BC1" s="4" t="s">
        <v>15</v>
      </c>
      <c r="BD1" s="4" t="s">
        <v>9</v>
      </c>
      <c r="BE1" s="4" t="s">
        <v>16</v>
      </c>
      <c r="BF1" s="4" t="s">
        <v>9</v>
      </c>
      <c r="BG1" s="4" t="s">
        <v>17</v>
      </c>
      <c r="BH1" s="4" t="s">
        <v>18</v>
      </c>
      <c r="BI1" s="4" t="s">
        <v>19</v>
      </c>
      <c r="BJ1" s="4" t="s">
        <v>20</v>
      </c>
      <c r="BK1" s="4" t="s">
        <v>20</v>
      </c>
      <c r="BL1" s="4" t="s">
        <v>21</v>
      </c>
      <c r="BM1" s="4" t="s">
        <v>22</v>
      </c>
    </row>
    <row r="2">
      <c r="A2" s="1" t="str">
        <f>IFERROR(__xludf.DUMMYFUNCTION("""COMPUTED_VALUE"""),"EkoA68o")</f>
        <v>EkoA68o</v>
      </c>
      <c r="B2" s="1" t="str">
        <f>IFERROR(__xludf.DUMMYFUNCTION("""COMPUTED_VALUE"""),"LZp8NDy")</f>
        <v>LZp8NDy</v>
      </c>
      <c r="C2" s="5">
        <f>IFERROR(__xludf.DUMMYFUNCTION("""COMPUTED_VALUE"""),46028.188055555554)</f>
        <v>46028.18806</v>
      </c>
      <c r="D2" s="1" t="str">
        <f>IFERROR(__xludf.DUMMYFUNCTION("""COMPUTED_VALUE"""),"18〜25歳")</f>
        <v>18〜25歳</v>
      </c>
      <c r="E2" s="1" t="str">
        <f>IFERROR(__xludf.DUMMYFUNCTION("""COMPUTED_VALUE"""),"男性")</f>
        <v>男性</v>
      </c>
      <c r="F2" s="1" t="str">
        <f>IFERROR(__xludf.DUMMYFUNCTION("""COMPUTED_VALUE"""),"1,200万円以上")</f>
        <v>1,200万円以上</v>
      </c>
      <c r="G2" s="1" t="str">
        <f>IFERROR(__xludf.DUMMYFUNCTION("""COMPUTED_VALUE"""),"関東")</f>
        <v>関東</v>
      </c>
      <c r="H2" s="1" t="str">
        <f>IFERROR(__xludf.DUMMYFUNCTION("""COMPUTED_VALUE"""),"まったく飲まない")</f>
        <v>まったく飲まない</v>
      </c>
      <c r="I2" s="1"/>
      <c r="J2" s="1"/>
      <c r="K2" s="1" t="str">
        <f>IFERROR(__xludf.DUMMYFUNCTION("""COMPUTED_VALUE"""),"ほとんど飲まない")</f>
        <v>ほとんど飲まない</v>
      </c>
      <c r="L2" s="1" t="str">
        <f>IFERROR(__xludf.DUMMYFUNCTION("""COMPUTED_VALUE"""),"薄茶")</f>
        <v>薄茶</v>
      </c>
      <c r="M2" s="1"/>
      <c r="N2" s="1" t="str">
        <f>IFERROR(__xludf.DUMMYFUNCTION("""COMPUTED_VALUE"""),"味・風味, 健康面のメリット")</f>
        <v>味・風味, 健康面のメリット</v>
      </c>
      <c r="O2" s="1"/>
      <c r="P2" s="1" t="str">
        <f>IFERROR(__xludf.DUMMYFUNCTION("""COMPUTED_VALUE"""),"自動販売機, コンビニ（セブンイレブン、ローソンなど）")</f>
        <v>自動販売機, コンビニ（セブンイレブン、ローソンなど）</v>
      </c>
      <c r="Q2" s="1"/>
      <c r="R2" s="1" t="str">
        <f>IFERROR(__xludf.DUMMYFUNCTION("""COMPUTED_VALUE"""),"ほとんど行かない")</f>
        <v>ほとんど行かない</v>
      </c>
      <c r="S2" s="1" t="str">
        <f>IFERROR(__xludf.DUMMYFUNCTION("""COMPUTED_VALUE"""),"友人と会うため")</f>
        <v>友人と会うため</v>
      </c>
      <c r="T2" s="1"/>
      <c r="U2" s="1" t="str">
        <f>IFERROR(__xludf.DUMMYFUNCTION("""COMPUTED_VALUE"""),"飲み物の味・品質")</f>
        <v>飲み物の味・品質</v>
      </c>
      <c r="V2" s="1"/>
      <c r="W2" s="1" t="str">
        <f>IFERROR(__xludf.DUMMYFUNCTION("""COMPUTED_VALUE"""),"はい（西洋的）")</f>
        <v>はい（西洋的）</v>
      </c>
      <c r="X2" s="1" t="str">
        <f>IFERROR(__xludf.DUMMYFUNCTION("""COMPUTED_VALUE"""),"はい（日本的）")</f>
        <v>はい（日本的）</v>
      </c>
      <c r="Y2" s="1">
        <f>IFERROR(__xludf.DUMMYFUNCTION("""COMPUTED_VALUE"""),4.0)</f>
        <v>4</v>
      </c>
      <c r="Z2" s="1">
        <f>IFERROR(__xludf.DUMMYFUNCTION("""COMPUTED_VALUE"""),6.0)</f>
        <v>6</v>
      </c>
      <c r="AA2" s="1">
        <f>IFERROR(__xludf.DUMMYFUNCTION("""COMPUTED_VALUE"""),4.0)</f>
        <v>4</v>
      </c>
      <c r="AB2" s="1" t="str">
        <f>IFERROR(__xludf.DUMMYFUNCTION("""COMPUTED_VALUE"""),"いいえ")</f>
        <v>いいえ</v>
      </c>
      <c r="AK2" s="1" t="s">
        <v>23</v>
      </c>
      <c r="AL2" s="1" t="s">
        <v>24</v>
      </c>
      <c r="AM2" s="5">
        <v>46028.188055555554</v>
      </c>
      <c r="AN2" s="1" t="str">
        <f t="array" ref="AN2:AN1000">IF(D2:D1000="","",XLOOKUP(D2:D1000, 'Translation Key'!$A:$A, 'Translation Key'!$B:$B))
</f>
        <v>18-25</v>
      </c>
      <c r="AO2" s="1" t="str">
        <f t="array" ref="AO2:AO1000">IF(E2:E1000="","",XLOOKUP(E2:E1000, 'Translation Key'!$A:$A, 'Translation Key'!$B:$B))
</f>
        <v>Male</v>
      </c>
      <c r="AP2" s="1" t="str">
        <f t="array" ref="AP2:AP1000">IF(F2:F1000="","",XLOOKUP(F2:F1000, 'Translation Key'!$A:$A, 'Translation Key'!$B:$B))
</f>
        <v>¥12,000,000 or more</v>
      </c>
      <c r="AQ2" s="1" t="str">
        <f t="array" ref="AQ2:AQ1000">IF(G2:G1000="","",XLOOKUP(G2:G1000, 'Translation Key'!$A:$A, 'Translation Key'!$B:$B))
</f>
        <v>Kanto</v>
      </c>
      <c r="AR2" s="1" t="str">
        <f t="array" ref="AR2:AR1000">IF(H2:H1000="","",XLOOKUP(H2:H1000, 'Translation Key'!$A:$A, 'Translation Key'!$B:$B))
</f>
        <v>Never</v>
      </c>
      <c r="AS2" s="1" t="str">
        <f t="array" ref="AS2:AS1000">IF(I2:I1000="","",XLOOKUP(I2:I1000, 'Translation Key'!$A:$A, 'Translation Key'!$B:$B))
</f>
        <v/>
      </c>
      <c r="AU2" s="1" t="str">
        <f t="array" ref="AU2:AU1000">IF(K2:K1000="","",XLOOKUP(K2:K1000, 'Translation Key'!$A:$A, 'Translation Key'!$B:$B))
</f>
        <v>Rarely</v>
      </c>
      <c r="AV2" s="1" t="str">
        <f t="array" ref="AV2:AV1000">IF(L2:L1000="","",XLOOKUP(L2:L1000, 'Translation Key'!$A:$A, 'Translation Key'!$B:$B))
</f>
        <v>Usucha</v>
      </c>
      <c r="AX2" s="1" t="str">
        <f>IFERROR(__xludf.DUMMYFUNCTION("ARRAYFORMULA(IF(N2:N1000="""","""",  BYROW(N2:N1000, LAMBDA(cell,  IF(cell="""","""",  JOIN("", "",  ARRAYFORMULA(  IFERROR(  XLOOKUP(  TRIM(TRANSPOSE(SPLIT(cell,"",""))),  'Translation Key'!$A:$A,  'Translation Key'!$B:$B  ),  TRIM(TRANSPOSE(SPLIT(cell,"&amp;""","")))  )  )  )  )  )) ))"),"Taste/Flavor, Health benefits")</f>
        <v>Taste/Flavor, Health benefits</v>
      </c>
      <c r="AZ2" s="1" t="str">
        <f>IFERROR(__xludf.DUMMYFUNCTION("ARRAYFORMULA(IF(P2:P1000="""","""",  BYROW(P2:P1000, LAMBDA(cell,  IF(cell="""","""",  JOIN("", "",  ARRAYFORMULA(  IFERROR(  XLOOKUP(  TRIM(TRANSPOSE(SPLIT(cell,"",""))),  'Translation Key'!$A:$A,  'Translation Key'!$B:$B  ),  TRIM(TRANSPOSE(SPLIT(cell,"&amp;""","")))  )  )  )  )  )) ))"),"From vending machines, From convenience stores (7-Eleven, Lawson, etc.)")</f>
        <v>From vending machines, From convenience stores (7-Eleven, Lawson, etc.)</v>
      </c>
      <c r="BB2" s="1" t="str">
        <f t="array" ref="BB2:BB1000">IF(R2:R1000="","",XLOOKUP(R2:R1000, 'Translation Key'!$A:$A, 'Translation Key'!$B:$B))
</f>
        <v>Rarely</v>
      </c>
      <c r="BC2" s="1" t="str">
        <f t="array" ref="BC2:BC1000">IF(S2:S1000="","",XLOOKUP(S2:S1000, 'Translation Key'!$A:$A, 'Translation Key'!$B:$B))
</f>
        <v>To meet friends</v>
      </c>
      <c r="BE2" s="1" t="str">
        <f t="array" ref="BE2:BE1000">IF(U2:U1000="","",XLOOKUP(U2:U1000, 'Translation Key'!$A:$A, 'Translation Key'!$B:$B))
</f>
        <v>Quality of drinks</v>
      </c>
      <c r="BG2" s="1" t="str">
        <f t="array" ref="BG2:BG1000">IF(W2:W1000="","",XLOOKUP(W2:W1000, 'Translation Key'!$A:$A, 'Translation Key'!$B:$B))
</f>
        <v>Yes, Western</v>
      </c>
      <c r="BH2" s="1" t="str">
        <f t="array" ref="BH2:BH1000">IF(X2:X1000="","",XLOOKUP(X2:X1000, 'Translation Key'!$A:$A, 'Translation Key'!$B:$B))
</f>
        <v>Yes,  Japanese</v>
      </c>
      <c r="BI2" s="1">
        <f t="array" ref="BI2:BI1000">IF(Y2:Y1000="","",XLOOKUP(Y2:Y1000, 'Translation Key'!$A:$A, 'Translation Key'!$B:$B))
</f>
        <v>4</v>
      </c>
      <c r="BJ2" s="1">
        <f t="array" ref="BJ2:BJ1000">IF(Z2:Z1000="","",XLOOKUP(Z2:Z1000, 'Translation Key'!$A:$A, 'Translation Key'!$B:$B))
</f>
        <v>6</v>
      </c>
      <c r="BK2" s="1">
        <f t="array" ref="BK2:BK1000">IF(AA2:AA1000="","",XLOOKUP(AA2:AA1000, 'Translation Key'!$A:$A, 'Translation Key'!$B:$B))
</f>
        <v>4</v>
      </c>
      <c r="BL2" s="1" t="str">
        <f t="array" ref="BL2:BL1000">IF(AB2:AB1000="","",XLOOKUP(AB2:AB1000, 'Translation Key'!$A:$A, 'Translation Key'!$B:$B))
</f>
        <v>No</v>
      </c>
    </row>
    <row r="3">
      <c r="A3" s="1" t="str">
        <f>IFERROR(__xludf.DUMMYFUNCTION("""COMPUTED_VALUE"""),"J9Ey24r")</f>
        <v>J9Ey24r</v>
      </c>
      <c r="B3" s="1" t="str">
        <f>IFERROR(__xludf.DUMMYFUNCTION("""COMPUTED_VALUE"""),"xXarWEd")</f>
        <v>xXarWEd</v>
      </c>
      <c r="C3" s="5">
        <f>IFERROR(__xludf.DUMMYFUNCTION("""COMPUTED_VALUE"""),46029.96582175926)</f>
        <v>46029.96582</v>
      </c>
      <c r="D3" s="1" t="str">
        <f>IFERROR(__xludf.DUMMYFUNCTION("""COMPUTED_VALUE"""),"26〜35歳")</f>
        <v>26〜35歳</v>
      </c>
      <c r="E3" s="1" t="str">
        <f>IFERROR(__xludf.DUMMYFUNCTION("""COMPUTED_VALUE"""),"女性")</f>
        <v>女性</v>
      </c>
      <c r="F3" s="1" t="str">
        <f>IFERROR(__xludf.DUMMYFUNCTION("""COMPUTED_VALUE"""),"300万円未満")</f>
        <v>300万円未満</v>
      </c>
      <c r="G3" s="1" t="str">
        <f>IFERROR(__xludf.DUMMYFUNCTION("""COMPUTED_VALUE"""),"関東")</f>
        <v>関東</v>
      </c>
      <c r="H3" s="1" t="str">
        <f>IFERROR(__xludf.DUMMYFUNCTION("""COMPUTED_VALUE"""),"週に数回")</f>
        <v>週に数回</v>
      </c>
      <c r="I3" s="1" t="str">
        <f>IFERROR(__xludf.DUMMYFUNCTION("""COMPUTED_VALUE"""),"ドリップコーヒー")</f>
        <v>ドリップコーヒー</v>
      </c>
      <c r="J3" s="1"/>
      <c r="K3" s="1" t="str">
        <f>IFERROR(__xludf.DUMMYFUNCTION("""COMPUTED_VALUE"""),"週に数回")</f>
        <v>週に数回</v>
      </c>
      <c r="L3" s="1" t="str">
        <f>IFERROR(__xludf.DUMMYFUNCTION("""COMPUTED_VALUE"""),"薄茶")</f>
        <v>薄茶</v>
      </c>
      <c r="M3" s="1"/>
      <c r="N3" s="1" t="str">
        <f>IFERROR(__xludf.DUMMYFUNCTION("""COMPUTED_VALUE"""),"価格, 味・風味")</f>
        <v>価格, 味・風味</v>
      </c>
      <c r="O3" s="1"/>
      <c r="P3" s="1" t="str">
        <f>IFERROR(__xludf.DUMMYFUNCTION("""COMPUTED_VALUE"""),"自宅で")</f>
        <v>自宅で</v>
      </c>
      <c r="Q3" s="1"/>
      <c r="R3" s="1" t="str">
        <f>IFERROR(__xludf.DUMMYFUNCTION("""COMPUTED_VALUE"""),"週に数回")</f>
        <v>週に数回</v>
      </c>
      <c r="S3" s="1" t="str">
        <f>IFERROR(__xludf.DUMMYFUNCTION("""COMPUTED_VALUE"""),"友人と会うため")</f>
        <v>友人と会うため</v>
      </c>
      <c r="T3" s="1"/>
      <c r="U3" s="1" t="str">
        <f>IFERROR(__xludf.DUMMYFUNCTION("""COMPUTED_VALUE"""),"雰囲気・心地良さ")</f>
        <v>雰囲気・心地良さ</v>
      </c>
      <c r="V3" s="1"/>
      <c r="W3" s="1" t="str">
        <f>IFERROR(__xludf.DUMMYFUNCTION("""COMPUTED_VALUE"""),"はい（西洋的）")</f>
        <v>はい（西洋的）</v>
      </c>
      <c r="X3" s="1" t="str">
        <f>IFERROR(__xludf.DUMMYFUNCTION("""COMPUTED_VALUE"""),"はい（日本的）")</f>
        <v>はい（日本的）</v>
      </c>
      <c r="Y3" s="1">
        <f>IFERROR(__xludf.DUMMYFUNCTION("""COMPUTED_VALUE"""),3.0)</f>
        <v>3</v>
      </c>
      <c r="Z3" s="1">
        <f>IFERROR(__xludf.DUMMYFUNCTION("""COMPUTED_VALUE"""),6.0)</f>
        <v>6</v>
      </c>
      <c r="AA3" s="1">
        <f>IFERROR(__xludf.DUMMYFUNCTION("""COMPUTED_VALUE"""),5.0)</f>
        <v>5</v>
      </c>
      <c r="AB3" s="1" t="str">
        <f>IFERROR(__xludf.DUMMYFUNCTION("""COMPUTED_VALUE"""),"いいえ")</f>
        <v>いいえ</v>
      </c>
      <c r="AK3" s="1" t="s">
        <v>25</v>
      </c>
      <c r="AL3" s="1" t="s">
        <v>26</v>
      </c>
      <c r="AM3" s="5">
        <v>46029.96582175926</v>
      </c>
      <c r="AN3" s="1" t="s">
        <v>27</v>
      </c>
      <c r="AO3" s="1" t="s">
        <v>28</v>
      </c>
      <c r="AP3" s="1" t="s">
        <v>29</v>
      </c>
      <c r="AQ3" s="1" t="s">
        <v>30</v>
      </c>
      <c r="AR3" s="1" t="s">
        <v>31</v>
      </c>
      <c r="AS3" s="1" t="s">
        <v>32</v>
      </c>
      <c r="AU3" s="1" t="s">
        <v>31</v>
      </c>
      <c r="AV3" s="1" t="s">
        <v>33</v>
      </c>
      <c r="AX3" s="1" t="str">
        <f>IFERROR(__xludf.DUMMYFUNCTION("""COMPUTED_VALUE"""),"Price, Taste/Flavor")</f>
        <v>Price, Taste/Flavor</v>
      </c>
      <c r="AZ3" s="1" t="str">
        <f>IFERROR(__xludf.DUMMYFUNCTION("""COMPUTED_VALUE"""),"At home")</f>
        <v>At home</v>
      </c>
      <c r="BB3" s="1" t="s">
        <v>31</v>
      </c>
      <c r="BC3" s="1" t="s">
        <v>34</v>
      </c>
      <c r="BE3" s="1" t="s">
        <v>35</v>
      </c>
      <c r="BG3" s="1" t="s">
        <v>36</v>
      </c>
      <c r="BH3" s="1" t="s">
        <v>37</v>
      </c>
      <c r="BI3" s="1">
        <v>3.0</v>
      </c>
      <c r="BJ3" s="1">
        <v>6.0</v>
      </c>
      <c r="BK3" s="1">
        <v>5.0</v>
      </c>
      <c r="BL3" s="1" t="s">
        <v>38</v>
      </c>
    </row>
    <row r="4">
      <c r="A4" s="1" t="str">
        <f>IFERROR(__xludf.DUMMYFUNCTION("""COMPUTED_VALUE"""),"ODxRYQA")</f>
        <v>ODxRYQA</v>
      </c>
      <c r="B4" s="1" t="str">
        <f>IFERROR(__xludf.DUMMYFUNCTION("""COMPUTED_VALUE"""),"Y5WP1Lv")</f>
        <v>Y5WP1Lv</v>
      </c>
      <c r="C4" s="5">
        <f>IFERROR(__xludf.DUMMYFUNCTION("""COMPUTED_VALUE"""),46029.97939814815)</f>
        <v>46029.9794</v>
      </c>
      <c r="D4" s="1" t="str">
        <f>IFERROR(__xludf.DUMMYFUNCTION("""COMPUTED_VALUE"""),"18〜25歳")</f>
        <v>18〜25歳</v>
      </c>
      <c r="E4" s="1" t="str">
        <f>IFERROR(__xludf.DUMMYFUNCTION("""COMPUTED_VALUE"""),"男性")</f>
        <v>男性</v>
      </c>
      <c r="F4" s="1" t="str">
        <f>IFERROR(__xludf.DUMMYFUNCTION("""COMPUTED_VALUE"""),"600万円〜899万9,999円")</f>
        <v>600万円〜899万9,999円</v>
      </c>
      <c r="G4" s="1" t="str">
        <f>IFERROR(__xludf.DUMMYFUNCTION("""COMPUTED_VALUE"""),"関東")</f>
        <v>関東</v>
      </c>
      <c r="H4" s="1" t="str">
        <f>IFERROR(__xludf.DUMMYFUNCTION("""COMPUTED_VALUE"""),"毎日")</f>
        <v>毎日</v>
      </c>
      <c r="I4" s="1" t="str">
        <f>IFERROR(__xludf.DUMMYFUNCTION("""COMPUTED_VALUE"""),"ドリップコーヒー")</f>
        <v>ドリップコーヒー</v>
      </c>
      <c r="J4" s="1"/>
      <c r="K4" s="1" t="str">
        <f>IFERROR(__xludf.DUMMYFUNCTION("""COMPUTED_VALUE"""),"毎日")</f>
        <v>毎日</v>
      </c>
      <c r="L4" s="1" t="str">
        <f>IFERROR(__xludf.DUMMYFUNCTION("""COMPUTED_VALUE"""),"濃茶")</f>
        <v>濃茶</v>
      </c>
      <c r="M4" s="1"/>
      <c r="N4" s="1" t="str">
        <f>IFERROR(__xludf.DUMMYFUNCTION("""COMPUTED_VALUE"""),"味・風味, エナジー／カフェイン")</f>
        <v>味・風味, エナジー／カフェイン</v>
      </c>
      <c r="O4" s="1"/>
      <c r="P4" s="1" t="str">
        <f>IFERROR(__xludf.DUMMYFUNCTION("""COMPUTED_VALUE"""),"カフェで, 自宅で")</f>
        <v>カフェで, 自宅で</v>
      </c>
      <c r="Q4" s="1"/>
      <c r="R4" s="1" t="str">
        <f>IFERROR(__xludf.DUMMYFUNCTION("""COMPUTED_VALUE"""),"週に数回")</f>
        <v>週に数回</v>
      </c>
      <c r="S4" s="1" t="str">
        <f>IFERROR(__xludf.DUMMYFUNCTION("""COMPUTED_VALUE"""),"新しい飲み物を試すため")</f>
        <v>新しい飲み物を試すため</v>
      </c>
      <c r="T4" s="1"/>
      <c r="U4" s="1" t="str">
        <f>IFERROR(__xludf.DUMMYFUNCTION("""COMPUTED_VALUE"""),"飲み物の味・品質")</f>
        <v>飲み物の味・品質</v>
      </c>
      <c r="V4" s="1"/>
      <c r="W4" s="1" t="str">
        <f>IFERROR(__xludf.DUMMYFUNCTION("""COMPUTED_VALUE"""),"はい（グローバル）")</f>
        <v>はい（グローバル）</v>
      </c>
      <c r="X4" s="1" t="str">
        <f>IFERROR(__xludf.DUMMYFUNCTION("""COMPUTED_VALUE"""),"はい（日本的）")</f>
        <v>はい（日本的）</v>
      </c>
      <c r="Y4" s="1">
        <f>IFERROR(__xludf.DUMMYFUNCTION("""COMPUTED_VALUE"""),3.0)</f>
        <v>3</v>
      </c>
      <c r="Z4" s="1">
        <f>IFERROR(__xludf.DUMMYFUNCTION("""COMPUTED_VALUE"""),4.0)</f>
        <v>4</v>
      </c>
      <c r="AA4" s="1">
        <f>IFERROR(__xludf.DUMMYFUNCTION("""COMPUTED_VALUE"""),3.0)</f>
        <v>3</v>
      </c>
      <c r="AB4" s="1" t="str">
        <f>IFERROR(__xludf.DUMMYFUNCTION("""COMPUTED_VALUE"""),"いいえ")</f>
        <v>いいえ</v>
      </c>
      <c r="AK4" s="1" t="s">
        <v>39</v>
      </c>
      <c r="AL4" s="1" t="s">
        <v>40</v>
      </c>
      <c r="AM4" s="5">
        <v>46029.97939814815</v>
      </c>
      <c r="AN4" s="1" t="s">
        <v>41</v>
      </c>
      <c r="AO4" s="1" t="s">
        <v>42</v>
      </c>
      <c r="AP4" s="1" t="s">
        <v>43</v>
      </c>
      <c r="AQ4" s="1" t="s">
        <v>30</v>
      </c>
      <c r="AR4" s="1" t="s">
        <v>44</v>
      </c>
      <c r="AS4" s="1" t="s">
        <v>32</v>
      </c>
      <c r="AU4" s="1" t="s">
        <v>44</v>
      </c>
      <c r="AV4" s="1" t="s">
        <v>45</v>
      </c>
      <c r="AX4" s="1" t="str">
        <f>IFERROR(__xludf.DUMMYFUNCTION("""COMPUTED_VALUE"""),"Taste/Flavor, Energy boost/Caffeine")</f>
        <v>Taste/Flavor, Energy boost/Caffeine</v>
      </c>
      <c r="AZ4" s="1" t="str">
        <f>IFERROR(__xludf.DUMMYFUNCTION("""COMPUTED_VALUE"""),"At cafés, At home")</f>
        <v>At cafés, At home</v>
      </c>
      <c r="BB4" s="1" t="s">
        <v>31</v>
      </c>
      <c r="BC4" s="1" t="s">
        <v>46</v>
      </c>
      <c r="BE4" s="1" t="s">
        <v>47</v>
      </c>
      <c r="BG4" s="1" t="s">
        <v>48</v>
      </c>
      <c r="BH4" s="1" t="s">
        <v>37</v>
      </c>
      <c r="BI4" s="1">
        <v>3.0</v>
      </c>
      <c r="BJ4" s="1">
        <v>4.0</v>
      </c>
      <c r="BK4" s="1">
        <v>3.0</v>
      </c>
      <c r="BL4" s="1" t="s">
        <v>38</v>
      </c>
    </row>
    <row r="5">
      <c r="A5" s="1" t="str">
        <f>IFERROR(__xludf.DUMMYFUNCTION("""COMPUTED_VALUE"""),"Zjb0xWz")</f>
        <v>Zjb0xWz</v>
      </c>
      <c r="B5" s="1" t="str">
        <f>IFERROR(__xludf.DUMMYFUNCTION("""COMPUTED_VALUE"""),"q4Aa8P9")</f>
        <v>q4Aa8P9</v>
      </c>
      <c r="C5" s="5">
        <f>IFERROR(__xludf.DUMMYFUNCTION("""COMPUTED_VALUE"""),46030.24071759259)</f>
        <v>46030.24072</v>
      </c>
      <c r="D5" s="1" t="str">
        <f>IFERROR(__xludf.DUMMYFUNCTION("""COMPUTED_VALUE"""),"36〜45歳")</f>
        <v>36〜45歳</v>
      </c>
      <c r="E5" s="1" t="str">
        <f>IFERROR(__xludf.DUMMYFUNCTION("""COMPUTED_VALUE"""),"男性")</f>
        <v>男性</v>
      </c>
      <c r="F5" s="1" t="str">
        <f>IFERROR(__xludf.DUMMYFUNCTION("""COMPUTED_VALUE"""),"回答しない")</f>
        <v>回答しない</v>
      </c>
      <c r="G5" s="1" t="str">
        <f>IFERROR(__xludf.DUMMYFUNCTION("""COMPUTED_VALUE"""),"関東")</f>
        <v>関東</v>
      </c>
      <c r="H5" s="1" t="str">
        <f>IFERROR(__xludf.DUMMYFUNCTION("""COMPUTED_VALUE"""),"毎日")</f>
        <v>毎日</v>
      </c>
      <c r="I5" s="1" t="str">
        <f>IFERROR(__xludf.DUMMYFUNCTION("""COMPUTED_VALUE"""),"プアオーバー（ハンドドリップ）")</f>
        <v>プアオーバー（ハンドドリップ）</v>
      </c>
      <c r="J5" s="1"/>
      <c r="K5" s="1" t="str">
        <f>IFERROR(__xludf.DUMMYFUNCTION("""COMPUTED_VALUE"""),"週に数回")</f>
        <v>週に数回</v>
      </c>
      <c r="L5" s="1" t="str">
        <f>IFERROR(__xludf.DUMMYFUNCTION("""COMPUTED_VALUE"""),"薄茶")</f>
        <v>薄茶</v>
      </c>
      <c r="M5" s="1"/>
      <c r="N5" s="1" t="str">
        <f>IFERROR(__xludf.DUMMYFUNCTION("""COMPUTED_VALUE"""),"味・風味")</f>
        <v>味・風味</v>
      </c>
      <c r="O5" s="1"/>
      <c r="P5" s="1" t="str">
        <f>IFERROR(__xludf.DUMMYFUNCTION("""COMPUTED_VALUE"""),"カフェで")</f>
        <v>カフェで</v>
      </c>
      <c r="Q5" s="1"/>
      <c r="R5" s="1" t="str">
        <f>IFERROR(__xludf.DUMMYFUNCTION("""COMPUTED_VALUE"""),"週に数回")</f>
        <v>週に数回</v>
      </c>
      <c r="S5" s="1" t="str">
        <f>IFERROR(__xludf.DUMMYFUNCTION("""COMPUTED_VALUE"""),"その他：")</f>
        <v>その他：</v>
      </c>
      <c r="T5" s="1" t="str">
        <f>IFERROR(__xludf.DUMMYFUNCTION("""COMPUTED_VALUE"""),"お店の人と会話をしたいため")</f>
        <v>お店の人と会話をしたいため</v>
      </c>
      <c r="U5" s="1" t="str">
        <f>IFERROR(__xludf.DUMMYFUNCTION("""COMPUTED_VALUE"""),"その他：")</f>
        <v>その他：</v>
      </c>
      <c r="V5" s="1" t="str">
        <f>IFERROR(__xludf.DUMMYFUNCTION("""COMPUTED_VALUE"""),"その時の利用目的による")</f>
        <v>その時の利用目的による</v>
      </c>
      <c r="W5" s="1" t="str">
        <f>IFERROR(__xludf.DUMMYFUNCTION("""COMPUTED_VALUE"""),"はい（グローバル）")</f>
        <v>はい（グローバル）</v>
      </c>
      <c r="X5" s="1" t="str">
        <f>IFERROR(__xludf.DUMMYFUNCTION("""COMPUTED_VALUE"""),"はい（グローバル）")</f>
        <v>はい（グローバル）</v>
      </c>
      <c r="Y5" s="1">
        <f>IFERROR(__xludf.DUMMYFUNCTION("""COMPUTED_VALUE"""),7.0)</f>
        <v>7</v>
      </c>
      <c r="Z5" s="1">
        <f>IFERROR(__xludf.DUMMYFUNCTION("""COMPUTED_VALUE"""),7.0)</f>
        <v>7</v>
      </c>
      <c r="AA5" s="1">
        <f>IFERROR(__xludf.DUMMYFUNCTION("""COMPUTED_VALUE"""),7.0)</f>
        <v>7</v>
      </c>
      <c r="AB5" s="1" t="str">
        <f>IFERROR(__xludf.DUMMYFUNCTION("""COMPUTED_VALUE"""),"いいえ")</f>
        <v>いいえ</v>
      </c>
      <c r="AK5" s="1" t="s">
        <v>49</v>
      </c>
      <c r="AL5" s="1" t="s">
        <v>50</v>
      </c>
      <c r="AM5" s="5">
        <v>46030.24071759259</v>
      </c>
      <c r="AN5" s="1" t="s">
        <v>51</v>
      </c>
      <c r="AO5" s="1" t="s">
        <v>42</v>
      </c>
      <c r="AP5" s="1" t="s">
        <v>52</v>
      </c>
      <c r="AQ5" s="1" t="s">
        <v>30</v>
      </c>
      <c r="AR5" s="1" t="s">
        <v>44</v>
      </c>
      <c r="AS5" s="1" t="s">
        <v>53</v>
      </c>
      <c r="AU5" s="1" t="s">
        <v>31</v>
      </c>
      <c r="AV5" s="1" t="s">
        <v>33</v>
      </c>
      <c r="AX5" s="1" t="str">
        <f>IFERROR(__xludf.DUMMYFUNCTION("""COMPUTED_VALUE"""),"Taste/Flavor")</f>
        <v>Taste/Flavor</v>
      </c>
      <c r="AZ5" s="1" t="str">
        <f>IFERROR(__xludf.DUMMYFUNCTION("""COMPUTED_VALUE"""),"At cafés")</f>
        <v>At cafés</v>
      </c>
      <c r="BB5" s="1" t="s">
        <v>31</v>
      </c>
      <c r="BC5" s="1" t="s">
        <v>54</v>
      </c>
      <c r="BD5" s="6" t="s">
        <v>55</v>
      </c>
      <c r="BE5" s="1" t="s">
        <v>54</v>
      </c>
      <c r="BF5" s="6" t="s">
        <v>56</v>
      </c>
      <c r="BG5" s="1" t="s">
        <v>48</v>
      </c>
      <c r="BH5" s="1" t="s">
        <v>48</v>
      </c>
      <c r="BI5" s="1">
        <v>7.0</v>
      </c>
      <c r="BJ5" s="1">
        <v>7.0</v>
      </c>
      <c r="BK5" s="1">
        <v>7.0</v>
      </c>
      <c r="BL5" s="1" t="s">
        <v>38</v>
      </c>
    </row>
    <row r="6">
      <c r="A6" s="1" t="str">
        <f>IFERROR(__xludf.DUMMYFUNCTION("""COMPUTED_VALUE"""),"GxAKvz2")</f>
        <v>GxAKvz2</v>
      </c>
      <c r="B6" s="1" t="str">
        <f>IFERROR(__xludf.DUMMYFUNCTION("""COMPUTED_VALUE"""),"jaQQQKx")</f>
        <v>jaQQQKx</v>
      </c>
      <c r="C6" s="5">
        <f>IFERROR(__xludf.DUMMYFUNCTION("""COMPUTED_VALUE"""),46031.24113425926)</f>
        <v>46031.24113</v>
      </c>
      <c r="D6" s="1" t="str">
        <f>IFERROR(__xludf.DUMMYFUNCTION("""COMPUTED_VALUE"""),"18〜25歳")</f>
        <v>18〜25歳</v>
      </c>
      <c r="E6" s="1" t="str">
        <f>IFERROR(__xludf.DUMMYFUNCTION("""COMPUTED_VALUE"""),"女性")</f>
        <v>女性</v>
      </c>
      <c r="F6" s="1" t="str">
        <f>IFERROR(__xludf.DUMMYFUNCTION("""COMPUTED_VALUE"""),"回答しない")</f>
        <v>回答しない</v>
      </c>
      <c r="G6" s="1" t="str">
        <f>IFERROR(__xludf.DUMMYFUNCTION("""COMPUTED_VALUE"""),"関東")</f>
        <v>関東</v>
      </c>
      <c r="H6" s="1" t="str">
        <f>IFERROR(__xludf.DUMMYFUNCTION("""COMPUTED_VALUE"""),"毎日")</f>
        <v>毎日</v>
      </c>
      <c r="I6" s="1" t="str">
        <f>IFERROR(__xludf.DUMMYFUNCTION("""COMPUTED_VALUE"""),"ドリップコーヒー")</f>
        <v>ドリップコーヒー</v>
      </c>
      <c r="J6" s="1"/>
      <c r="K6" s="1" t="str">
        <f>IFERROR(__xludf.DUMMYFUNCTION("""COMPUTED_VALUE"""),"週に数回")</f>
        <v>週に数回</v>
      </c>
      <c r="L6" s="1" t="str">
        <f>IFERROR(__xludf.DUMMYFUNCTION("""COMPUTED_VALUE"""),"抹茶ラテ")</f>
        <v>抹茶ラテ</v>
      </c>
      <c r="M6" s="1"/>
      <c r="N6" s="1" t="str">
        <f>IFERROR(__xludf.DUMMYFUNCTION("""COMPUTED_VALUE"""),"味・風味")</f>
        <v>味・風味</v>
      </c>
      <c r="O6" s="1"/>
      <c r="P6" s="1" t="str">
        <f>IFERROR(__xludf.DUMMYFUNCTION("""COMPUTED_VALUE"""),"自宅で")</f>
        <v>自宅で</v>
      </c>
      <c r="Q6" s="1"/>
      <c r="R6" s="1" t="str">
        <f>IFERROR(__xludf.DUMMYFUNCTION("""COMPUTED_VALUE"""),"月に数回")</f>
        <v>月に数回</v>
      </c>
      <c r="S6" s="1" t="str">
        <f>IFERROR(__xludf.DUMMYFUNCTION("""COMPUTED_VALUE"""),"休憩・リラックスするため")</f>
        <v>休憩・リラックスするため</v>
      </c>
      <c r="T6" s="1"/>
      <c r="U6" s="1" t="str">
        <f>IFERROR(__xludf.DUMMYFUNCTION("""COMPUTED_VALUE"""),"飲み物の味・品質")</f>
        <v>飲み物の味・品質</v>
      </c>
      <c r="V6" s="1"/>
      <c r="W6" s="1" t="str">
        <f>IFERROR(__xludf.DUMMYFUNCTION("""COMPUTED_VALUE"""),"はい（西洋的）")</f>
        <v>はい（西洋的）</v>
      </c>
      <c r="X6" s="1" t="str">
        <f>IFERROR(__xludf.DUMMYFUNCTION("""COMPUTED_VALUE"""),"はい（日本的）")</f>
        <v>はい（日本的）</v>
      </c>
      <c r="Y6" s="1">
        <f>IFERROR(__xludf.DUMMYFUNCTION("""COMPUTED_VALUE"""),7.0)</f>
        <v>7</v>
      </c>
      <c r="Z6" s="1">
        <f>IFERROR(__xludf.DUMMYFUNCTION("""COMPUTED_VALUE"""),7.0)</f>
        <v>7</v>
      </c>
      <c r="AA6" s="1">
        <f>IFERROR(__xludf.DUMMYFUNCTION("""COMPUTED_VALUE"""),4.0)</f>
        <v>4</v>
      </c>
      <c r="AB6" s="1" t="str">
        <f>IFERROR(__xludf.DUMMYFUNCTION("""COMPUTED_VALUE"""),"いいえ")</f>
        <v>いいえ</v>
      </c>
      <c r="AK6" s="1" t="s">
        <v>57</v>
      </c>
      <c r="AL6" s="1" t="s">
        <v>58</v>
      </c>
      <c r="AM6" s="5">
        <v>46031.24113425926</v>
      </c>
      <c r="AN6" s="1" t="s">
        <v>41</v>
      </c>
      <c r="AO6" s="1" t="s">
        <v>28</v>
      </c>
      <c r="AP6" s="1" t="s">
        <v>52</v>
      </c>
      <c r="AQ6" s="1" t="s">
        <v>30</v>
      </c>
      <c r="AR6" s="1" t="s">
        <v>44</v>
      </c>
      <c r="AS6" s="1" t="s">
        <v>32</v>
      </c>
      <c r="AU6" s="1" t="s">
        <v>31</v>
      </c>
      <c r="AV6" s="1" t="s">
        <v>59</v>
      </c>
      <c r="AX6" s="1" t="str">
        <f>IFERROR(__xludf.DUMMYFUNCTION("""COMPUTED_VALUE"""),"Taste/Flavor")</f>
        <v>Taste/Flavor</v>
      </c>
      <c r="AZ6" s="1" t="str">
        <f>IFERROR(__xludf.DUMMYFUNCTION("""COMPUTED_VALUE"""),"At home")</f>
        <v>At home</v>
      </c>
      <c r="BB6" s="1" t="s">
        <v>60</v>
      </c>
      <c r="BC6" s="1" t="s">
        <v>61</v>
      </c>
      <c r="BE6" s="1" t="s">
        <v>47</v>
      </c>
      <c r="BG6" s="1" t="s">
        <v>36</v>
      </c>
      <c r="BH6" s="1" t="s">
        <v>37</v>
      </c>
      <c r="BI6" s="1">
        <v>7.0</v>
      </c>
      <c r="BJ6" s="1">
        <v>7.0</v>
      </c>
      <c r="BK6" s="1">
        <v>4.0</v>
      </c>
      <c r="BL6" s="1" t="s">
        <v>38</v>
      </c>
    </row>
    <row r="7">
      <c r="A7" s="1" t="str">
        <f>IFERROR(__xludf.DUMMYFUNCTION("""COMPUTED_VALUE"""),"814zo8o")</f>
        <v>814zo8o</v>
      </c>
      <c r="B7" s="1" t="str">
        <f>IFERROR(__xludf.DUMMYFUNCTION("""COMPUTED_VALUE"""),"EkQQQyN")</f>
        <v>EkQQQyN</v>
      </c>
      <c r="C7" s="5">
        <f>IFERROR(__xludf.DUMMYFUNCTION("""COMPUTED_VALUE"""),46031.24151620371)</f>
        <v>46031.24152</v>
      </c>
      <c r="D7" s="1" t="str">
        <f>IFERROR(__xludf.DUMMYFUNCTION("""COMPUTED_VALUE"""),"18〜25歳")</f>
        <v>18〜25歳</v>
      </c>
      <c r="E7" s="1" t="str">
        <f>IFERROR(__xludf.DUMMYFUNCTION("""COMPUTED_VALUE"""),"女性")</f>
        <v>女性</v>
      </c>
      <c r="F7" s="1" t="str">
        <f>IFERROR(__xludf.DUMMYFUNCTION("""COMPUTED_VALUE"""),"300万円〜599万9,999円")</f>
        <v>300万円〜599万9,999円</v>
      </c>
      <c r="G7" s="1" t="str">
        <f>IFERROR(__xludf.DUMMYFUNCTION("""COMPUTED_VALUE"""),"関東")</f>
        <v>関東</v>
      </c>
      <c r="H7" s="1" t="str">
        <f>IFERROR(__xludf.DUMMYFUNCTION("""COMPUTED_VALUE"""),"週に数回")</f>
        <v>週に数回</v>
      </c>
      <c r="I7" s="1" t="str">
        <f>IFERROR(__xludf.DUMMYFUNCTION("""COMPUTED_VALUE"""),"ラテ")</f>
        <v>ラテ</v>
      </c>
      <c r="J7" s="1"/>
      <c r="K7" s="1" t="str">
        <f>IFERROR(__xludf.DUMMYFUNCTION("""COMPUTED_VALUE"""),"週に数回")</f>
        <v>週に数回</v>
      </c>
      <c r="L7" s="1" t="str">
        <f>IFERROR(__xludf.DUMMYFUNCTION("""COMPUTED_VALUE"""),"抹茶ラテ")</f>
        <v>抹茶ラテ</v>
      </c>
      <c r="M7" s="1"/>
      <c r="N7" s="1" t="str">
        <f>IFERROR(__xludf.DUMMYFUNCTION("""COMPUTED_VALUE"""),"味・風味")</f>
        <v>味・風味</v>
      </c>
      <c r="O7" s="1"/>
      <c r="P7" s="1" t="str">
        <f>IFERROR(__xludf.DUMMYFUNCTION("""COMPUTED_VALUE"""),"カフェで, 自宅で")</f>
        <v>カフェで, 自宅で</v>
      </c>
      <c r="Q7" s="1"/>
      <c r="R7" s="1" t="str">
        <f>IFERROR(__xludf.DUMMYFUNCTION("""COMPUTED_VALUE"""),"月に数回")</f>
        <v>月に数回</v>
      </c>
      <c r="S7" s="1" t="str">
        <f>IFERROR(__xludf.DUMMYFUNCTION("""COMPUTED_VALUE"""),"新しい飲み物を試すため")</f>
        <v>新しい飲み物を試すため</v>
      </c>
      <c r="T7" s="1"/>
      <c r="U7" s="1" t="str">
        <f>IFERROR(__xludf.DUMMYFUNCTION("""COMPUTED_VALUE"""),"雰囲気・心地良さ")</f>
        <v>雰囲気・心地良さ</v>
      </c>
      <c r="V7" s="1"/>
      <c r="W7" s="1" t="str">
        <f>IFERROR(__xludf.DUMMYFUNCTION("""COMPUTED_VALUE"""),"わからない")</f>
        <v>わからない</v>
      </c>
      <c r="X7" s="1" t="str">
        <f>IFERROR(__xludf.DUMMYFUNCTION("""COMPUTED_VALUE"""),"はい（日本的）")</f>
        <v>はい（日本的）</v>
      </c>
      <c r="Y7" s="1">
        <f>IFERROR(__xludf.DUMMYFUNCTION("""COMPUTED_VALUE"""),4.0)</f>
        <v>4</v>
      </c>
      <c r="Z7" s="1">
        <f>IFERROR(__xludf.DUMMYFUNCTION("""COMPUTED_VALUE"""),5.0)</f>
        <v>5</v>
      </c>
      <c r="AA7" s="1">
        <f>IFERROR(__xludf.DUMMYFUNCTION("""COMPUTED_VALUE"""),6.0)</f>
        <v>6</v>
      </c>
      <c r="AB7" s="1" t="str">
        <f>IFERROR(__xludf.DUMMYFUNCTION("""COMPUTED_VALUE"""),"いいえ")</f>
        <v>いいえ</v>
      </c>
      <c r="AK7" s="1" t="s">
        <v>62</v>
      </c>
      <c r="AL7" s="1" t="s">
        <v>63</v>
      </c>
      <c r="AM7" s="5">
        <v>46031.24151620371</v>
      </c>
      <c r="AN7" s="1" t="s">
        <v>41</v>
      </c>
      <c r="AO7" s="1" t="s">
        <v>28</v>
      </c>
      <c r="AP7" s="1" t="s">
        <v>64</v>
      </c>
      <c r="AQ7" s="1" t="s">
        <v>30</v>
      </c>
      <c r="AR7" s="1" t="s">
        <v>31</v>
      </c>
      <c r="AS7" s="1" t="s">
        <v>65</v>
      </c>
      <c r="AU7" s="1" t="s">
        <v>31</v>
      </c>
      <c r="AV7" s="1" t="s">
        <v>59</v>
      </c>
      <c r="AX7" s="1" t="str">
        <f>IFERROR(__xludf.DUMMYFUNCTION("""COMPUTED_VALUE"""),"Taste/Flavor")</f>
        <v>Taste/Flavor</v>
      </c>
      <c r="AZ7" s="1" t="str">
        <f>IFERROR(__xludf.DUMMYFUNCTION("""COMPUTED_VALUE"""),"At cafés, At home")</f>
        <v>At cafés, At home</v>
      </c>
      <c r="BB7" s="1" t="s">
        <v>60</v>
      </c>
      <c r="BC7" s="1" t="s">
        <v>46</v>
      </c>
      <c r="BE7" s="1" t="s">
        <v>35</v>
      </c>
      <c r="BG7" s="1" t="s">
        <v>66</v>
      </c>
      <c r="BH7" s="1" t="s">
        <v>37</v>
      </c>
      <c r="BI7" s="1">
        <v>4.0</v>
      </c>
      <c r="BJ7" s="1">
        <v>5.0</v>
      </c>
      <c r="BK7" s="1">
        <v>6.0</v>
      </c>
      <c r="BL7" s="1" t="s">
        <v>38</v>
      </c>
    </row>
    <row r="8">
      <c r="A8" s="1" t="str">
        <f>IFERROR(__xludf.DUMMYFUNCTION("""COMPUTED_VALUE"""),"dWex1GN")</f>
        <v>dWex1GN</v>
      </c>
      <c r="B8" s="1" t="str">
        <f>IFERROR(__xludf.DUMMYFUNCTION("""COMPUTED_VALUE"""),"NpWVjdB")</f>
        <v>NpWVjdB</v>
      </c>
      <c r="C8" s="5">
        <f>IFERROR(__xludf.DUMMYFUNCTION("""COMPUTED_VALUE"""),46031.95395833333)</f>
        <v>46031.95396</v>
      </c>
      <c r="D8" s="1" t="str">
        <f>IFERROR(__xludf.DUMMYFUNCTION("""COMPUTED_VALUE"""),"18〜25歳")</f>
        <v>18〜25歳</v>
      </c>
      <c r="E8" s="1" t="str">
        <f>IFERROR(__xludf.DUMMYFUNCTION("""COMPUTED_VALUE"""),"女性")</f>
        <v>女性</v>
      </c>
      <c r="F8" s="1" t="str">
        <f>IFERROR(__xludf.DUMMYFUNCTION("""COMPUTED_VALUE"""),"300万円〜599万9,999円")</f>
        <v>300万円〜599万9,999円</v>
      </c>
      <c r="G8" s="1" t="str">
        <f>IFERROR(__xludf.DUMMYFUNCTION("""COMPUTED_VALUE"""),"関東")</f>
        <v>関東</v>
      </c>
      <c r="H8" s="1" t="str">
        <f>IFERROR(__xludf.DUMMYFUNCTION("""COMPUTED_VALUE"""),"毎日")</f>
        <v>毎日</v>
      </c>
      <c r="I8" s="1" t="str">
        <f>IFERROR(__xludf.DUMMYFUNCTION("""COMPUTED_VALUE"""),"プアオーバー（ハンドドリップ）")</f>
        <v>プアオーバー（ハンドドリップ）</v>
      </c>
      <c r="J8" s="1"/>
      <c r="K8" s="1" t="str">
        <f>IFERROR(__xludf.DUMMYFUNCTION("""COMPUTED_VALUE"""),"週に1回")</f>
        <v>週に1回</v>
      </c>
      <c r="L8" s="1" t="str">
        <f>IFERROR(__xludf.DUMMYFUNCTION("""COMPUTED_VALUE"""),"抹茶ラテ")</f>
        <v>抹茶ラテ</v>
      </c>
      <c r="M8" s="1"/>
      <c r="N8" s="1" t="str">
        <f>IFERROR(__xludf.DUMMYFUNCTION("""COMPUTED_VALUE"""),"味・風味")</f>
        <v>味・風味</v>
      </c>
      <c r="O8" s="1"/>
      <c r="P8" s="1" t="str">
        <f>IFERROR(__xludf.DUMMYFUNCTION("""COMPUTED_VALUE"""),"カフェで")</f>
        <v>カフェで</v>
      </c>
      <c r="Q8" s="1"/>
      <c r="R8" s="1" t="str">
        <f>IFERROR(__xludf.DUMMYFUNCTION("""COMPUTED_VALUE"""),"週に数回")</f>
        <v>週に数回</v>
      </c>
      <c r="S8" s="1" t="str">
        <f>IFERROR(__xludf.DUMMYFUNCTION("""COMPUTED_VALUE"""),"休憩・リラックスするため")</f>
        <v>休憩・リラックスするため</v>
      </c>
      <c r="T8" s="1"/>
      <c r="U8" s="1" t="str">
        <f>IFERROR(__xludf.DUMMYFUNCTION("""COMPUTED_VALUE"""),"サービス")</f>
        <v>サービス</v>
      </c>
      <c r="V8" s="1"/>
      <c r="W8" s="1" t="str">
        <f>IFERROR(__xludf.DUMMYFUNCTION("""COMPUTED_VALUE"""),"はい（グローバル）")</f>
        <v>はい（グローバル）</v>
      </c>
      <c r="X8" s="1" t="str">
        <f>IFERROR(__xludf.DUMMYFUNCTION("""COMPUTED_VALUE"""),"はい（日本的）")</f>
        <v>はい（日本的）</v>
      </c>
      <c r="Y8" s="1">
        <f>IFERROR(__xludf.DUMMYFUNCTION("""COMPUTED_VALUE"""),4.0)</f>
        <v>4</v>
      </c>
      <c r="Z8" s="1">
        <f>IFERROR(__xludf.DUMMYFUNCTION("""COMPUTED_VALUE"""),5.0)</f>
        <v>5</v>
      </c>
      <c r="AA8" s="1">
        <f>IFERROR(__xludf.DUMMYFUNCTION("""COMPUTED_VALUE"""),5.0)</f>
        <v>5</v>
      </c>
      <c r="AB8" s="1" t="str">
        <f>IFERROR(__xludf.DUMMYFUNCTION("""COMPUTED_VALUE"""),"はい")</f>
        <v>はい</v>
      </c>
      <c r="AK8" s="1" t="s">
        <v>67</v>
      </c>
      <c r="AL8" s="1" t="s">
        <v>68</v>
      </c>
      <c r="AM8" s="5">
        <v>46031.95395833333</v>
      </c>
      <c r="AN8" s="1" t="s">
        <v>41</v>
      </c>
      <c r="AO8" s="1" t="s">
        <v>28</v>
      </c>
      <c r="AP8" s="1" t="s">
        <v>64</v>
      </c>
      <c r="AQ8" s="1" t="s">
        <v>30</v>
      </c>
      <c r="AR8" s="1" t="s">
        <v>44</v>
      </c>
      <c r="AS8" s="1" t="s">
        <v>53</v>
      </c>
      <c r="AU8" s="1" t="s">
        <v>69</v>
      </c>
      <c r="AV8" s="1" t="s">
        <v>59</v>
      </c>
      <c r="AX8" s="1" t="str">
        <f>IFERROR(__xludf.DUMMYFUNCTION("""COMPUTED_VALUE"""),"Taste/Flavor")</f>
        <v>Taste/Flavor</v>
      </c>
      <c r="AZ8" s="1" t="str">
        <f>IFERROR(__xludf.DUMMYFUNCTION("""COMPUTED_VALUE"""),"At cafés")</f>
        <v>At cafés</v>
      </c>
      <c r="BB8" s="1" t="s">
        <v>31</v>
      </c>
      <c r="BC8" s="1" t="s">
        <v>61</v>
      </c>
      <c r="BE8" s="1" t="s">
        <v>70</v>
      </c>
      <c r="BG8" s="1" t="s">
        <v>48</v>
      </c>
      <c r="BH8" s="1" t="s">
        <v>37</v>
      </c>
      <c r="BI8" s="1">
        <v>4.0</v>
      </c>
      <c r="BJ8" s="1">
        <v>5.0</v>
      </c>
      <c r="BK8" s="1">
        <v>5.0</v>
      </c>
      <c r="BL8" s="1" t="s">
        <v>71</v>
      </c>
    </row>
    <row r="9">
      <c r="A9" s="1" t="str">
        <f>IFERROR(__xludf.DUMMYFUNCTION("""COMPUTED_VALUE"""),"rjM6VAp")</f>
        <v>rjM6VAp</v>
      </c>
      <c r="B9" s="1" t="str">
        <f>IFERROR(__xludf.DUMMYFUNCTION("""COMPUTED_VALUE"""),"RG5L4bP")</f>
        <v>RG5L4bP</v>
      </c>
      <c r="C9" s="5">
        <f>IFERROR(__xludf.DUMMYFUNCTION("""COMPUTED_VALUE"""),46032.076203703706)</f>
        <v>46032.0762</v>
      </c>
      <c r="D9" s="1" t="str">
        <f>IFERROR(__xludf.DUMMYFUNCTION("""COMPUTED_VALUE"""),"26〜35歳")</f>
        <v>26〜35歳</v>
      </c>
      <c r="E9" s="1" t="str">
        <f>IFERROR(__xludf.DUMMYFUNCTION("""COMPUTED_VALUE"""),"女性")</f>
        <v>女性</v>
      </c>
      <c r="F9" s="1" t="str">
        <f>IFERROR(__xludf.DUMMYFUNCTION("""COMPUTED_VALUE"""),"300万円未満")</f>
        <v>300万円未満</v>
      </c>
      <c r="G9" s="1" t="str">
        <f>IFERROR(__xludf.DUMMYFUNCTION("""COMPUTED_VALUE"""),"関東")</f>
        <v>関東</v>
      </c>
      <c r="H9" s="1" t="str">
        <f>IFERROR(__xludf.DUMMYFUNCTION("""COMPUTED_VALUE"""),"週に数回")</f>
        <v>週に数回</v>
      </c>
      <c r="I9" s="1" t="str">
        <f>IFERROR(__xludf.DUMMYFUNCTION("""COMPUTED_VALUE"""),"ラテ")</f>
        <v>ラテ</v>
      </c>
      <c r="J9" s="1"/>
      <c r="K9" s="1" t="str">
        <f>IFERROR(__xludf.DUMMYFUNCTION("""COMPUTED_VALUE"""),"ほとんど飲まない")</f>
        <v>ほとんど飲まない</v>
      </c>
      <c r="L9" s="1" t="str">
        <f>IFERROR(__xludf.DUMMYFUNCTION("""COMPUTED_VALUE"""),"濃茶")</f>
        <v>濃茶</v>
      </c>
      <c r="M9" s="1"/>
      <c r="N9" s="1" t="str">
        <f>IFERROR(__xludf.DUMMYFUNCTION("""COMPUTED_VALUE"""),"味・風味")</f>
        <v>味・風味</v>
      </c>
      <c r="O9" s="1"/>
      <c r="P9" s="1" t="str">
        <f>IFERROR(__xludf.DUMMYFUNCTION("""COMPUTED_VALUE"""),"カフェで, コンビニ（セブンイレブン、ローソンなど）")</f>
        <v>カフェで, コンビニ（セブンイレブン、ローソンなど）</v>
      </c>
      <c r="Q9" s="1"/>
      <c r="R9" s="1" t="str">
        <f>IFERROR(__xludf.DUMMYFUNCTION("""COMPUTED_VALUE"""),"ほとんど行かない")</f>
        <v>ほとんど行かない</v>
      </c>
      <c r="S9" s="1" t="str">
        <f>IFERROR(__xludf.DUMMYFUNCTION("""COMPUTED_VALUE"""),"勉強・仕事をするため")</f>
        <v>勉強・仕事をするため</v>
      </c>
      <c r="T9" s="1"/>
      <c r="U9" s="1" t="str">
        <f>IFERROR(__xludf.DUMMYFUNCTION("""COMPUTED_VALUE"""),"雰囲気・心地良さ")</f>
        <v>雰囲気・心地良さ</v>
      </c>
      <c r="V9" s="1"/>
      <c r="W9" s="1" t="str">
        <f>IFERROR(__xludf.DUMMYFUNCTION("""COMPUTED_VALUE"""),"はい（西洋的）")</f>
        <v>はい（西洋的）</v>
      </c>
      <c r="X9" s="1" t="str">
        <f>IFERROR(__xludf.DUMMYFUNCTION("""COMPUTED_VALUE"""),"はい（日本的）")</f>
        <v>はい（日本的）</v>
      </c>
      <c r="Y9" s="1">
        <f>IFERROR(__xludf.DUMMYFUNCTION("""COMPUTED_VALUE"""),7.0)</f>
        <v>7</v>
      </c>
      <c r="Z9" s="1">
        <f>IFERROR(__xludf.DUMMYFUNCTION("""COMPUTED_VALUE"""),7.0)</f>
        <v>7</v>
      </c>
      <c r="AA9" s="1">
        <f>IFERROR(__xludf.DUMMYFUNCTION("""COMPUTED_VALUE"""),5.0)</f>
        <v>5</v>
      </c>
      <c r="AB9" s="1" t="str">
        <f>IFERROR(__xludf.DUMMYFUNCTION("""COMPUTED_VALUE"""),"いいえ")</f>
        <v>いいえ</v>
      </c>
      <c r="AK9" s="1" t="s">
        <v>72</v>
      </c>
      <c r="AL9" s="1" t="s">
        <v>73</v>
      </c>
      <c r="AM9" s="5">
        <v>46032.076203703706</v>
      </c>
      <c r="AN9" s="1" t="s">
        <v>27</v>
      </c>
      <c r="AO9" s="1" t="s">
        <v>28</v>
      </c>
      <c r="AP9" s="1" t="s">
        <v>29</v>
      </c>
      <c r="AQ9" s="1" t="s">
        <v>30</v>
      </c>
      <c r="AR9" s="1" t="s">
        <v>31</v>
      </c>
      <c r="AS9" s="1" t="s">
        <v>65</v>
      </c>
      <c r="AU9" s="1" t="s">
        <v>74</v>
      </c>
      <c r="AV9" s="1" t="s">
        <v>45</v>
      </c>
      <c r="AX9" s="1" t="str">
        <f>IFERROR(__xludf.DUMMYFUNCTION("""COMPUTED_VALUE"""),"Taste/Flavor")</f>
        <v>Taste/Flavor</v>
      </c>
      <c r="AZ9" s="1" t="str">
        <f>IFERROR(__xludf.DUMMYFUNCTION("""COMPUTED_VALUE"""),"At cafés, From convenience stores (7-Eleven, Lawson, etc.)")</f>
        <v>At cafés, From convenience stores (7-Eleven, Lawson, etc.)</v>
      </c>
      <c r="BB9" s="1" t="s">
        <v>74</v>
      </c>
      <c r="BC9" s="1" t="s">
        <v>75</v>
      </c>
      <c r="BE9" s="1" t="s">
        <v>35</v>
      </c>
      <c r="BG9" s="1" t="s">
        <v>36</v>
      </c>
      <c r="BH9" s="1" t="s">
        <v>37</v>
      </c>
      <c r="BI9" s="1">
        <v>7.0</v>
      </c>
      <c r="BJ9" s="1">
        <v>7.0</v>
      </c>
      <c r="BK9" s="1">
        <v>5.0</v>
      </c>
      <c r="BL9" s="1" t="s">
        <v>38</v>
      </c>
    </row>
    <row r="10">
      <c r="A10" s="1" t="str">
        <f>IFERROR(__xludf.DUMMYFUNCTION("""COMPUTED_VALUE"""),"obLABbe")</f>
        <v>obLABbe</v>
      </c>
      <c r="B10" s="1" t="str">
        <f>IFERROR(__xludf.DUMMYFUNCTION("""COMPUTED_VALUE"""),"QK50l5k")</f>
        <v>QK50l5k</v>
      </c>
      <c r="C10" s="5">
        <f>IFERROR(__xludf.DUMMYFUNCTION("""COMPUTED_VALUE"""),46032.25387731481)</f>
        <v>46032.25388</v>
      </c>
      <c r="D10" s="1" t="str">
        <f>IFERROR(__xludf.DUMMYFUNCTION("""COMPUTED_VALUE"""),"18〜25歳")</f>
        <v>18〜25歳</v>
      </c>
      <c r="E10" s="1" t="str">
        <f>IFERROR(__xludf.DUMMYFUNCTION("""COMPUTED_VALUE"""),"女性")</f>
        <v>女性</v>
      </c>
      <c r="F10" s="1" t="str">
        <f>IFERROR(__xludf.DUMMYFUNCTION("""COMPUTED_VALUE"""),"300万円未満")</f>
        <v>300万円未満</v>
      </c>
      <c r="G10" s="1" t="str">
        <f>IFERROR(__xludf.DUMMYFUNCTION("""COMPUTED_VALUE"""),"中部")</f>
        <v>中部</v>
      </c>
      <c r="H10" s="1" t="str">
        <f>IFERROR(__xludf.DUMMYFUNCTION("""COMPUTED_VALUE"""),"毎日")</f>
        <v>毎日</v>
      </c>
      <c r="I10" s="1" t="str">
        <f>IFERROR(__xludf.DUMMYFUNCTION("""COMPUTED_VALUE"""),"ラテ")</f>
        <v>ラテ</v>
      </c>
      <c r="J10" s="1"/>
      <c r="K10" s="1" t="str">
        <f>IFERROR(__xludf.DUMMYFUNCTION("""COMPUTED_VALUE"""),"ほとんど飲まない")</f>
        <v>ほとんど飲まない</v>
      </c>
      <c r="L10" s="1" t="str">
        <f>IFERROR(__xludf.DUMMYFUNCTION("""COMPUTED_VALUE"""),"抹茶ラテ")</f>
        <v>抹茶ラテ</v>
      </c>
      <c r="M10" s="1"/>
      <c r="N10" s="1" t="str">
        <f>IFERROR(__xludf.DUMMYFUNCTION("""COMPUTED_VALUE"""),"味・風味")</f>
        <v>味・風味</v>
      </c>
      <c r="O10" s="1"/>
      <c r="P10" s="1" t="str">
        <f>IFERROR(__xludf.DUMMYFUNCTION("""COMPUTED_VALUE"""),"カフェで")</f>
        <v>カフェで</v>
      </c>
      <c r="Q10" s="1"/>
      <c r="R10" s="1" t="str">
        <f>IFERROR(__xludf.DUMMYFUNCTION("""COMPUTED_VALUE"""),"週に1回")</f>
        <v>週に1回</v>
      </c>
      <c r="S10" s="1" t="str">
        <f>IFERROR(__xludf.DUMMYFUNCTION("""COMPUTED_VALUE"""),"勉強・仕事をするため")</f>
        <v>勉強・仕事をするため</v>
      </c>
      <c r="T10" s="1"/>
      <c r="U10" s="1" t="str">
        <f>IFERROR(__xludf.DUMMYFUNCTION("""COMPUTED_VALUE"""),"雰囲気・心地良さ")</f>
        <v>雰囲気・心地良さ</v>
      </c>
      <c r="V10" s="1"/>
      <c r="W10" s="1" t="str">
        <f>IFERROR(__xludf.DUMMYFUNCTION("""COMPUTED_VALUE"""),"はい（グローバル）")</f>
        <v>はい（グローバル）</v>
      </c>
      <c r="X10" s="1" t="str">
        <f>IFERROR(__xludf.DUMMYFUNCTION("""COMPUTED_VALUE"""),"はい（日本的）")</f>
        <v>はい（日本的）</v>
      </c>
      <c r="Y10" s="1">
        <f>IFERROR(__xludf.DUMMYFUNCTION("""COMPUTED_VALUE"""),4.0)</f>
        <v>4</v>
      </c>
      <c r="Z10" s="1">
        <f>IFERROR(__xludf.DUMMYFUNCTION("""COMPUTED_VALUE"""),6.0)</f>
        <v>6</v>
      </c>
      <c r="AA10" s="1">
        <f>IFERROR(__xludf.DUMMYFUNCTION("""COMPUTED_VALUE"""),6.0)</f>
        <v>6</v>
      </c>
      <c r="AB10" s="1" t="str">
        <f>IFERROR(__xludf.DUMMYFUNCTION("""COMPUTED_VALUE"""),"いいえ")</f>
        <v>いいえ</v>
      </c>
      <c r="AK10" s="1" t="s">
        <v>76</v>
      </c>
      <c r="AL10" s="1" t="s">
        <v>77</v>
      </c>
      <c r="AM10" s="5">
        <v>46032.25387731481</v>
      </c>
      <c r="AN10" s="1" t="s">
        <v>41</v>
      </c>
      <c r="AO10" s="1" t="s">
        <v>28</v>
      </c>
      <c r="AP10" s="1" t="s">
        <v>29</v>
      </c>
      <c r="AQ10" s="1" t="s">
        <v>78</v>
      </c>
      <c r="AR10" s="1" t="s">
        <v>44</v>
      </c>
      <c r="AS10" s="1" t="s">
        <v>65</v>
      </c>
      <c r="AU10" s="1" t="s">
        <v>74</v>
      </c>
      <c r="AV10" s="1" t="s">
        <v>59</v>
      </c>
      <c r="AX10" s="1" t="str">
        <f>IFERROR(__xludf.DUMMYFUNCTION("""COMPUTED_VALUE"""),"Taste/Flavor")</f>
        <v>Taste/Flavor</v>
      </c>
      <c r="AZ10" s="1" t="str">
        <f>IFERROR(__xludf.DUMMYFUNCTION("""COMPUTED_VALUE"""),"At cafés")</f>
        <v>At cafés</v>
      </c>
      <c r="BB10" s="1" t="s">
        <v>69</v>
      </c>
      <c r="BC10" s="1" t="s">
        <v>75</v>
      </c>
      <c r="BE10" s="1" t="s">
        <v>35</v>
      </c>
      <c r="BG10" s="1" t="s">
        <v>48</v>
      </c>
      <c r="BH10" s="1" t="s">
        <v>37</v>
      </c>
      <c r="BI10" s="1">
        <v>4.0</v>
      </c>
      <c r="BJ10" s="1">
        <v>6.0</v>
      </c>
      <c r="BK10" s="1">
        <v>6.0</v>
      </c>
      <c r="BL10" s="1" t="s">
        <v>38</v>
      </c>
    </row>
    <row r="11">
      <c r="A11" s="1" t="str">
        <f>IFERROR(__xludf.DUMMYFUNCTION("""COMPUTED_VALUE"""),"KYKWO6z")</f>
        <v>KYKWO6z</v>
      </c>
      <c r="B11" s="1" t="str">
        <f>IFERROR(__xludf.DUMMYFUNCTION("""COMPUTED_VALUE"""),"9qDpb2K")</f>
        <v>9qDpb2K</v>
      </c>
      <c r="C11" s="5">
        <f>IFERROR(__xludf.DUMMYFUNCTION("""COMPUTED_VALUE"""),46034.05730324074)</f>
        <v>46034.0573</v>
      </c>
      <c r="D11" s="1" t="str">
        <f>IFERROR(__xludf.DUMMYFUNCTION("""COMPUTED_VALUE"""),"18〜25歳")</f>
        <v>18〜25歳</v>
      </c>
      <c r="E11" s="1" t="str">
        <f>IFERROR(__xludf.DUMMYFUNCTION("""COMPUTED_VALUE"""),"男性")</f>
        <v>男性</v>
      </c>
      <c r="F11" s="1" t="str">
        <f>IFERROR(__xludf.DUMMYFUNCTION("""COMPUTED_VALUE"""),"300万円〜599万9,999円")</f>
        <v>300万円〜599万9,999円</v>
      </c>
      <c r="G11" s="1" t="str">
        <f>IFERROR(__xludf.DUMMYFUNCTION("""COMPUTED_VALUE"""),"関東")</f>
        <v>関東</v>
      </c>
      <c r="H11" s="1" t="str">
        <f>IFERROR(__xludf.DUMMYFUNCTION("""COMPUTED_VALUE"""),"毎日")</f>
        <v>毎日</v>
      </c>
      <c r="I11" s="1" t="str">
        <f>IFERROR(__xludf.DUMMYFUNCTION("""COMPUTED_VALUE"""),"プアオーバー（ハンドドリップ）")</f>
        <v>プアオーバー（ハンドドリップ）</v>
      </c>
      <c r="J11" s="1"/>
      <c r="K11" s="1" t="str">
        <f>IFERROR(__xludf.DUMMYFUNCTION("""COMPUTED_VALUE"""),"ほとんど飲まない")</f>
        <v>ほとんど飲まない</v>
      </c>
      <c r="L11" s="1" t="str">
        <f>IFERROR(__xludf.DUMMYFUNCTION("""COMPUTED_VALUE"""),"抹茶ラテ")</f>
        <v>抹茶ラテ</v>
      </c>
      <c r="M11" s="1"/>
      <c r="N11" s="1" t="str">
        <f>IFERROR(__xludf.DUMMYFUNCTION("""COMPUTED_VALUE"""),"その他：")</f>
        <v>その他：</v>
      </c>
      <c r="O11" s="1" t="str">
        <f>IFERROR(__xludf.DUMMYFUNCTION("""COMPUTED_VALUE"""),"近さ")</f>
        <v>近さ</v>
      </c>
      <c r="P11" s="1" t="str">
        <f>IFERROR(__xludf.DUMMYFUNCTION("""COMPUTED_VALUE"""),"カフェで, 自宅で")</f>
        <v>カフェで, 自宅で</v>
      </c>
      <c r="Q11" s="1"/>
      <c r="R11" s="1" t="str">
        <f>IFERROR(__xludf.DUMMYFUNCTION("""COMPUTED_VALUE"""),"週に数回")</f>
        <v>週に数回</v>
      </c>
      <c r="S11" s="1" t="str">
        <f>IFERROR(__xludf.DUMMYFUNCTION("""COMPUTED_VALUE"""),"習慣として")</f>
        <v>習慣として</v>
      </c>
      <c r="T11" s="1"/>
      <c r="U11" s="1" t="str">
        <f>IFERROR(__xludf.DUMMYFUNCTION("""COMPUTED_VALUE"""),"飲み物の味・品質")</f>
        <v>飲み物の味・品質</v>
      </c>
      <c r="V11" s="1"/>
      <c r="W11" s="1" t="str">
        <f>IFERROR(__xludf.DUMMYFUNCTION("""COMPUTED_VALUE"""),"はい（グローバル）")</f>
        <v>はい（グローバル）</v>
      </c>
      <c r="X11" s="1" t="str">
        <f>IFERROR(__xludf.DUMMYFUNCTION("""COMPUTED_VALUE"""),"はい（日本的）")</f>
        <v>はい（日本的）</v>
      </c>
      <c r="Y11" s="1">
        <f>IFERROR(__xludf.DUMMYFUNCTION("""COMPUTED_VALUE"""),6.0)</f>
        <v>6</v>
      </c>
      <c r="Z11" s="1">
        <f>IFERROR(__xludf.DUMMYFUNCTION("""COMPUTED_VALUE"""),6.0)</f>
        <v>6</v>
      </c>
      <c r="AA11" s="1">
        <f>IFERROR(__xludf.DUMMYFUNCTION("""COMPUTED_VALUE"""),7.0)</f>
        <v>7</v>
      </c>
      <c r="AB11" s="1" t="str">
        <f>IFERROR(__xludf.DUMMYFUNCTION("""COMPUTED_VALUE"""),"いいえ")</f>
        <v>いいえ</v>
      </c>
      <c r="AK11" s="1" t="s">
        <v>79</v>
      </c>
      <c r="AL11" s="1" t="s">
        <v>80</v>
      </c>
      <c r="AM11" s="5">
        <v>46034.05730324074</v>
      </c>
      <c r="AN11" s="1" t="s">
        <v>41</v>
      </c>
      <c r="AO11" s="1" t="s">
        <v>42</v>
      </c>
      <c r="AP11" s="1" t="s">
        <v>64</v>
      </c>
      <c r="AQ11" s="1" t="s">
        <v>30</v>
      </c>
      <c r="AR11" s="1" t="s">
        <v>44</v>
      </c>
      <c r="AS11" s="1" t="s">
        <v>53</v>
      </c>
      <c r="AU11" s="1" t="s">
        <v>74</v>
      </c>
      <c r="AV11" s="1" t="s">
        <v>59</v>
      </c>
      <c r="AX11" s="1" t="str">
        <f>IFERROR(__xludf.DUMMYFUNCTION("""COMPUTED_VALUE"""),"Other:")</f>
        <v>Other:</v>
      </c>
      <c r="AY11" s="6" t="s">
        <v>81</v>
      </c>
      <c r="AZ11" s="1" t="str">
        <f>IFERROR(__xludf.DUMMYFUNCTION("""COMPUTED_VALUE"""),"At cafés, At home")</f>
        <v>At cafés, At home</v>
      </c>
      <c r="BB11" s="1" t="s">
        <v>31</v>
      </c>
      <c r="BC11" s="1" t="s">
        <v>82</v>
      </c>
      <c r="BE11" s="1" t="s">
        <v>47</v>
      </c>
      <c r="BG11" s="1" t="s">
        <v>48</v>
      </c>
      <c r="BH11" s="1" t="s">
        <v>37</v>
      </c>
      <c r="BI11" s="1">
        <v>6.0</v>
      </c>
      <c r="BJ11" s="1">
        <v>6.0</v>
      </c>
      <c r="BK11" s="1">
        <v>7.0</v>
      </c>
      <c r="BL11" s="1" t="s">
        <v>38</v>
      </c>
    </row>
    <row r="12">
      <c r="A12" s="1" t="str">
        <f>IFERROR(__xludf.DUMMYFUNCTION("""COMPUTED_VALUE"""),"gD6Jpg4")</f>
        <v>gD6Jpg4</v>
      </c>
      <c r="B12" s="1" t="str">
        <f>IFERROR(__xludf.DUMMYFUNCTION("""COMPUTED_VALUE"""),"LZWvQYj")</f>
        <v>LZWvQYj</v>
      </c>
      <c r="C12" s="5">
        <f>IFERROR(__xludf.DUMMYFUNCTION("""COMPUTED_VALUE"""),46034.06355324074)</f>
        <v>46034.06355</v>
      </c>
      <c r="D12" s="1" t="str">
        <f>IFERROR(__xludf.DUMMYFUNCTION("""COMPUTED_VALUE"""),"65歳以上")</f>
        <v>65歳以上</v>
      </c>
      <c r="E12" s="1" t="str">
        <f>IFERROR(__xludf.DUMMYFUNCTION("""COMPUTED_VALUE"""),"男性")</f>
        <v>男性</v>
      </c>
      <c r="F12" s="1" t="str">
        <f>IFERROR(__xludf.DUMMYFUNCTION("""COMPUTED_VALUE"""),"300万円〜599万9,999円")</f>
        <v>300万円〜599万9,999円</v>
      </c>
      <c r="G12" s="1" t="str">
        <f>IFERROR(__xludf.DUMMYFUNCTION("""COMPUTED_VALUE"""),"関東")</f>
        <v>関東</v>
      </c>
      <c r="H12" s="1" t="str">
        <f>IFERROR(__xludf.DUMMYFUNCTION("""COMPUTED_VALUE"""),"毎日")</f>
        <v>毎日</v>
      </c>
      <c r="I12" s="1" t="str">
        <f>IFERROR(__xludf.DUMMYFUNCTION("""COMPUTED_VALUE"""),"ドリップコーヒー")</f>
        <v>ドリップコーヒー</v>
      </c>
      <c r="J12" s="1"/>
      <c r="K12" s="1" t="str">
        <f>IFERROR(__xludf.DUMMYFUNCTION("""COMPUTED_VALUE"""),"毎日")</f>
        <v>毎日</v>
      </c>
      <c r="L12" s="1" t="str">
        <f>IFERROR(__xludf.DUMMYFUNCTION("""COMPUTED_VALUE"""),"薄茶")</f>
        <v>薄茶</v>
      </c>
      <c r="M12" s="1"/>
      <c r="N12" s="1" t="str">
        <f>IFERROR(__xludf.DUMMYFUNCTION("""COMPUTED_VALUE"""),"味・風味, 健康面のメリット")</f>
        <v>味・風味, 健康面のメリット</v>
      </c>
      <c r="O12" s="1"/>
      <c r="P12" s="1" t="str">
        <f>IFERROR(__xludf.DUMMYFUNCTION("""COMPUTED_VALUE"""),"自宅で, 自動販売機")</f>
        <v>自宅で, 自動販売機</v>
      </c>
      <c r="Q12" s="1"/>
      <c r="R12" s="1" t="str">
        <f>IFERROR(__xludf.DUMMYFUNCTION("""COMPUTED_VALUE"""),"月に数回")</f>
        <v>月に数回</v>
      </c>
      <c r="S12" s="1" t="str">
        <f>IFERROR(__xludf.DUMMYFUNCTION("""COMPUTED_VALUE"""),"習慣として")</f>
        <v>習慣として</v>
      </c>
      <c r="T12" s="1"/>
      <c r="U12" s="1" t="str">
        <f>IFERROR(__xludf.DUMMYFUNCTION("""COMPUTED_VALUE"""),"サービス")</f>
        <v>サービス</v>
      </c>
      <c r="V12" s="1"/>
      <c r="W12" s="1" t="str">
        <f>IFERROR(__xludf.DUMMYFUNCTION("""COMPUTED_VALUE"""),"はい（グローバル）")</f>
        <v>はい（グローバル）</v>
      </c>
      <c r="X12" s="1" t="str">
        <f>IFERROR(__xludf.DUMMYFUNCTION("""COMPUTED_VALUE"""),"はい（日本的）")</f>
        <v>はい（日本的）</v>
      </c>
      <c r="Y12" s="1">
        <f>IFERROR(__xludf.DUMMYFUNCTION("""COMPUTED_VALUE"""),7.0)</f>
        <v>7</v>
      </c>
      <c r="Z12" s="1">
        <f>IFERROR(__xludf.DUMMYFUNCTION("""COMPUTED_VALUE"""),7.0)</f>
        <v>7</v>
      </c>
      <c r="AA12" s="1">
        <f>IFERROR(__xludf.DUMMYFUNCTION("""COMPUTED_VALUE"""),4.0)</f>
        <v>4</v>
      </c>
      <c r="AB12" s="1" t="str">
        <f>IFERROR(__xludf.DUMMYFUNCTION("""COMPUTED_VALUE"""),"いいえ")</f>
        <v>いいえ</v>
      </c>
      <c r="AK12" s="1" t="s">
        <v>83</v>
      </c>
      <c r="AL12" s="1" t="s">
        <v>84</v>
      </c>
      <c r="AM12" s="5">
        <v>46034.06355324074</v>
      </c>
      <c r="AN12" s="1" t="s">
        <v>85</v>
      </c>
      <c r="AO12" s="1" t="s">
        <v>42</v>
      </c>
      <c r="AP12" s="1" t="s">
        <v>64</v>
      </c>
      <c r="AQ12" s="1" t="s">
        <v>30</v>
      </c>
      <c r="AR12" s="1" t="s">
        <v>44</v>
      </c>
      <c r="AS12" s="1" t="s">
        <v>32</v>
      </c>
      <c r="AU12" s="1" t="s">
        <v>44</v>
      </c>
      <c r="AV12" s="1" t="s">
        <v>33</v>
      </c>
      <c r="AX12" s="1" t="str">
        <f>IFERROR(__xludf.DUMMYFUNCTION("""COMPUTED_VALUE"""),"Taste/Flavor, Health benefits")</f>
        <v>Taste/Flavor, Health benefits</v>
      </c>
      <c r="AZ12" s="1" t="str">
        <f>IFERROR(__xludf.DUMMYFUNCTION("""COMPUTED_VALUE"""),"At home, From vending machines")</f>
        <v>At home, From vending machines</v>
      </c>
      <c r="BB12" s="1" t="s">
        <v>60</v>
      </c>
      <c r="BC12" s="1" t="s">
        <v>82</v>
      </c>
      <c r="BE12" s="1" t="s">
        <v>70</v>
      </c>
      <c r="BG12" s="1" t="s">
        <v>48</v>
      </c>
      <c r="BH12" s="1" t="s">
        <v>37</v>
      </c>
      <c r="BI12" s="1">
        <v>7.0</v>
      </c>
      <c r="BJ12" s="1">
        <v>7.0</v>
      </c>
      <c r="BK12" s="1">
        <v>4.0</v>
      </c>
      <c r="BL12" s="1" t="s">
        <v>38</v>
      </c>
    </row>
    <row r="13">
      <c r="A13" s="1" t="str">
        <f>IFERROR(__xludf.DUMMYFUNCTION("""COMPUTED_VALUE"""),"Ek7ZY0N")</f>
        <v>Ek7ZY0N</v>
      </c>
      <c r="B13" s="1" t="str">
        <f>IFERROR(__xludf.DUMMYFUNCTION("""COMPUTED_VALUE"""),"44xAgVY")</f>
        <v>44xAgVY</v>
      </c>
      <c r="C13" s="5">
        <f>IFERROR(__xludf.DUMMYFUNCTION("""COMPUTED_VALUE"""),46034.06655092593)</f>
        <v>46034.06655</v>
      </c>
      <c r="D13" s="1" t="str">
        <f>IFERROR(__xludf.DUMMYFUNCTION("""COMPUTED_VALUE"""),"56〜65歳")</f>
        <v>56〜65歳</v>
      </c>
      <c r="E13" s="1" t="str">
        <f>IFERROR(__xludf.DUMMYFUNCTION("""COMPUTED_VALUE"""),"男性")</f>
        <v>男性</v>
      </c>
      <c r="F13" s="1" t="str">
        <f>IFERROR(__xludf.DUMMYFUNCTION("""COMPUTED_VALUE"""),"1,200万円以上")</f>
        <v>1,200万円以上</v>
      </c>
      <c r="G13" s="1" t="str">
        <f>IFERROR(__xludf.DUMMYFUNCTION("""COMPUTED_VALUE"""),"関西")</f>
        <v>関西</v>
      </c>
      <c r="H13" s="1" t="str">
        <f>IFERROR(__xludf.DUMMYFUNCTION("""COMPUTED_VALUE"""),"毎日")</f>
        <v>毎日</v>
      </c>
      <c r="I13" s="1" t="str">
        <f>IFERROR(__xludf.DUMMYFUNCTION("""COMPUTED_VALUE"""),"ドリップコーヒー")</f>
        <v>ドリップコーヒー</v>
      </c>
      <c r="J13" s="1"/>
      <c r="K13" s="1" t="str">
        <f>IFERROR(__xludf.DUMMYFUNCTION("""COMPUTED_VALUE"""),"ほとんど飲まない")</f>
        <v>ほとんど飲まない</v>
      </c>
      <c r="L13" s="1" t="str">
        <f>IFERROR(__xludf.DUMMYFUNCTION("""COMPUTED_VALUE"""),"抹茶は飲まない")</f>
        <v>抹茶は飲まない</v>
      </c>
      <c r="M13" s="1"/>
      <c r="N13" s="1" t="str">
        <f>IFERROR(__xludf.DUMMYFUNCTION("""COMPUTED_VALUE"""),"習慣, 味・風味")</f>
        <v>習慣, 味・風味</v>
      </c>
      <c r="O13" s="1"/>
      <c r="P13" s="1" t="str">
        <f>IFERROR(__xludf.DUMMYFUNCTION("""COMPUTED_VALUE"""),"自宅で, その他：")</f>
        <v>自宅で, その他：</v>
      </c>
      <c r="Q13" s="1" t="str">
        <f>IFERROR(__xludf.DUMMYFUNCTION("""COMPUTED_VALUE"""),"At office")</f>
        <v>At office</v>
      </c>
      <c r="R13" s="1" t="str">
        <f>IFERROR(__xludf.DUMMYFUNCTION("""COMPUTED_VALUE"""),"ほとんど行かない")</f>
        <v>ほとんど行かない</v>
      </c>
      <c r="S13" s="1" t="str">
        <f>IFERROR(__xludf.DUMMYFUNCTION("""COMPUTED_VALUE"""),"休憩・リラックスするため")</f>
        <v>休憩・リラックスするため</v>
      </c>
      <c r="T13" s="1"/>
      <c r="U13" s="1" t="str">
        <f>IFERROR(__xludf.DUMMYFUNCTION("""COMPUTED_VALUE"""),"雰囲気・心地良さ")</f>
        <v>雰囲気・心地良さ</v>
      </c>
      <c r="V13" s="1"/>
      <c r="W13" s="1" t="str">
        <f>IFERROR(__xludf.DUMMYFUNCTION("""COMPUTED_VALUE"""),"はい（西洋的）")</f>
        <v>はい（西洋的）</v>
      </c>
      <c r="X13" s="1" t="str">
        <f>IFERROR(__xludf.DUMMYFUNCTION("""COMPUTED_VALUE"""),"はい（日本的）")</f>
        <v>はい（日本的）</v>
      </c>
      <c r="Y13" s="1">
        <f>IFERROR(__xludf.DUMMYFUNCTION("""COMPUTED_VALUE"""),5.0)</f>
        <v>5</v>
      </c>
      <c r="Z13" s="1">
        <f>IFERROR(__xludf.DUMMYFUNCTION("""COMPUTED_VALUE"""),6.0)</f>
        <v>6</v>
      </c>
      <c r="AA13" s="1">
        <f>IFERROR(__xludf.DUMMYFUNCTION("""COMPUTED_VALUE"""),1.0)</f>
        <v>1</v>
      </c>
      <c r="AB13" s="1" t="str">
        <f>IFERROR(__xludf.DUMMYFUNCTION("""COMPUTED_VALUE"""),"いいえ")</f>
        <v>いいえ</v>
      </c>
      <c r="AK13" s="1" t="s">
        <v>86</v>
      </c>
      <c r="AL13" s="1" t="s">
        <v>87</v>
      </c>
      <c r="AM13" s="5">
        <v>46034.06655092593</v>
      </c>
      <c r="AN13" s="1" t="s">
        <v>88</v>
      </c>
      <c r="AO13" s="1" t="s">
        <v>42</v>
      </c>
      <c r="AP13" s="1" t="s">
        <v>89</v>
      </c>
      <c r="AQ13" s="1" t="s">
        <v>90</v>
      </c>
      <c r="AR13" s="1" t="s">
        <v>44</v>
      </c>
      <c r="AS13" s="1" t="s">
        <v>32</v>
      </c>
      <c r="AU13" s="1" t="s">
        <v>74</v>
      </c>
      <c r="AV13" s="1" t="s">
        <v>91</v>
      </c>
      <c r="AX13" s="1" t="str">
        <f>IFERROR(__xludf.DUMMYFUNCTION("""COMPUTED_VALUE"""),"Routine/Ritual, Taste/Flavor")</f>
        <v>Routine/Ritual, Taste/Flavor</v>
      </c>
      <c r="AZ13" s="1" t="str">
        <f>IFERROR(__xludf.DUMMYFUNCTION("""COMPUTED_VALUE"""),"At home, Other:")</f>
        <v>At home, Other:</v>
      </c>
      <c r="BA13" s="6" t="s">
        <v>92</v>
      </c>
      <c r="BB13" s="1" t="s">
        <v>74</v>
      </c>
      <c r="BC13" s="1" t="s">
        <v>61</v>
      </c>
      <c r="BE13" s="1" t="s">
        <v>35</v>
      </c>
      <c r="BG13" s="1" t="s">
        <v>36</v>
      </c>
      <c r="BH13" s="1" t="s">
        <v>37</v>
      </c>
      <c r="BI13" s="1">
        <v>5.0</v>
      </c>
      <c r="BJ13" s="1">
        <v>6.0</v>
      </c>
      <c r="BK13" s="1">
        <v>1.0</v>
      </c>
      <c r="BL13" s="1" t="s">
        <v>38</v>
      </c>
    </row>
    <row r="14">
      <c r="A14" s="1" t="str">
        <f>IFERROR(__xludf.DUMMYFUNCTION("""COMPUTED_VALUE"""),"gD6JBP1")</f>
        <v>gD6JBP1</v>
      </c>
      <c r="B14" s="1" t="str">
        <f>IFERROR(__xludf.DUMMYFUNCTION("""COMPUTED_VALUE"""),"xXaRM7y")</f>
        <v>xXaRM7y</v>
      </c>
      <c r="C14" s="5">
        <f>IFERROR(__xludf.DUMMYFUNCTION("""COMPUTED_VALUE"""),46034.114224537036)</f>
        <v>46034.11422</v>
      </c>
      <c r="D14" s="1" t="str">
        <f>IFERROR(__xludf.DUMMYFUNCTION("""COMPUTED_VALUE"""),"46〜55歳")</f>
        <v>46〜55歳</v>
      </c>
      <c r="E14" s="1" t="str">
        <f>IFERROR(__xludf.DUMMYFUNCTION("""COMPUTED_VALUE"""),"女性")</f>
        <v>女性</v>
      </c>
      <c r="F14" s="1" t="str">
        <f>IFERROR(__xludf.DUMMYFUNCTION("""COMPUTED_VALUE"""),"1,200万円以上")</f>
        <v>1,200万円以上</v>
      </c>
      <c r="G14" s="1" t="str">
        <f>IFERROR(__xludf.DUMMYFUNCTION("""COMPUTED_VALUE"""),"関東")</f>
        <v>関東</v>
      </c>
      <c r="H14" s="1" t="str">
        <f>IFERROR(__xludf.DUMMYFUNCTION("""COMPUTED_VALUE"""),"毎日")</f>
        <v>毎日</v>
      </c>
      <c r="I14" s="1" t="str">
        <f>IFERROR(__xludf.DUMMYFUNCTION("""COMPUTED_VALUE"""),"ドリップコーヒー")</f>
        <v>ドリップコーヒー</v>
      </c>
      <c r="J14" s="1"/>
      <c r="K14" s="1" t="str">
        <f>IFERROR(__xludf.DUMMYFUNCTION("""COMPUTED_VALUE"""),"ほとんど飲まない")</f>
        <v>ほとんど飲まない</v>
      </c>
      <c r="L14" s="1" t="str">
        <f>IFERROR(__xludf.DUMMYFUNCTION("""COMPUTED_VALUE"""),"薄茶")</f>
        <v>薄茶</v>
      </c>
      <c r="M14" s="1" t="str">
        <f>IFERROR(__xludf.DUMMYFUNCTION("""COMPUTED_VALUE"""),"煎茶を毎日飲みます")</f>
        <v>煎茶を毎日飲みます</v>
      </c>
      <c r="N14" s="1" t="str">
        <f>IFERROR(__xludf.DUMMYFUNCTION("""COMPUTED_VALUE"""),"エナジー／カフェイン, 味・風味")</f>
        <v>エナジー／カフェイン, 味・風味</v>
      </c>
      <c r="O14" s="1"/>
      <c r="P14" s="1"/>
      <c r="Q14" s="1"/>
      <c r="R14" s="1" t="str">
        <f>IFERROR(__xludf.DUMMYFUNCTION("""COMPUTED_VALUE"""),"週に数回")</f>
        <v>週に数回</v>
      </c>
      <c r="S14" s="1" t="str">
        <f>IFERROR(__xludf.DUMMYFUNCTION("""COMPUTED_VALUE"""),"休憩・リラックスするため")</f>
        <v>休憩・リラックスするため</v>
      </c>
      <c r="T14" s="1"/>
      <c r="U14" s="1" t="str">
        <f>IFERROR(__xludf.DUMMYFUNCTION("""COMPUTED_VALUE"""),"飲み物の味・品質")</f>
        <v>飲み物の味・品質</v>
      </c>
      <c r="V14" s="1"/>
      <c r="W14" s="1" t="str">
        <f>IFERROR(__xludf.DUMMYFUNCTION("""COMPUTED_VALUE"""),"いいえ")</f>
        <v>いいえ</v>
      </c>
      <c r="X14" s="1" t="str">
        <f>IFERROR(__xludf.DUMMYFUNCTION("""COMPUTED_VALUE"""),"はい（日本的）")</f>
        <v>はい（日本的）</v>
      </c>
      <c r="Y14" s="1">
        <f>IFERROR(__xludf.DUMMYFUNCTION("""COMPUTED_VALUE"""),5.0)</f>
        <v>5</v>
      </c>
      <c r="Z14" s="1">
        <f>IFERROR(__xludf.DUMMYFUNCTION("""COMPUTED_VALUE"""),7.0)</f>
        <v>7</v>
      </c>
      <c r="AA14" s="1">
        <f>IFERROR(__xludf.DUMMYFUNCTION("""COMPUTED_VALUE"""),5.0)</f>
        <v>5</v>
      </c>
      <c r="AB14" s="1" t="str">
        <f>IFERROR(__xludf.DUMMYFUNCTION("""COMPUTED_VALUE"""),"いいえ")</f>
        <v>いいえ</v>
      </c>
      <c r="AK14" s="1" t="s">
        <v>93</v>
      </c>
      <c r="AL14" s="1" t="s">
        <v>94</v>
      </c>
      <c r="AM14" s="5">
        <v>46034.114224537036</v>
      </c>
      <c r="AN14" s="1" t="s">
        <v>95</v>
      </c>
      <c r="AO14" s="1" t="s">
        <v>28</v>
      </c>
      <c r="AP14" s="1" t="s">
        <v>89</v>
      </c>
      <c r="AQ14" s="1" t="s">
        <v>30</v>
      </c>
      <c r="AR14" s="1" t="s">
        <v>44</v>
      </c>
      <c r="AS14" s="1" t="s">
        <v>32</v>
      </c>
      <c r="AU14" s="1" t="s">
        <v>74</v>
      </c>
      <c r="AV14" s="1" t="s">
        <v>33</v>
      </c>
      <c r="AW14" s="6" t="s">
        <v>96</v>
      </c>
      <c r="AX14" s="1" t="str">
        <f>IFERROR(__xludf.DUMMYFUNCTION("""COMPUTED_VALUE"""),"Energy boost/Caffeine, Taste/Flavor")</f>
        <v>Energy boost/Caffeine, Taste/Flavor</v>
      </c>
      <c r="AZ14" s="1" t="str">
        <f>IFERROR(__xludf.DUMMYFUNCTION("""COMPUTED_VALUE"""),"")</f>
        <v/>
      </c>
      <c r="BB14" s="1" t="s">
        <v>31</v>
      </c>
      <c r="BC14" s="1" t="s">
        <v>61</v>
      </c>
      <c r="BE14" s="1" t="s">
        <v>47</v>
      </c>
      <c r="BG14" s="1" t="s">
        <v>38</v>
      </c>
      <c r="BH14" s="1" t="s">
        <v>37</v>
      </c>
      <c r="BI14" s="1">
        <v>5.0</v>
      </c>
      <c r="BJ14" s="1">
        <v>7.0</v>
      </c>
      <c r="BK14" s="1">
        <v>5.0</v>
      </c>
      <c r="BL14" s="1" t="s">
        <v>38</v>
      </c>
    </row>
    <row r="15">
      <c r="A15" s="1" t="str">
        <f>IFERROR(__xludf.DUMMYFUNCTION("""COMPUTED_VALUE"""),"rjMkOgL")</f>
        <v>rjMkOgL</v>
      </c>
      <c r="B15" s="1" t="str">
        <f>IFERROR(__xludf.DUMMYFUNCTION("""COMPUTED_VALUE"""),"aQYABpZ")</f>
        <v>aQYABpZ</v>
      </c>
      <c r="C15" s="5">
        <f>IFERROR(__xludf.DUMMYFUNCTION("""COMPUTED_VALUE"""),46034.16165509259)</f>
        <v>46034.16166</v>
      </c>
      <c r="D15" s="1" t="str">
        <f>IFERROR(__xludf.DUMMYFUNCTION("""COMPUTED_VALUE"""),"36〜45歳")</f>
        <v>36〜45歳</v>
      </c>
      <c r="E15" s="1" t="str">
        <f>IFERROR(__xludf.DUMMYFUNCTION("""COMPUTED_VALUE"""),"女性")</f>
        <v>女性</v>
      </c>
      <c r="F15" s="1" t="str">
        <f>IFERROR(__xludf.DUMMYFUNCTION("""COMPUTED_VALUE"""),"1,200万円以上")</f>
        <v>1,200万円以上</v>
      </c>
      <c r="G15" s="1" t="str">
        <f>IFERROR(__xludf.DUMMYFUNCTION("""COMPUTED_VALUE"""),"関東")</f>
        <v>関東</v>
      </c>
      <c r="H15" s="1" t="str">
        <f>IFERROR(__xludf.DUMMYFUNCTION("""COMPUTED_VALUE"""),"週に1回")</f>
        <v>週に1回</v>
      </c>
      <c r="I15" s="1" t="str">
        <f>IFERROR(__xludf.DUMMYFUNCTION("""COMPUTED_VALUE"""),"ラテ")</f>
        <v>ラテ</v>
      </c>
      <c r="J15" s="1"/>
      <c r="K15" s="1" t="str">
        <f>IFERROR(__xludf.DUMMYFUNCTION("""COMPUTED_VALUE"""),"ほとんど飲まない")</f>
        <v>ほとんど飲まない</v>
      </c>
      <c r="L15" s="1" t="str">
        <f>IFERROR(__xludf.DUMMYFUNCTION("""COMPUTED_VALUE"""),"抹茶は飲まない")</f>
        <v>抹茶は飲まない</v>
      </c>
      <c r="M15" s="1"/>
      <c r="N15" s="1" t="str">
        <f>IFERROR(__xludf.DUMMYFUNCTION("""COMPUTED_VALUE"""),"習慣")</f>
        <v>習慣</v>
      </c>
      <c r="O15" s="1"/>
      <c r="P15" s="1" t="str">
        <f>IFERROR(__xludf.DUMMYFUNCTION("""COMPUTED_VALUE"""),"カフェで")</f>
        <v>カフェで</v>
      </c>
      <c r="Q15" s="1"/>
      <c r="R15" s="1" t="str">
        <f>IFERROR(__xludf.DUMMYFUNCTION("""COMPUTED_VALUE"""),"週に1回")</f>
        <v>週に1回</v>
      </c>
      <c r="S15" s="1" t="str">
        <f>IFERROR(__xludf.DUMMYFUNCTION("""COMPUTED_VALUE"""),"休憩・リラックスするため")</f>
        <v>休憩・リラックスするため</v>
      </c>
      <c r="T15" s="1"/>
      <c r="U15" s="1" t="str">
        <f>IFERROR(__xludf.DUMMYFUNCTION("""COMPUTED_VALUE"""),"飲み物の味・品質")</f>
        <v>飲み物の味・品質</v>
      </c>
      <c r="V15" s="1"/>
      <c r="W15" s="1" t="str">
        <f>IFERROR(__xludf.DUMMYFUNCTION("""COMPUTED_VALUE"""),"はい（西洋的）")</f>
        <v>はい（西洋的）</v>
      </c>
      <c r="X15" s="1" t="str">
        <f>IFERROR(__xludf.DUMMYFUNCTION("""COMPUTED_VALUE"""),"はい（日本的）")</f>
        <v>はい（日本的）</v>
      </c>
      <c r="Y15" s="1">
        <f>IFERROR(__xludf.DUMMYFUNCTION("""COMPUTED_VALUE"""),4.0)</f>
        <v>4</v>
      </c>
      <c r="Z15" s="1">
        <f>IFERROR(__xludf.DUMMYFUNCTION("""COMPUTED_VALUE"""),7.0)</f>
        <v>7</v>
      </c>
      <c r="AA15" s="1">
        <f>IFERROR(__xludf.DUMMYFUNCTION("""COMPUTED_VALUE"""),3.0)</f>
        <v>3</v>
      </c>
      <c r="AB15" s="1" t="str">
        <f>IFERROR(__xludf.DUMMYFUNCTION("""COMPUTED_VALUE"""),"いいえ")</f>
        <v>いいえ</v>
      </c>
      <c r="AK15" s="1" t="s">
        <v>97</v>
      </c>
      <c r="AL15" s="1" t="s">
        <v>98</v>
      </c>
      <c r="AM15" s="5">
        <v>46034.16165509259</v>
      </c>
      <c r="AN15" s="1" t="s">
        <v>51</v>
      </c>
      <c r="AO15" s="1" t="s">
        <v>28</v>
      </c>
      <c r="AP15" s="1" t="s">
        <v>89</v>
      </c>
      <c r="AQ15" s="1" t="s">
        <v>30</v>
      </c>
      <c r="AR15" s="1" t="s">
        <v>69</v>
      </c>
      <c r="AS15" s="1" t="s">
        <v>65</v>
      </c>
      <c r="AU15" s="1" t="s">
        <v>74</v>
      </c>
      <c r="AV15" s="1" t="s">
        <v>91</v>
      </c>
      <c r="AX15" s="1" t="str">
        <f>IFERROR(__xludf.DUMMYFUNCTION("""COMPUTED_VALUE"""),"Routine/Ritual")</f>
        <v>Routine/Ritual</v>
      </c>
      <c r="AZ15" s="1" t="str">
        <f>IFERROR(__xludf.DUMMYFUNCTION("""COMPUTED_VALUE"""),"At cafés")</f>
        <v>At cafés</v>
      </c>
      <c r="BB15" s="1" t="s">
        <v>69</v>
      </c>
      <c r="BC15" s="1" t="s">
        <v>61</v>
      </c>
      <c r="BE15" s="1" t="s">
        <v>47</v>
      </c>
      <c r="BG15" s="1" t="s">
        <v>36</v>
      </c>
      <c r="BH15" s="1" t="s">
        <v>37</v>
      </c>
      <c r="BI15" s="1">
        <v>4.0</v>
      </c>
      <c r="BJ15" s="1">
        <v>7.0</v>
      </c>
      <c r="BK15" s="1">
        <v>3.0</v>
      </c>
      <c r="BL15" s="1" t="s">
        <v>38</v>
      </c>
    </row>
    <row r="16">
      <c r="A16" s="1" t="str">
        <f>IFERROR(__xludf.DUMMYFUNCTION("""COMPUTED_VALUE"""),"0QRD61Q")</f>
        <v>0QRD61Q</v>
      </c>
      <c r="B16" s="1" t="str">
        <f>IFERROR(__xludf.DUMMYFUNCTION("""COMPUTED_VALUE"""),"OD5b0zp")</f>
        <v>OD5b0zp</v>
      </c>
      <c r="C16" s="5">
        <f>IFERROR(__xludf.DUMMYFUNCTION("""COMPUTED_VALUE"""),46034.174108796295)</f>
        <v>46034.17411</v>
      </c>
      <c r="D16" s="1" t="str">
        <f>IFERROR(__xludf.DUMMYFUNCTION("""COMPUTED_VALUE"""),"18〜25歳")</f>
        <v>18〜25歳</v>
      </c>
      <c r="E16" s="1" t="str">
        <f>IFERROR(__xludf.DUMMYFUNCTION("""COMPUTED_VALUE"""),"女性")</f>
        <v>女性</v>
      </c>
      <c r="F16" s="1" t="str">
        <f>IFERROR(__xludf.DUMMYFUNCTION("""COMPUTED_VALUE"""),"300万円未満")</f>
        <v>300万円未満</v>
      </c>
      <c r="G16" s="1" t="str">
        <f>IFERROR(__xludf.DUMMYFUNCTION("""COMPUTED_VALUE"""),"中部")</f>
        <v>中部</v>
      </c>
      <c r="H16" s="1" t="str">
        <f>IFERROR(__xludf.DUMMYFUNCTION("""COMPUTED_VALUE"""),"毎日")</f>
        <v>毎日</v>
      </c>
      <c r="I16" s="1" t="str">
        <f>IFERROR(__xludf.DUMMYFUNCTION("""COMPUTED_VALUE"""),"プアオーバー（ハンドドリップ）")</f>
        <v>プアオーバー（ハンドドリップ）</v>
      </c>
      <c r="J16" s="1"/>
      <c r="K16" s="1" t="str">
        <f>IFERROR(__xludf.DUMMYFUNCTION("""COMPUTED_VALUE"""),"週に数回")</f>
        <v>週に数回</v>
      </c>
      <c r="L16" s="1" t="str">
        <f>IFERROR(__xludf.DUMMYFUNCTION("""COMPUTED_VALUE"""),"抹茶ラテ")</f>
        <v>抹茶ラテ</v>
      </c>
      <c r="M16" s="1"/>
      <c r="N16" s="1" t="str">
        <f>IFERROR(__xludf.DUMMYFUNCTION("""COMPUTED_VALUE"""),"その他：, 習慣")</f>
        <v>その他：, 習慣</v>
      </c>
      <c r="O16" s="1"/>
      <c r="P16" s="1"/>
      <c r="Q16" s="1"/>
      <c r="R16" s="1" t="str">
        <f>IFERROR(__xludf.DUMMYFUNCTION("""COMPUTED_VALUE"""),"月に数回")</f>
        <v>月に数回</v>
      </c>
      <c r="S16" s="1" t="str">
        <f>IFERROR(__xludf.DUMMYFUNCTION("""COMPUTED_VALUE"""),"新しい飲み物を試すため")</f>
        <v>新しい飲み物を試すため</v>
      </c>
      <c r="T16" s="1"/>
      <c r="U16" s="1" t="str">
        <f>IFERROR(__xludf.DUMMYFUNCTION("""COMPUTED_VALUE"""),"雰囲気・心地良さ")</f>
        <v>雰囲気・心地良さ</v>
      </c>
      <c r="V16" s="1"/>
      <c r="W16" s="1" t="str">
        <f>IFERROR(__xludf.DUMMYFUNCTION("""COMPUTED_VALUE"""),"はい（グローバル）")</f>
        <v>はい（グローバル）</v>
      </c>
      <c r="X16" s="1" t="str">
        <f>IFERROR(__xludf.DUMMYFUNCTION("""COMPUTED_VALUE"""),"はい（日本的）")</f>
        <v>はい（日本的）</v>
      </c>
      <c r="Y16" s="1">
        <f>IFERROR(__xludf.DUMMYFUNCTION("""COMPUTED_VALUE"""),5.0)</f>
        <v>5</v>
      </c>
      <c r="Z16" s="1">
        <f>IFERROR(__xludf.DUMMYFUNCTION("""COMPUTED_VALUE"""),4.0)</f>
        <v>4</v>
      </c>
      <c r="AA16" s="1">
        <f>IFERROR(__xludf.DUMMYFUNCTION("""COMPUTED_VALUE"""),6.0)</f>
        <v>6</v>
      </c>
      <c r="AB16" s="1" t="str">
        <f>IFERROR(__xludf.DUMMYFUNCTION("""COMPUTED_VALUE"""),"いいえ")</f>
        <v>いいえ</v>
      </c>
      <c r="AK16" s="1" t="s">
        <v>99</v>
      </c>
      <c r="AL16" s="1" t="s">
        <v>100</v>
      </c>
      <c r="AM16" s="5">
        <v>46034.174108796295</v>
      </c>
      <c r="AN16" s="1" t="s">
        <v>41</v>
      </c>
      <c r="AO16" s="1" t="s">
        <v>28</v>
      </c>
      <c r="AP16" s="1" t="s">
        <v>29</v>
      </c>
      <c r="AQ16" s="1" t="s">
        <v>78</v>
      </c>
      <c r="AR16" s="1" t="s">
        <v>44</v>
      </c>
      <c r="AS16" s="1" t="s">
        <v>53</v>
      </c>
      <c r="AU16" s="1" t="s">
        <v>31</v>
      </c>
      <c r="AV16" s="1" t="s">
        <v>59</v>
      </c>
      <c r="AX16" s="1" t="str">
        <f>IFERROR(__xludf.DUMMYFUNCTION("""COMPUTED_VALUE"""),"Other:, Routine/Ritual")</f>
        <v>Other:, Routine/Ritual</v>
      </c>
      <c r="AZ16" s="1" t="str">
        <f>IFERROR(__xludf.DUMMYFUNCTION("""COMPUTED_VALUE"""),"")</f>
        <v/>
      </c>
      <c r="BB16" s="1" t="s">
        <v>60</v>
      </c>
      <c r="BC16" s="1" t="s">
        <v>46</v>
      </c>
      <c r="BE16" s="1" t="s">
        <v>35</v>
      </c>
      <c r="BG16" s="1" t="s">
        <v>48</v>
      </c>
      <c r="BH16" s="1" t="s">
        <v>37</v>
      </c>
      <c r="BI16" s="1">
        <v>5.0</v>
      </c>
      <c r="BJ16" s="1">
        <v>4.0</v>
      </c>
      <c r="BK16" s="1">
        <v>6.0</v>
      </c>
      <c r="BL16" s="1" t="s">
        <v>38</v>
      </c>
    </row>
    <row r="17">
      <c r="A17" s="1" t="str">
        <f>IFERROR(__xludf.DUMMYFUNCTION("""COMPUTED_VALUE"""),"GxAQrlz")</f>
        <v>GxAQrlz</v>
      </c>
      <c r="B17" s="1" t="str">
        <f>IFERROR(__xludf.DUMMYFUNCTION("""COMPUTED_VALUE"""),"q4AJOG9")</f>
        <v>q4AJOG9</v>
      </c>
      <c r="C17" s="5">
        <f>IFERROR(__xludf.DUMMYFUNCTION("""COMPUTED_VALUE"""),46034.18221064815)</f>
        <v>46034.18221</v>
      </c>
      <c r="D17" s="1" t="str">
        <f>IFERROR(__xludf.DUMMYFUNCTION("""COMPUTED_VALUE"""),"26〜35歳")</f>
        <v>26〜35歳</v>
      </c>
      <c r="E17" s="1" t="str">
        <f>IFERROR(__xludf.DUMMYFUNCTION("""COMPUTED_VALUE"""),"女性")</f>
        <v>女性</v>
      </c>
      <c r="F17" s="1" t="str">
        <f>IFERROR(__xludf.DUMMYFUNCTION("""COMPUTED_VALUE"""),"300万円未満")</f>
        <v>300万円未満</v>
      </c>
      <c r="G17" s="1" t="str">
        <f>IFERROR(__xludf.DUMMYFUNCTION("""COMPUTED_VALUE"""),"関西")</f>
        <v>関西</v>
      </c>
      <c r="H17" s="1" t="str">
        <f>IFERROR(__xludf.DUMMYFUNCTION("""COMPUTED_VALUE"""),"まったく飲まない")</f>
        <v>まったく飲まない</v>
      </c>
      <c r="I17" s="1"/>
      <c r="J17" s="1"/>
      <c r="K17" s="1" t="str">
        <f>IFERROR(__xludf.DUMMYFUNCTION("""COMPUTED_VALUE"""),"週に数回")</f>
        <v>週に数回</v>
      </c>
      <c r="L17" s="1" t="str">
        <f>IFERROR(__xludf.DUMMYFUNCTION("""COMPUTED_VALUE"""),"薄茶")</f>
        <v>薄茶</v>
      </c>
      <c r="M17" s="1"/>
      <c r="N17" s="1" t="str">
        <f>IFERROR(__xludf.DUMMYFUNCTION("""COMPUTED_VALUE"""),"社交的な場や雰囲気の考慮, 味・風味")</f>
        <v>社交的な場や雰囲気の考慮, 味・風味</v>
      </c>
      <c r="O17" s="1"/>
      <c r="P17" s="1" t="str">
        <f>IFERROR(__xludf.DUMMYFUNCTION("""COMPUTED_VALUE"""),"その他：")</f>
        <v>その他：</v>
      </c>
      <c r="Q17" s="1" t="str">
        <f>IFERROR(__xludf.DUMMYFUNCTION("""COMPUTED_VALUE"""),"仕事")</f>
        <v>仕事</v>
      </c>
      <c r="R17" s="1" t="str">
        <f>IFERROR(__xludf.DUMMYFUNCTION("""COMPUTED_VALUE"""),"月に数回")</f>
        <v>月に数回</v>
      </c>
      <c r="S17" s="1" t="str">
        <f>IFERROR(__xludf.DUMMYFUNCTION("""COMPUTED_VALUE"""),"休憩・リラックスするため")</f>
        <v>休憩・リラックスするため</v>
      </c>
      <c r="T17" s="1"/>
      <c r="U17" s="1" t="str">
        <f>IFERROR(__xludf.DUMMYFUNCTION("""COMPUTED_VALUE"""),"雰囲気・心地良さ")</f>
        <v>雰囲気・心地良さ</v>
      </c>
      <c r="V17" s="1"/>
      <c r="W17" s="1" t="str">
        <f>IFERROR(__xludf.DUMMYFUNCTION("""COMPUTED_VALUE"""),"はい（グローバル）")</f>
        <v>はい（グローバル）</v>
      </c>
      <c r="X17" s="1" t="str">
        <f>IFERROR(__xludf.DUMMYFUNCTION("""COMPUTED_VALUE"""),"はい（日本的）")</f>
        <v>はい（日本的）</v>
      </c>
      <c r="Y17" s="1">
        <f>IFERROR(__xludf.DUMMYFUNCTION("""COMPUTED_VALUE"""),5.0)</f>
        <v>5</v>
      </c>
      <c r="Z17" s="1">
        <f>IFERROR(__xludf.DUMMYFUNCTION("""COMPUTED_VALUE"""),7.0)</f>
        <v>7</v>
      </c>
      <c r="AA17" s="1">
        <f>IFERROR(__xludf.DUMMYFUNCTION("""COMPUTED_VALUE"""),7.0)</f>
        <v>7</v>
      </c>
      <c r="AB17" s="1" t="str">
        <f>IFERROR(__xludf.DUMMYFUNCTION("""COMPUTED_VALUE"""),"いいえ")</f>
        <v>いいえ</v>
      </c>
      <c r="AK17" s="1" t="s">
        <v>101</v>
      </c>
      <c r="AL17" s="1" t="s">
        <v>102</v>
      </c>
      <c r="AM17" s="5">
        <v>46034.18221064815</v>
      </c>
      <c r="AN17" s="1" t="s">
        <v>27</v>
      </c>
      <c r="AO17" s="1" t="s">
        <v>28</v>
      </c>
      <c r="AP17" s="1" t="s">
        <v>29</v>
      </c>
      <c r="AQ17" s="1" t="s">
        <v>90</v>
      </c>
      <c r="AR17" s="1" t="s">
        <v>103</v>
      </c>
      <c r="AS17" s="1" t="s">
        <v>104</v>
      </c>
      <c r="AU17" s="1" t="s">
        <v>31</v>
      </c>
      <c r="AV17" s="1" t="s">
        <v>33</v>
      </c>
      <c r="AX17" s="1" t="str">
        <f>IFERROR(__xludf.DUMMYFUNCTION("""COMPUTED_VALUE"""),"Social atmosphere, Taste/Flavor")</f>
        <v>Social atmosphere, Taste/Flavor</v>
      </c>
      <c r="AZ17" s="1" t="str">
        <f>IFERROR(__xludf.DUMMYFUNCTION("""COMPUTED_VALUE"""),"Other:")</f>
        <v>Other:</v>
      </c>
      <c r="BA17" s="6" t="s">
        <v>105</v>
      </c>
      <c r="BB17" s="1" t="s">
        <v>60</v>
      </c>
      <c r="BC17" s="1" t="s">
        <v>61</v>
      </c>
      <c r="BE17" s="1" t="s">
        <v>35</v>
      </c>
      <c r="BG17" s="1" t="s">
        <v>48</v>
      </c>
      <c r="BH17" s="1" t="s">
        <v>37</v>
      </c>
      <c r="BI17" s="1">
        <v>5.0</v>
      </c>
      <c r="BJ17" s="1">
        <v>7.0</v>
      </c>
      <c r="BK17" s="1">
        <v>7.0</v>
      </c>
      <c r="BL17" s="1" t="s">
        <v>38</v>
      </c>
    </row>
    <row r="18">
      <c r="A18" s="1" t="str">
        <f>IFERROR(__xludf.DUMMYFUNCTION("""COMPUTED_VALUE"""),"Y5lxOQ6")</f>
        <v>Y5lxOQ6</v>
      </c>
      <c r="B18" s="1" t="str">
        <f>IFERROR(__xludf.DUMMYFUNCTION("""COMPUTED_VALUE"""),"Y5WJrKW")</f>
        <v>Y5WJrKW</v>
      </c>
      <c r="C18" s="5">
        <f>IFERROR(__xludf.DUMMYFUNCTION("""COMPUTED_VALUE"""),46034.18680555555)</f>
        <v>46034.18681</v>
      </c>
      <c r="D18" s="1" t="str">
        <f>IFERROR(__xludf.DUMMYFUNCTION("""COMPUTED_VALUE"""),"26〜35歳")</f>
        <v>26〜35歳</v>
      </c>
      <c r="E18" s="1" t="str">
        <f>IFERROR(__xludf.DUMMYFUNCTION("""COMPUTED_VALUE"""),"男性")</f>
        <v>男性</v>
      </c>
      <c r="F18" s="1" t="str">
        <f>IFERROR(__xludf.DUMMYFUNCTION("""COMPUTED_VALUE"""),"300万円〜599万9,999円")</f>
        <v>300万円〜599万9,999円</v>
      </c>
      <c r="G18" s="1" t="str">
        <f>IFERROR(__xludf.DUMMYFUNCTION("""COMPUTED_VALUE"""),"関西")</f>
        <v>関西</v>
      </c>
      <c r="H18" s="1" t="str">
        <f>IFERROR(__xludf.DUMMYFUNCTION("""COMPUTED_VALUE"""),"週に1回")</f>
        <v>週に1回</v>
      </c>
      <c r="I18" s="1" t="str">
        <f>IFERROR(__xludf.DUMMYFUNCTION("""COMPUTED_VALUE"""),"ドリップコーヒー")</f>
        <v>ドリップコーヒー</v>
      </c>
      <c r="J18" s="1"/>
      <c r="K18" s="1" t="str">
        <f>IFERROR(__xludf.DUMMYFUNCTION("""COMPUTED_VALUE"""),"毎日")</f>
        <v>毎日</v>
      </c>
      <c r="L18" s="1" t="str">
        <f>IFERROR(__xludf.DUMMYFUNCTION("""COMPUTED_VALUE"""),"薄茶")</f>
        <v>薄茶</v>
      </c>
      <c r="M18" s="1"/>
      <c r="N18" s="1" t="str">
        <f>IFERROR(__xludf.DUMMYFUNCTION("""COMPUTED_VALUE"""),"習慣, 味・風味")</f>
        <v>習慣, 味・風味</v>
      </c>
      <c r="O18" s="1"/>
      <c r="P18" s="1" t="str">
        <f>IFERROR(__xludf.DUMMYFUNCTION("""COMPUTED_VALUE"""),"その他：, 自宅で")</f>
        <v>その他：, 自宅で</v>
      </c>
      <c r="Q18" s="1"/>
      <c r="R18" s="1" t="str">
        <f>IFERROR(__xludf.DUMMYFUNCTION("""COMPUTED_VALUE"""),"週に1回")</f>
        <v>週に1回</v>
      </c>
      <c r="S18" s="1" t="str">
        <f>IFERROR(__xludf.DUMMYFUNCTION("""COMPUTED_VALUE"""),"休憩・リラックスするため")</f>
        <v>休憩・リラックスするため</v>
      </c>
      <c r="T18" s="1"/>
      <c r="U18" s="1" t="str">
        <f>IFERROR(__xludf.DUMMYFUNCTION("""COMPUTED_VALUE"""),"サービス")</f>
        <v>サービス</v>
      </c>
      <c r="V18" s="1"/>
      <c r="W18" s="1" t="str">
        <f>IFERROR(__xludf.DUMMYFUNCTION("""COMPUTED_VALUE"""),"はい（グローバル）")</f>
        <v>はい（グローバル）</v>
      </c>
      <c r="X18" s="1" t="str">
        <f>IFERROR(__xludf.DUMMYFUNCTION("""COMPUTED_VALUE"""),"はい（グローバル）")</f>
        <v>はい（グローバル）</v>
      </c>
      <c r="Y18" s="1">
        <f>IFERROR(__xludf.DUMMYFUNCTION("""COMPUTED_VALUE"""),7.0)</f>
        <v>7</v>
      </c>
      <c r="Z18" s="1">
        <f>IFERROR(__xludf.DUMMYFUNCTION("""COMPUTED_VALUE"""),7.0)</f>
        <v>7</v>
      </c>
      <c r="AA18" s="1">
        <f>IFERROR(__xludf.DUMMYFUNCTION("""COMPUTED_VALUE"""),5.0)</f>
        <v>5</v>
      </c>
      <c r="AB18" s="1" t="str">
        <f>IFERROR(__xludf.DUMMYFUNCTION("""COMPUTED_VALUE"""),"はい")</f>
        <v>はい</v>
      </c>
      <c r="AK18" s="1" t="s">
        <v>106</v>
      </c>
      <c r="AL18" s="1" t="s">
        <v>107</v>
      </c>
      <c r="AM18" s="5">
        <v>46034.18680555555</v>
      </c>
      <c r="AN18" s="1" t="s">
        <v>27</v>
      </c>
      <c r="AO18" s="1" t="s">
        <v>42</v>
      </c>
      <c r="AP18" s="1" t="s">
        <v>64</v>
      </c>
      <c r="AQ18" s="1" t="s">
        <v>90</v>
      </c>
      <c r="AR18" s="1" t="s">
        <v>69</v>
      </c>
      <c r="AS18" s="1" t="s">
        <v>32</v>
      </c>
      <c r="AU18" s="1" t="s">
        <v>44</v>
      </c>
      <c r="AV18" s="1" t="s">
        <v>33</v>
      </c>
      <c r="AX18" s="1" t="str">
        <f>IFERROR(__xludf.DUMMYFUNCTION("""COMPUTED_VALUE"""),"Routine/Ritual, Taste/Flavor")</f>
        <v>Routine/Ritual, Taste/Flavor</v>
      </c>
      <c r="AZ18" s="1" t="str">
        <f>IFERROR(__xludf.DUMMYFUNCTION("""COMPUTED_VALUE"""),"Other:, At home")</f>
        <v>Other:, At home</v>
      </c>
      <c r="BB18" s="1" t="s">
        <v>69</v>
      </c>
      <c r="BC18" s="1" t="s">
        <v>61</v>
      </c>
      <c r="BE18" s="1" t="s">
        <v>70</v>
      </c>
      <c r="BG18" s="1" t="s">
        <v>48</v>
      </c>
      <c r="BH18" s="1" t="s">
        <v>48</v>
      </c>
      <c r="BI18" s="1">
        <v>7.0</v>
      </c>
      <c r="BJ18" s="1">
        <v>7.0</v>
      </c>
      <c r="BK18" s="1">
        <v>5.0</v>
      </c>
      <c r="BL18" s="1" t="s">
        <v>71</v>
      </c>
    </row>
    <row r="19">
      <c r="A19" s="1" t="str">
        <f>IFERROR(__xludf.DUMMYFUNCTION("""COMPUTED_VALUE"""),"Ek7NOBr")</f>
        <v>Ek7NOBr</v>
      </c>
      <c r="B19" s="1" t="str">
        <f>IFERROR(__xludf.DUMMYFUNCTION("""COMPUTED_VALUE"""),"J9AeG1K")</f>
        <v>J9AeG1K</v>
      </c>
      <c r="C19" s="5">
        <f>IFERROR(__xludf.DUMMYFUNCTION("""COMPUTED_VALUE"""),46034.28605324074)</f>
        <v>46034.28605</v>
      </c>
      <c r="D19" s="1" t="str">
        <f>IFERROR(__xludf.DUMMYFUNCTION("""COMPUTED_VALUE"""),"26〜35歳")</f>
        <v>26〜35歳</v>
      </c>
      <c r="E19" s="1" t="str">
        <f>IFERROR(__xludf.DUMMYFUNCTION("""COMPUTED_VALUE"""),"男性")</f>
        <v>男性</v>
      </c>
      <c r="F19" s="1" t="str">
        <f>IFERROR(__xludf.DUMMYFUNCTION("""COMPUTED_VALUE"""),"300万円〜599万9,999円")</f>
        <v>300万円〜599万9,999円</v>
      </c>
      <c r="G19" s="1" t="str">
        <f>IFERROR(__xludf.DUMMYFUNCTION("""COMPUTED_VALUE"""),"九州")</f>
        <v>九州</v>
      </c>
      <c r="H19" s="1" t="str">
        <f>IFERROR(__xludf.DUMMYFUNCTION("""COMPUTED_VALUE"""),"毎日")</f>
        <v>毎日</v>
      </c>
      <c r="I19" s="1" t="str">
        <f>IFERROR(__xludf.DUMMYFUNCTION("""COMPUTED_VALUE"""),"ドリップコーヒー")</f>
        <v>ドリップコーヒー</v>
      </c>
      <c r="J19" s="1"/>
      <c r="K19" s="1" t="str">
        <f>IFERROR(__xludf.DUMMYFUNCTION("""COMPUTED_VALUE"""),"ほとんど飲まない")</f>
        <v>ほとんど飲まない</v>
      </c>
      <c r="L19" s="1" t="str">
        <f>IFERROR(__xludf.DUMMYFUNCTION("""COMPUTED_VALUE"""),"濃茶")</f>
        <v>濃茶</v>
      </c>
      <c r="M19" s="1"/>
      <c r="N19" s="1" t="str">
        <f>IFERROR(__xludf.DUMMYFUNCTION("""COMPUTED_VALUE"""),"味・風味")</f>
        <v>味・風味</v>
      </c>
      <c r="O19" s="1"/>
      <c r="P19" s="1" t="str">
        <f>IFERROR(__xludf.DUMMYFUNCTION("""COMPUTED_VALUE"""),"自宅で, カフェで, コンビニ（セブンイレブン、ローソンなど）, 自動販売機")</f>
        <v>自宅で, カフェで, コンビニ（セブンイレブン、ローソンなど）, 自動販売機</v>
      </c>
      <c r="Q19" s="1"/>
      <c r="R19" s="1" t="str">
        <f>IFERROR(__xludf.DUMMYFUNCTION("""COMPUTED_VALUE"""),"月に数回")</f>
        <v>月に数回</v>
      </c>
      <c r="S19" s="1" t="str">
        <f>IFERROR(__xludf.DUMMYFUNCTION("""COMPUTED_VALUE"""),"休憩・リラックスするため")</f>
        <v>休憩・リラックスするため</v>
      </c>
      <c r="T19" s="1"/>
      <c r="U19" s="1" t="str">
        <f>IFERROR(__xludf.DUMMYFUNCTION("""COMPUTED_VALUE"""),"飲み物の味・品質")</f>
        <v>飲み物の味・品質</v>
      </c>
      <c r="V19" s="1"/>
      <c r="W19" s="1" t="str">
        <f>IFERROR(__xludf.DUMMYFUNCTION("""COMPUTED_VALUE"""),"はい（グローバル）")</f>
        <v>はい（グローバル）</v>
      </c>
      <c r="X19" s="1" t="str">
        <f>IFERROR(__xludf.DUMMYFUNCTION("""COMPUTED_VALUE"""),"はい（日本的）")</f>
        <v>はい（日本的）</v>
      </c>
      <c r="Y19" s="1">
        <f>IFERROR(__xludf.DUMMYFUNCTION("""COMPUTED_VALUE"""),7.0)</f>
        <v>7</v>
      </c>
      <c r="Z19" s="1">
        <f>IFERROR(__xludf.DUMMYFUNCTION("""COMPUTED_VALUE"""),7.0)</f>
        <v>7</v>
      </c>
      <c r="AA19" s="1">
        <f>IFERROR(__xludf.DUMMYFUNCTION("""COMPUTED_VALUE"""),7.0)</f>
        <v>7</v>
      </c>
      <c r="AB19" s="1" t="str">
        <f>IFERROR(__xludf.DUMMYFUNCTION("""COMPUTED_VALUE"""),"はい")</f>
        <v>はい</v>
      </c>
      <c r="AK19" s="1" t="s">
        <v>108</v>
      </c>
      <c r="AL19" s="1" t="s">
        <v>109</v>
      </c>
      <c r="AM19" s="5">
        <v>46034.28605324074</v>
      </c>
      <c r="AN19" s="1" t="s">
        <v>27</v>
      </c>
      <c r="AO19" s="1" t="s">
        <v>42</v>
      </c>
      <c r="AP19" s="1" t="s">
        <v>64</v>
      </c>
      <c r="AQ19" s="1" t="s">
        <v>110</v>
      </c>
      <c r="AR19" s="1" t="s">
        <v>44</v>
      </c>
      <c r="AS19" s="1" t="s">
        <v>32</v>
      </c>
      <c r="AU19" s="1" t="s">
        <v>74</v>
      </c>
      <c r="AV19" s="1" t="s">
        <v>45</v>
      </c>
      <c r="AX19" s="1" t="str">
        <f>IFERROR(__xludf.DUMMYFUNCTION("""COMPUTED_VALUE"""),"Taste/Flavor")</f>
        <v>Taste/Flavor</v>
      </c>
      <c r="AZ19" s="1" t="str">
        <f>IFERROR(__xludf.DUMMYFUNCTION("""COMPUTED_VALUE"""),"At home, At cafés, From convenience stores (7-Eleven, Lawson, etc.), From vending machines")</f>
        <v>At home, At cafés, From convenience stores (7-Eleven, Lawson, etc.), From vending machines</v>
      </c>
      <c r="BB19" s="1" t="s">
        <v>60</v>
      </c>
      <c r="BC19" s="1" t="s">
        <v>61</v>
      </c>
      <c r="BE19" s="1" t="s">
        <v>47</v>
      </c>
      <c r="BG19" s="1" t="s">
        <v>48</v>
      </c>
      <c r="BH19" s="1" t="s">
        <v>37</v>
      </c>
      <c r="BI19" s="1">
        <v>7.0</v>
      </c>
      <c r="BJ19" s="1">
        <v>7.0</v>
      </c>
      <c r="BK19" s="1">
        <v>7.0</v>
      </c>
      <c r="BL19" s="1" t="s">
        <v>71</v>
      </c>
    </row>
    <row r="20">
      <c r="A20" s="1" t="str">
        <f>IFERROR(__xludf.DUMMYFUNCTION("""COMPUTED_VALUE"""),"eqWY140")</f>
        <v>eqWY140</v>
      </c>
      <c r="B20" s="1" t="str">
        <f>IFERROR(__xludf.DUMMYFUNCTION("""COMPUTED_VALUE"""),"vGyJ12X")</f>
        <v>vGyJ12X</v>
      </c>
      <c r="C20" s="5">
        <f>IFERROR(__xludf.DUMMYFUNCTION("""COMPUTED_VALUE"""),46034.31005787037)</f>
        <v>46034.31006</v>
      </c>
      <c r="D20" s="1" t="str">
        <f>IFERROR(__xludf.DUMMYFUNCTION("""COMPUTED_VALUE"""),"65歳以上")</f>
        <v>65歳以上</v>
      </c>
      <c r="E20" s="1" t="str">
        <f>IFERROR(__xludf.DUMMYFUNCTION("""COMPUTED_VALUE"""),"男性")</f>
        <v>男性</v>
      </c>
      <c r="F20" s="1" t="str">
        <f>IFERROR(__xludf.DUMMYFUNCTION("""COMPUTED_VALUE"""),"1,200万円以上")</f>
        <v>1,200万円以上</v>
      </c>
      <c r="G20" s="1" t="str">
        <f>IFERROR(__xludf.DUMMYFUNCTION("""COMPUTED_VALUE"""),"関東")</f>
        <v>関東</v>
      </c>
      <c r="H20" s="1" t="str">
        <f>IFERROR(__xludf.DUMMYFUNCTION("""COMPUTED_VALUE"""),"週に1回")</f>
        <v>週に1回</v>
      </c>
      <c r="I20" s="1" t="str">
        <f>IFERROR(__xludf.DUMMYFUNCTION("""COMPUTED_VALUE"""),"フレーバーコーヒー（モカ、バニラ、キャラメルなど）")</f>
        <v>フレーバーコーヒー（モカ、バニラ、キャラメルなど）</v>
      </c>
      <c r="J20" s="1"/>
      <c r="K20" s="1" t="str">
        <f>IFERROR(__xludf.DUMMYFUNCTION("""COMPUTED_VALUE"""),"週に1回")</f>
        <v>週に1回</v>
      </c>
      <c r="L20" s="1" t="str">
        <f>IFERROR(__xludf.DUMMYFUNCTION("""COMPUTED_VALUE"""),"濃茶")</f>
        <v>濃茶</v>
      </c>
      <c r="M20" s="1"/>
      <c r="N20" s="1" t="str">
        <f>IFERROR(__xludf.DUMMYFUNCTION("""COMPUTED_VALUE"""),"健康面のメリット")</f>
        <v>健康面のメリット</v>
      </c>
      <c r="O20" s="1"/>
      <c r="P20" s="1" t="str">
        <f>IFERROR(__xludf.DUMMYFUNCTION("""COMPUTED_VALUE"""),"自宅で")</f>
        <v>自宅で</v>
      </c>
      <c r="Q20" s="1"/>
      <c r="R20" s="1" t="str">
        <f>IFERROR(__xludf.DUMMYFUNCTION("""COMPUTED_VALUE"""),"ほとんど行かない")</f>
        <v>ほとんど行かない</v>
      </c>
      <c r="S20" s="1" t="str">
        <f>IFERROR(__xludf.DUMMYFUNCTION("""COMPUTED_VALUE"""),"休憩・リラックスするため")</f>
        <v>休憩・リラックスするため</v>
      </c>
      <c r="T20" s="1"/>
      <c r="U20" s="1" t="str">
        <f>IFERROR(__xludf.DUMMYFUNCTION("""COMPUTED_VALUE"""),"雰囲気・心地良さ")</f>
        <v>雰囲気・心地良さ</v>
      </c>
      <c r="V20" s="1"/>
      <c r="W20" s="1" t="str">
        <f>IFERROR(__xludf.DUMMYFUNCTION("""COMPUTED_VALUE"""),"いいえ")</f>
        <v>いいえ</v>
      </c>
      <c r="X20" s="1" t="str">
        <f>IFERROR(__xludf.DUMMYFUNCTION("""COMPUTED_VALUE"""),"はい（日本的）")</f>
        <v>はい（日本的）</v>
      </c>
      <c r="Y20" s="1">
        <f>IFERROR(__xludf.DUMMYFUNCTION("""COMPUTED_VALUE"""),6.0)</f>
        <v>6</v>
      </c>
      <c r="Z20" s="1">
        <f>IFERROR(__xludf.DUMMYFUNCTION("""COMPUTED_VALUE"""),7.0)</f>
        <v>7</v>
      </c>
      <c r="AA20" s="1">
        <f>IFERROR(__xludf.DUMMYFUNCTION("""COMPUTED_VALUE"""),4.0)</f>
        <v>4</v>
      </c>
      <c r="AB20" s="1" t="str">
        <f>IFERROR(__xludf.DUMMYFUNCTION("""COMPUTED_VALUE"""),"いいえ")</f>
        <v>いいえ</v>
      </c>
      <c r="AK20" s="1" t="s">
        <v>111</v>
      </c>
      <c r="AL20" s="1" t="s">
        <v>112</v>
      </c>
      <c r="AM20" s="5">
        <v>46034.31005787037</v>
      </c>
      <c r="AN20" s="1" t="s">
        <v>85</v>
      </c>
      <c r="AO20" s="1" t="s">
        <v>42</v>
      </c>
      <c r="AP20" s="1" t="s">
        <v>89</v>
      </c>
      <c r="AQ20" s="1" t="s">
        <v>30</v>
      </c>
      <c r="AR20" s="1" t="s">
        <v>69</v>
      </c>
      <c r="AS20" s="1" t="s">
        <v>113</v>
      </c>
      <c r="AU20" s="1" t="s">
        <v>69</v>
      </c>
      <c r="AV20" s="1" t="s">
        <v>45</v>
      </c>
      <c r="AX20" s="1" t="str">
        <f>IFERROR(__xludf.DUMMYFUNCTION("""COMPUTED_VALUE"""),"Health benefits")</f>
        <v>Health benefits</v>
      </c>
      <c r="AZ20" s="1" t="str">
        <f>IFERROR(__xludf.DUMMYFUNCTION("""COMPUTED_VALUE"""),"At home")</f>
        <v>At home</v>
      </c>
      <c r="BB20" s="1" t="s">
        <v>74</v>
      </c>
      <c r="BC20" s="1" t="s">
        <v>61</v>
      </c>
      <c r="BE20" s="1" t="s">
        <v>35</v>
      </c>
      <c r="BG20" s="1" t="s">
        <v>38</v>
      </c>
      <c r="BH20" s="1" t="s">
        <v>37</v>
      </c>
      <c r="BI20" s="1">
        <v>6.0</v>
      </c>
      <c r="BJ20" s="1">
        <v>7.0</v>
      </c>
      <c r="BK20" s="1">
        <v>4.0</v>
      </c>
      <c r="BL20" s="1" t="s">
        <v>38</v>
      </c>
    </row>
    <row r="21">
      <c r="A21" s="1" t="str">
        <f>IFERROR(__xludf.DUMMYFUNCTION("""COMPUTED_VALUE"""),"lbkvb1W")</f>
        <v>lbkvb1W</v>
      </c>
      <c r="B21" s="1" t="str">
        <f>IFERROR(__xludf.DUMMYFUNCTION("""COMPUTED_VALUE"""),"EkQZE4l")</f>
        <v>EkQZE4l</v>
      </c>
      <c r="C21" s="5">
        <f>IFERROR(__xludf.DUMMYFUNCTION("""COMPUTED_VALUE"""),46034.315)</f>
        <v>46034.315</v>
      </c>
      <c r="D21" s="1" t="str">
        <f>IFERROR(__xludf.DUMMYFUNCTION("""COMPUTED_VALUE"""),"26〜35歳")</f>
        <v>26〜35歳</v>
      </c>
      <c r="E21" s="1" t="str">
        <f>IFERROR(__xludf.DUMMYFUNCTION("""COMPUTED_VALUE"""),"女性")</f>
        <v>女性</v>
      </c>
      <c r="F21" s="1" t="str">
        <f>IFERROR(__xludf.DUMMYFUNCTION("""COMPUTED_VALUE"""),"600万円〜899万9,999円")</f>
        <v>600万円〜899万9,999円</v>
      </c>
      <c r="G21" s="1" t="str">
        <f>IFERROR(__xludf.DUMMYFUNCTION("""COMPUTED_VALUE"""),"関東")</f>
        <v>関東</v>
      </c>
      <c r="H21" s="1" t="str">
        <f>IFERROR(__xludf.DUMMYFUNCTION("""COMPUTED_VALUE"""),"毎日")</f>
        <v>毎日</v>
      </c>
      <c r="I21" s="1" t="str">
        <f>IFERROR(__xludf.DUMMYFUNCTION("""COMPUTED_VALUE"""),"ドリップコーヒー")</f>
        <v>ドリップコーヒー</v>
      </c>
      <c r="J21" s="1"/>
      <c r="K21" s="1" t="str">
        <f>IFERROR(__xludf.DUMMYFUNCTION("""COMPUTED_VALUE"""),"ほとんど飲まない")</f>
        <v>ほとんど飲まない</v>
      </c>
      <c r="L21" s="1" t="str">
        <f>IFERROR(__xludf.DUMMYFUNCTION("""COMPUTED_VALUE"""),"抹茶ラテ")</f>
        <v>抹茶ラテ</v>
      </c>
      <c r="M21" s="1"/>
      <c r="N21" s="1" t="str">
        <f>IFERROR(__xludf.DUMMYFUNCTION("""COMPUTED_VALUE"""),"習慣, 味・風味")</f>
        <v>習慣, 味・風味</v>
      </c>
      <c r="O21" s="1"/>
      <c r="P21" s="1" t="str">
        <f>IFERROR(__xludf.DUMMYFUNCTION("""COMPUTED_VALUE"""),"自宅で, コンビニ（セブンイレブン、ローソンなど）")</f>
        <v>自宅で, コンビニ（セブンイレブン、ローソンなど）</v>
      </c>
      <c r="Q21" s="1"/>
      <c r="R21" s="1" t="str">
        <f>IFERROR(__xludf.DUMMYFUNCTION("""COMPUTED_VALUE"""),"月に数回")</f>
        <v>月に数回</v>
      </c>
      <c r="S21" s="1" t="str">
        <f>IFERROR(__xludf.DUMMYFUNCTION("""COMPUTED_VALUE"""),"友人と会うため")</f>
        <v>友人と会うため</v>
      </c>
      <c r="T21" s="1"/>
      <c r="U21" s="1" t="str">
        <f>IFERROR(__xludf.DUMMYFUNCTION("""COMPUTED_VALUE"""),"雰囲気・心地良さ")</f>
        <v>雰囲気・心地良さ</v>
      </c>
      <c r="V21" s="1"/>
      <c r="W21" s="1" t="str">
        <f>IFERROR(__xludf.DUMMYFUNCTION("""COMPUTED_VALUE"""),"いいえ")</f>
        <v>いいえ</v>
      </c>
      <c r="X21" s="1" t="str">
        <f>IFERROR(__xludf.DUMMYFUNCTION("""COMPUTED_VALUE"""),"いいえ")</f>
        <v>いいえ</v>
      </c>
      <c r="Y21" s="1">
        <f>IFERROR(__xludf.DUMMYFUNCTION("""COMPUTED_VALUE"""),7.0)</f>
        <v>7</v>
      </c>
      <c r="Z21" s="1">
        <f>IFERROR(__xludf.DUMMYFUNCTION("""COMPUTED_VALUE"""),4.0)</f>
        <v>4</v>
      </c>
      <c r="AA21" s="1">
        <f>IFERROR(__xludf.DUMMYFUNCTION("""COMPUTED_VALUE"""),4.0)</f>
        <v>4</v>
      </c>
      <c r="AB21" s="1" t="str">
        <f>IFERROR(__xludf.DUMMYFUNCTION("""COMPUTED_VALUE"""),"いいえ")</f>
        <v>いいえ</v>
      </c>
      <c r="AK21" s="1" t="s">
        <v>114</v>
      </c>
      <c r="AL21" s="1" t="s">
        <v>115</v>
      </c>
      <c r="AM21" s="5">
        <v>46034.315</v>
      </c>
      <c r="AN21" s="1" t="s">
        <v>27</v>
      </c>
      <c r="AO21" s="1" t="s">
        <v>28</v>
      </c>
      <c r="AP21" s="1" t="s">
        <v>43</v>
      </c>
      <c r="AQ21" s="1" t="s">
        <v>30</v>
      </c>
      <c r="AR21" s="1" t="s">
        <v>44</v>
      </c>
      <c r="AS21" s="1" t="s">
        <v>32</v>
      </c>
      <c r="AU21" s="1" t="s">
        <v>74</v>
      </c>
      <c r="AV21" s="1" t="s">
        <v>59</v>
      </c>
      <c r="AX21" s="1" t="str">
        <f>IFERROR(__xludf.DUMMYFUNCTION("""COMPUTED_VALUE"""),"Routine/Ritual, Taste/Flavor")</f>
        <v>Routine/Ritual, Taste/Flavor</v>
      </c>
      <c r="AZ21" s="1" t="str">
        <f>IFERROR(__xludf.DUMMYFUNCTION("""COMPUTED_VALUE"""),"At home, From convenience stores (7-Eleven, Lawson, etc.)")</f>
        <v>At home, From convenience stores (7-Eleven, Lawson, etc.)</v>
      </c>
      <c r="BB21" s="1" t="s">
        <v>60</v>
      </c>
      <c r="BC21" s="1" t="s">
        <v>34</v>
      </c>
      <c r="BE21" s="1" t="s">
        <v>35</v>
      </c>
      <c r="BG21" s="1" t="s">
        <v>38</v>
      </c>
      <c r="BH21" s="1" t="s">
        <v>38</v>
      </c>
      <c r="BI21" s="1">
        <v>7.0</v>
      </c>
      <c r="BJ21" s="1">
        <v>4.0</v>
      </c>
      <c r="BK21" s="1">
        <v>4.0</v>
      </c>
      <c r="BL21" s="1" t="s">
        <v>38</v>
      </c>
    </row>
    <row r="22">
      <c r="A22" s="1" t="str">
        <f>IFERROR(__xludf.DUMMYFUNCTION("""COMPUTED_VALUE"""),"68EP7gY")</f>
        <v>68EP7gY</v>
      </c>
      <c r="B22" s="1" t="str">
        <f>IFERROR(__xludf.DUMMYFUNCTION("""COMPUTED_VALUE"""),"2ENDrBg")</f>
        <v>2ENDrBg</v>
      </c>
      <c r="C22" s="5">
        <f>IFERROR(__xludf.DUMMYFUNCTION("""COMPUTED_VALUE"""),46034.46233796296)</f>
        <v>46034.46234</v>
      </c>
      <c r="D22" s="1" t="str">
        <f>IFERROR(__xludf.DUMMYFUNCTION("""COMPUTED_VALUE"""),"56〜65歳")</f>
        <v>56〜65歳</v>
      </c>
      <c r="E22" s="1" t="str">
        <f>IFERROR(__xludf.DUMMYFUNCTION("""COMPUTED_VALUE"""),"男性")</f>
        <v>男性</v>
      </c>
      <c r="F22" s="1" t="str">
        <f>IFERROR(__xludf.DUMMYFUNCTION("""COMPUTED_VALUE"""),"600万円〜899万9,999円")</f>
        <v>600万円〜899万9,999円</v>
      </c>
      <c r="G22" s="1" t="str">
        <f>IFERROR(__xludf.DUMMYFUNCTION("""COMPUTED_VALUE"""),"関東")</f>
        <v>関東</v>
      </c>
      <c r="H22" s="1" t="str">
        <f>IFERROR(__xludf.DUMMYFUNCTION("""COMPUTED_VALUE"""),"毎日")</f>
        <v>毎日</v>
      </c>
      <c r="I22" s="1" t="str">
        <f>IFERROR(__xludf.DUMMYFUNCTION("""COMPUTED_VALUE"""),"ドリップコーヒー")</f>
        <v>ドリップコーヒー</v>
      </c>
      <c r="J22" s="1"/>
      <c r="K22" s="1" t="str">
        <f>IFERROR(__xludf.DUMMYFUNCTION("""COMPUTED_VALUE"""),"ほとんど飲まない")</f>
        <v>ほとんど飲まない</v>
      </c>
      <c r="L22" s="1" t="str">
        <f>IFERROR(__xludf.DUMMYFUNCTION("""COMPUTED_VALUE"""),"抹茶ラテ")</f>
        <v>抹茶ラテ</v>
      </c>
      <c r="M22" s="1"/>
      <c r="N22" s="1" t="str">
        <f>IFERROR(__xludf.DUMMYFUNCTION("""COMPUTED_VALUE"""),"味・風味, 社会的トレンドに同調・周囲の影響（周りの人がよく飲んでいるもの）")</f>
        <v>味・風味, 社会的トレンドに同調・周囲の影響（周りの人がよく飲んでいるもの）</v>
      </c>
      <c r="O22" s="1"/>
      <c r="P22" s="1" t="str">
        <f>IFERROR(__xludf.DUMMYFUNCTION("""COMPUTED_VALUE"""),"コンビニ（セブンイレブン、ローソンなど）, その他：")</f>
        <v>コンビニ（セブンイレブン、ローソンなど）, その他：</v>
      </c>
      <c r="Q22" s="1" t="str">
        <f>IFERROR(__xludf.DUMMYFUNCTION("""COMPUTED_VALUE"""),"オフィス")</f>
        <v>オフィス</v>
      </c>
      <c r="R22" s="1" t="str">
        <f>IFERROR(__xludf.DUMMYFUNCTION("""COMPUTED_VALUE"""),"月に数回")</f>
        <v>月に数回</v>
      </c>
      <c r="S22" s="1" t="str">
        <f>IFERROR(__xludf.DUMMYFUNCTION("""COMPUTED_VALUE"""),"勉強・仕事をするため")</f>
        <v>勉強・仕事をするため</v>
      </c>
      <c r="T22" s="1"/>
      <c r="U22" s="1" t="str">
        <f>IFERROR(__xludf.DUMMYFUNCTION("""COMPUTED_VALUE"""),"雰囲気・心地良さ")</f>
        <v>雰囲気・心地良さ</v>
      </c>
      <c r="V22" s="1"/>
      <c r="W22" s="1" t="str">
        <f>IFERROR(__xludf.DUMMYFUNCTION("""COMPUTED_VALUE"""),"はい（西洋的）")</f>
        <v>はい（西洋的）</v>
      </c>
      <c r="X22" s="1" t="str">
        <f>IFERROR(__xludf.DUMMYFUNCTION("""COMPUTED_VALUE"""),"はい（日本的）")</f>
        <v>はい（日本的）</v>
      </c>
      <c r="Y22" s="1">
        <f>IFERROR(__xludf.DUMMYFUNCTION("""COMPUTED_VALUE"""),7.0)</f>
        <v>7</v>
      </c>
      <c r="Z22" s="1">
        <f>IFERROR(__xludf.DUMMYFUNCTION("""COMPUTED_VALUE"""),7.0)</f>
        <v>7</v>
      </c>
      <c r="AA22" s="1">
        <f>IFERROR(__xludf.DUMMYFUNCTION("""COMPUTED_VALUE"""),2.0)</f>
        <v>2</v>
      </c>
      <c r="AB22" s="1" t="str">
        <f>IFERROR(__xludf.DUMMYFUNCTION("""COMPUTED_VALUE"""),"いいえ")</f>
        <v>いいえ</v>
      </c>
      <c r="AK22" s="1" t="s">
        <v>116</v>
      </c>
      <c r="AL22" s="1" t="s">
        <v>117</v>
      </c>
      <c r="AM22" s="5">
        <v>46034.46233796296</v>
      </c>
      <c r="AN22" s="1" t="s">
        <v>88</v>
      </c>
      <c r="AO22" s="1" t="s">
        <v>42</v>
      </c>
      <c r="AP22" s="1" t="s">
        <v>43</v>
      </c>
      <c r="AQ22" s="1" t="s">
        <v>30</v>
      </c>
      <c r="AR22" s="1" t="s">
        <v>44</v>
      </c>
      <c r="AS22" s="1" t="s">
        <v>32</v>
      </c>
      <c r="AU22" s="1" t="s">
        <v>74</v>
      </c>
      <c r="AV22" s="1" t="s">
        <v>59</v>
      </c>
      <c r="AX22" s="1" t="str">
        <f>IFERROR(__xludf.DUMMYFUNCTION("""COMPUTED_VALUE"""),"Taste/Flavor, Social norms / influence (what people around me usually drink)")</f>
        <v>Taste/Flavor, Social norms / influence (what people around me usually drink)</v>
      </c>
      <c r="AZ22" s="1" t="str">
        <f>IFERROR(__xludf.DUMMYFUNCTION("""COMPUTED_VALUE"""),"From convenience stores (7-Eleven, Lawson, etc.), Other:")</f>
        <v>From convenience stores (7-Eleven, Lawson, etc.), Other:</v>
      </c>
      <c r="BA22" s="6" t="s">
        <v>118</v>
      </c>
      <c r="BB22" s="1" t="s">
        <v>60</v>
      </c>
      <c r="BC22" s="1" t="s">
        <v>75</v>
      </c>
      <c r="BE22" s="1" t="s">
        <v>35</v>
      </c>
      <c r="BG22" s="1" t="s">
        <v>36</v>
      </c>
      <c r="BH22" s="1" t="s">
        <v>37</v>
      </c>
      <c r="BI22" s="1">
        <v>7.0</v>
      </c>
      <c r="BJ22" s="1">
        <v>7.0</v>
      </c>
      <c r="BK22" s="1">
        <v>2.0</v>
      </c>
      <c r="BL22" s="1" t="s">
        <v>38</v>
      </c>
    </row>
    <row r="23">
      <c r="A23" s="1" t="str">
        <f>IFERROR(__xludf.DUMMYFUNCTION("""COMPUTED_VALUE"""),"9qjreME")</f>
        <v>9qjreME</v>
      </c>
      <c r="B23" s="1" t="str">
        <f>IFERROR(__xludf.DUMMYFUNCTION("""COMPUTED_VALUE"""),"2EN7klD")</f>
        <v>2EN7klD</v>
      </c>
      <c r="C23" s="5">
        <f>IFERROR(__xludf.DUMMYFUNCTION("""COMPUTED_VALUE"""),46034.64092592592)</f>
        <v>46034.64093</v>
      </c>
      <c r="D23" s="1" t="str">
        <f>IFERROR(__xludf.DUMMYFUNCTION("""COMPUTED_VALUE"""),"46〜55歳")</f>
        <v>46〜55歳</v>
      </c>
      <c r="E23" s="1" t="str">
        <f>IFERROR(__xludf.DUMMYFUNCTION("""COMPUTED_VALUE"""),"男性")</f>
        <v>男性</v>
      </c>
      <c r="F23" s="1" t="str">
        <f>IFERROR(__xludf.DUMMYFUNCTION("""COMPUTED_VALUE"""),"900万円〜1,199万9,999円")</f>
        <v>900万円〜1,199万9,999円</v>
      </c>
      <c r="G23" s="1" t="str">
        <f>IFERROR(__xludf.DUMMYFUNCTION("""COMPUTED_VALUE"""),"関東")</f>
        <v>関東</v>
      </c>
      <c r="H23" s="1" t="str">
        <f>IFERROR(__xludf.DUMMYFUNCTION("""COMPUTED_VALUE"""),"毎日")</f>
        <v>毎日</v>
      </c>
      <c r="I23" s="1" t="str">
        <f>IFERROR(__xludf.DUMMYFUNCTION("""COMPUTED_VALUE"""),"ドリップコーヒー")</f>
        <v>ドリップコーヒー</v>
      </c>
      <c r="J23" s="1"/>
      <c r="K23" s="1" t="str">
        <f>IFERROR(__xludf.DUMMYFUNCTION("""COMPUTED_VALUE"""),"ほとんど飲まない")</f>
        <v>ほとんど飲まない</v>
      </c>
      <c r="L23" s="1" t="str">
        <f>IFERROR(__xludf.DUMMYFUNCTION("""COMPUTED_VALUE"""),"抹茶ラテ")</f>
        <v>抹茶ラテ</v>
      </c>
      <c r="M23" s="1"/>
      <c r="N23" s="1" t="str">
        <f>IFERROR(__xludf.DUMMYFUNCTION("""COMPUTED_VALUE"""),"味・風味, 価格")</f>
        <v>味・風味, 価格</v>
      </c>
      <c r="O23" s="1"/>
      <c r="P23" s="1" t="str">
        <f>IFERROR(__xludf.DUMMYFUNCTION("""COMPUTED_VALUE"""),"カフェで, 自宅で, コンビニ（セブンイレブン、ローソンなど）, 自動販売機")</f>
        <v>カフェで, 自宅で, コンビニ（セブンイレブン、ローソンなど）, 自動販売機</v>
      </c>
      <c r="Q23" s="1"/>
      <c r="R23" s="1" t="str">
        <f>IFERROR(__xludf.DUMMYFUNCTION("""COMPUTED_VALUE"""),"月に数回")</f>
        <v>月に数回</v>
      </c>
      <c r="S23" s="1" t="str">
        <f>IFERROR(__xludf.DUMMYFUNCTION("""COMPUTED_VALUE"""),"勉強・仕事をするため")</f>
        <v>勉強・仕事をするため</v>
      </c>
      <c r="T23" s="1"/>
      <c r="U23" s="1" t="str">
        <f>IFERROR(__xludf.DUMMYFUNCTION("""COMPUTED_VALUE"""),"雰囲気・心地良さ")</f>
        <v>雰囲気・心地良さ</v>
      </c>
      <c r="V23" s="1"/>
      <c r="W23" s="1" t="str">
        <f>IFERROR(__xludf.DUMMYFUNCTION("""COMPUTED_VALUE"""),"はい（グローバル）")</f>
        <v>はい（グローバル）</v>
      </c>
      <c r="X23" s="1" t="str">
        <f>IFERROR(__xludf.DUMMYFUNCTION("""COMPUTED_VALUE"""),"はい（日本的）")</f>
        <v>はい（日本的）</v>
      </c>
      <c r="Y23" s="1">
        <f>IFERROR(__xludf.DUMMYFUNCTION("""COMPUTED_VALUE"""),7.0)</f>
        <v>7</v>
      </c>
      <c r="Z23" s="1">
        <f>IFERROR(__xludf.DUMMYFUNCTION("""COMPUTED_VALUE"""),7.0)</f>
        <v>7</v>
      </c>
      <c r="AA23" s="1">
        <f>IFERROR(__xludf.DUMMYFUNCTION("""COMPUTED_VALUE"""),4.0)</f>
        <v>4</v>
      </c>
      <c r="AB23" s="1" t="str">
        <f>IFERROR(__xludf.DUMMYFUNCTION("""COMPUTED_VALUE"""),"いいえ")</f>
        <v>いいえ</v>
      </c>
      <c r="AK23" s="1" t="s">
        <v>119</v>
      </c>
      <c r="AL23" s="1" t="s">
        <v>120</v>
      </c>
      <c r="AM23" s="5">
        <v>46034.64092592592</v>
      </c>
      <c r="AN23" s="1" t="s">
        <v>95</v>
      </c>
      <c r="AO23" s="1" t="s">
        <v>42</v>
      </c>
      <c r="AP23" s="1" t="s">
        <v>121</v>
      </c>
      <c r="AQ23" s="1" t="s">
        <v>30</v>
      </c>
      <c r="AR23" s="1" t="s">
        <v>44</v>
      </c>
      <c r="AS23" s="1" t="s">
        <v>32</v>
      </c>
      <c r="AU23" s="1" t="s">
        <v>74</v>
      </c>
      <c r="AV23" s="1" t="s">
        <v>59</v>
      </c>
      <c r="AX23" s="1" t="str">
        <f>IFERROR(__xludf.DUMMYFUNCTION("""COMPUTED_VALUE"""),"Taste/Flavor, Price")</f>
        <v>Taste/Flavor, Price</v>
      </c>
      <c r="AZ23" s="1" t="str">
        <f>IFERROR(__xludf.DUMMYFUNCTION("""COMPUTED_VALUE"""),"At cafés, At home, From convenience stores (7-Eleven, Lawson, etc.), From vending machines")</f>
        <v>At cafés, At home, From convenience stores (7-Eleven, Lawson, etc.), From vending machines</v>
      </c>
      <c r="BB23" s="1" t="s">
        <v>60</v>
      </c>
      <c r="BC23" s="1" t="s">
        <v>75</v>
      </c>
      <c r="BE23" s="1" t="s">
        <v>35</v>
      </c>
      <c r="BG23" s="1" t="s">
        <v>48</v>
      </c>
      <c r="BH23" s="1" t="s">
        <v>37</v>
      </c>
      <c r="BI23" s="1">
        <v>7.0</v>
      </c>
      <c r="BJ23" s="1">
        <v>7.0</v>
      </c>
      <c r="BK23" s="1">
        <v>4.0</v>
      </c>
      <c r="BL23" s="1" t="s">
        <v>38</v>
      </c>
    </row>
    <row r="24">
      <c r="A24" s="1" t="str">
        <f>IFERROR(__xludf.DUMMYFUNCTION("""COMPUTED_VALUE"""),"lbkZXPo")</f>
        <v>lbkZXPo</v>
      </c>
      <c r="B24" s="1" t="str">
        <f>IFERROR(__xludf.DUMMYFUNCTION("""COMPUTED_VALUE"""),"vGyWA4D")</f>
        <v>vGyWA4D</v>
      </c>
      <c r="C24" s="5">
        <f>IFERROR(__xludf.DUMMYFUNCTION("""COMPUTED_VALUE"""),46035.03644675926)</f>
        <v>46035.03645</v>
      </c>
      <c r="D24" s="1" t="str">
        <f>IFERROR(__xludf.DUMMYFUNCTION("""COMPUTED_VALUE"""),"46〜55歳")</f>
        <v>46〜55歳</v>
      </c>
      <c r="E24" s="1" t="str">
        <f>IFERROR(__xludf.DUMMYFUNCTION("""COMPUTED_VALUE"""),"男性")</f>
        <v>男性</v>
      </c>
      <c r="F24" s="1" t="str">
        <f>IFERROR(__xludf.DUMMYFUNCTION("""COMPUTED_VALUE"""),"900万円〜1,199万9,999円")</f>
        <v>900万円〜1,199万9,999円</v>
      </c>
      <c r="G24" s="1" t="str">
        <f>IFERROR(__xludf.DUMMYFUNCTION("""COMPUTED_VALUE"""),"関東")</f>
        <v>関東</v>
      </c>
      <c r="H24" s="1" t="str">
        <f>IFERROR(__xludf.DUMMYFUNCTION("""COMPUTED_VALUE"""),"毎日")</f>
        <v>毎日</v>
      </c>
      <c r="I24" s="1" t="str">
        <f>IFERROR(__xludf.DUMMYFUNCTION("""COMPUTED_VALUE"""),"その他:")</f>
        <v>その他:</v>
      </c>
      <c r="J24" s="1" t="str">
        <f>IFERROR(__xludf.DUMMYFUNCTION("""COMPUTED_VALUE"""),"缶コーヒー")</f>
        <v>缶コーヒー</v>
      </c>
      <c r="K24" s="1" t="str">
        <f>IFERROR(__xludf.DUMMYFUNCTION("""COMPUTED_VALUE"""),"ほとんど飲まない")</f>
        <v>ほとんど飲まない</v>
      </c>
      <c r="L24" s="1" t="str">
        <f>IFERROR(__xludf.DUMMYFUNCTION("""COMPUTED_VALUE"""),"薄茶")</f>
        <v>薄茶</v>
      </c>
      <c r="M24" s="1"/>
      <c r="N24" s="1" t="str">
        <f>IFERROR(__xludf.DUMMYFUNCTION("""COMPUTED_VALUE"""),"その他：, 味・風味")</f>
        <v>その他：, 味・風味</v>
      </c>
      <c r="O24" s="1" t="str">
        <f>IFERROR(__xludf.DUMMYFUNCTION("""COMPUTED_VALUE"""),"手に入り易さ")</f>
        <v>手に入り易さ</v>
      </c>
      <c r="P24" s="1" t="str">
        <f>IFERROR(__xludf.DUMMYFUNCTION("""COMPUTED_VALUE"""),"カフェで, 自宅で, コンビニ（セブンイレブン、ローソンなど）, 自動販売機")</f>
        <v>カフェで, 自宅で, コンビニ（セブンイレブン、ローソンなど）, 自動販売機</v>
      </c>
      <c r="Q24" s="1"/>
      <c r="R24" s="1" t="str">
        <f>IFERROR(__xludf.DUMMYFUNCTION("""COMPUTED_VALUE"""),"月に数回")</f>
        <v>月に数回</v>
      </c>
      <c r="S24" s="1" t="str">
        <f>IFERROR(__xludf.DUMMYFUNCTION("""COMPUTED_VALUE"""),"休憩・リラックスするため")</f>
        <v>休憩・リラックスするため</v>
      </c>
      <c r="T24" s="1"/>
      <c r="U24" s="1" t="str">
        <f>IFERROR(__xludf.DUMMYFUNCTION("""COMPUTED_VALUE"""),"雰囲気・心地良さ")</f>
        <v>雰囲気・心地良さ</v>
      </c>
      <c r="V24" s="1"/>
      <c r="W24" s="1" t="str">
        <f>IFERROR(__xludf.DUMMYFUNCTION("""COMPUTED_VALUE"""),"はい（西洋的）")</f>
        <v>はい（西洋的）</v>
      </c>
      <c r="X24" s="1" t="str">
        <f>IFERROR(__xludf.DUMMYFUNCTION("""COMPUTED_VALUE"""),"はい（日本的）")</f>
        <v>はい（日本的）</v>
      </c>
      <c r="Y24" s="1">
        <f>IFERROR(__xludf.DUMMYFUNCTION("""COMPUTED_VALUE"""),7.0)</f>
        <v>7</v>
      </c>
      <c r="Z24" s="1">
        <f>IFERROR(__xludf.DUMMYFUNCTION("""COMPUTED_VALUE"""),7.0)</f>
        <v>7</v>
      </c>
      <c r="AA24" s="1">
        <f>IFERROR(__xludf.DUMMYFUNCTION("""COMPUTED_VALUE"""),4.0)</f>
        <v>4</v>
      </c>
      <c r="AB24" s="1" t="str">
        <f>IFERROR(__xludf.DUMMYFUNCTION("""COMPUTED_VALUE"""),"はい")</f>
        <v>はい</v>
      </c>
      <c r="AK24" s="1" t="s">
        <v>122</v>
      </c>
      <c r="AL24" s="1" t="s">
        <v>123</v>
      </c>
      <c r="AM24" s="5">
        <v>46035.03644675926</v>
      </c>
      <c r="AN24" s="1" t="s">
        <v>95</v>
      </c>
      <c r="AO24" s="1" t="s">
        <v>42</v>
      </c>
      <c r="AP24" s="1" t="s">
        <v>121</v>
      </c>
      <c r="AQ24" s="1" t="s">
        <v>30</v>
      </c>
      <c r="AR24" s="1" t="s">
        <v>44</v>
      </c>
      <c r="AS24" s="1" t="s">
        <v>54</v>
      </c>
      <c r="AT24" s="6" t="s">
        <v>124</v>
      </c>
      <c r="AU24" s="1" t="s">
        <v>74</v>
      </c>
      <c r="AV24" s="1" t="s">
        <v>33</v>
      </c>
      <c r="AX24" s="1" t="str">
        <f>IFERROR(__xludf.DUMMYFUNCTION("""COMPUTED_VALUE"""),"Other:, Taste/Flavor")</f>
        <v>Other:, Taste/Flavor</v>
      </c>
      <c r="AY24" s="6" t="s">
        <v>125</v>
      </c>
      <c r="AZ24" s="1" t="str">
        <f>IFERROR(__xludf.DUMMYFUNCTION("""COMPUTED_VALUE"""),"At cafés, At home, From convenience stores (7-Eleven, Lawson, etc.), From vending machines")</f>
        <v>At cafés, At home, From convenience stores (7-Eleven, Lawson, etc.), From vending machines</v>
      </c>
      <c r="BB24" s="1" t="s">
        <v>60</v>
      </c>
      <c r="BC24" s="1" t="s">
        <v>61</v>
      </c>
      <c r="BE24" s="1" t="s">
        <v>35</v>
      </c>
      <c r="BG24" s="1" t="s">
        <v>36</v>
      </c>
      <c r="BH24" s="1" t="s">
        <v>37</v>
      </c>
      <c r="BI24" s="1">
        <v>7.0</v>
      </c>
      <c r="BJ24" s="1">
        <v>7.0</v>
      </c>
      <c r="BK24" s="1">
        <v>4.0</v>
      </c>
      <c r="BL24" s="1" t="s">
        <v>71</v>
      </c>
    </row>
    <row r="25">
      <c r="A25" s="1" t="str">
        <f>IFERROR(__xludf.DUMMYFUNCTION("""COMPUTED_VALUE"""),"jaAYBoY")</f>
        <v>jaAYBoY</v>
      </c>
      <c r="B25" s="1" t="str">
        <f>IFERROR(__xludf.DUMMYFUNCTION("""COMPUTED_VALUE"""),"lbd4vZp")</f>
        <v>lbd4vZp</v>
      </c>
      <c r="C25" s="5">
        <f>IFERROR(__xludf.DUMMYFUNCTION("""COMPUTED_VALUE"""),46035.11938657407)</f>
        <v>46035.11939</v>
      </c>
      <c r="D25" s="1" t="str">
        <f>IFERROR(__xludf.DUMMYFUNCTION("""COMPUTED_VALUE"""),"18〜25歳")</f>
        <v>18〜25歳</v>
      </c>
      <c r="E25" s="1" t="str">
        <f>IFERROR(__xludf.DUMMYFUNCTION("""COMPUTED_VALUE"""),"男性")</f>
        <v>男性</v>
      </c>
      <c r="F25" s="1" t="str">
        <f>IFERROR(__xludf.DUMMYFUNCTION("""COMPUTED_VALUE"""),"300万円〜599万9,999円")</f>
        <v>300万円〜599万9,999円</v>
      </c>
      <c r="G25" s="1" t="str">
        <f>IFERROR(__xludf.DUMMYFUNCTION("""COMPUTED_VALUE"""),"関西")</f>
        <v>関西</v>
      </c>
      <c r="H25" s="1" t="str">
        <f>IFERROR(__xludf.DUMMYFUNCTION("""COMPUTED_VALUE"""),"毎日")</f>
        <v>毎日</v>
      </c>
      <c r="I25" s="1" t="str">
        <f>IFERROR(__xludf.DUMMYFUNCTION("""COMPUTED_VALUE"""),"アメリカーノ")</f>
        <v>アメリカーノ</v>
      </c>
      <c r="J25" s="1"/>
      <c r="K25" s="1" t="str">
        <f>IFERROR(__xludf.DUMMYFUNCTION("""COMPUTED_VALUE"""),"ほとんど飲まない")</f>
        <v>ほとんど飲まない</v>
      </c>
      <c r="L25" s="1" t="str">
        <f>IFERROR(__xludf.DUMMYFUNCTION("""COMPUTED_VALUE"""),"抹茶は飲まない")</f>
        <v>抹茶は飲まない</v>
      </c>
      <c r="M25" s="1"/>
      <c r="N25" s="1" t="str">
        <f>IFERROR(__xludf.DUMMYFUNCTION("""COMPUTED_VALUE"""),"味・風味, 習慣")</f>
        <v>味・風味, 習慣</v>
      </c>
      <c r="O25" s="1"/>
      <c r="P25" s="1" t="str">
        <f>IFERROR(__xludf.DUMMYFUNCTION("""COMPUTED_VALUE"""),"カフェで, 自宅で, コンビニ（セブンイレブン、ローソンなど）")</f>
        <v>カフェで, 自宅で, コンビニ（セブンイレブン、ローソンなど）</v>
      </c>
      <c r="Q25" s="1"/>
      <c r="R25" s="1" t="str">
        <f>IFERROR(__xludf.DUMMYFUNCTION("""COMPUTED_VALUE"""),"週に数回")</f>
        <v>週に数回</v>
      </c>
      <c r="S25" s="1" t="str">
        <f>IFERROR(__xludf.DUMMYFUNCTION("""COMPUTED_VALUE"""),"習慣として")</f>
        <v>習慣として</v>
      </c>
      <c r="T25" s="1"/>
      <c r="U25" s="1" t="str">
        <f>IFERROR(__xludf.DUMMYFUNCTION("""COMPUTED_VALUE"""),"雰囲気・心地良さ")</f>
        <v>雰囲気・心地良さ</v>
      </c>
      <c r="V25" s="1"/>
      <c r="W25" s="1" t="str">
        <f>IFERROR(__xludf.DUMMYFUNCTION("""COMPUTED_VALUE"""),"はい（グローバル）")</f>
        <v>はい（グローバル）</v>
      </c>
      <c r="X25" s="1" t="str">
        <f>IFERROR(__xludf.DUMMYFUNCTION("""COMPUTED_VALUE"""),"はい（日本的）")</f>
        <v>はい（日本的）</v>
      </c>
      <c r="Y25" s="1">
        <f>IFERROR(__xludf.DUMMYFUNCTION("""COMPUTED_VALUE"""),7.0)</f>
        <v>7</v>
      </c>
      <c r="Z25" s="1">
        <f>IFERROR(__xludf.DUMMYFUNCTION("""COMPUTED_VALUE"""),5.0)</f>
        <v>5</v>
      </c>
      <c r="AA25" s="1">
        <f>IFERROR(__xludf.DUMMYFUNCTION("""COMPUTED_VALUE"""),7.0)</f>
        <v>7</v>
      </c>
      <c r="AB25" s="1" t="str">
        <f>IFERROR(__xludf.DUMMYFUNCTION("""COMPUTED_VALUE"""),"はい")</f>
        <v>はい</v>
      </c>
      <c r="AK25" s="1" t="s">
        <v>126</v>
      </c>
      <c r="AL25" s="1" t="s">
        <v>127</v>
      </c>
      <c r="AM25" s="5">
        <v>46035.11938657407</v>
      </c>
      <c r="AN25" s="1" t="s">
        <v>41</v>
      </c>
      <c r="AO25" s="1" t="s">
        <v>42</v>
      </c>
      <c r="AP25" s="1" t="s">
        <v>64</v>
      </c>
      <c r="AQ25" s="1" t="s">
        <v>90</v>
      </c>
      <c r="AR25" s="1" t="s">
        <v>44</v>
      </c>
      <c r="AS25" s="1" t="s">
        <v>128</v>
      </c>
      <c r="AU25" s="1" t="s">
        <v>74</v>
      </c>
      <c r="AV25" s="1" t="s">
        <v>91</v>
      </c>
      <c r="AX25" s="1" t="str">
        <f>IFERROR(__xludf.DUMMYFUNCTION("""COMPUTED_VALUE"""),"Taste/Flavor, Routine/Ritual")</f>
        <v>Taste/Flavor, Routine/Ritual</v>
      </c>
      <c r="AZ25" s="1" t="str">
        <f>IFERROR(__xludf.DUMMYFUNCTION("""COMPUTED_VALUE"""),"At cafés, At home, From convenience stores (7-Eleven, Lawson, etc.)")</f>
        <v>At cafés, At home, From convenience stores (7-Eleven, Lawson, etc.)</v>
      </c>
      <c r="BB25" s="1" t="s">
        <v>31</v>
      </c>
      <c r="BC25" s="1" t="s">
        <v>82</v>
      </c>
      <c r="BE25" s="1" t="s">
        <v>35</v>
      </c>
      <c r="BG25" s="1" t="s">
        <v>48</v>
      </c>
      <c r="BH25" s="1" t="s">
        <v>37</v>
      </c>
      <c r="BI25" s="1">
        <v>7.0</v>
      </c>
      <c r="BJ25" s="1">
        <v>5.0</v>
      </c>
      <c r="BK25" s="1">
        <v>7.0</v>
      </c>
      <c r="BL25" s="1" t="s">
        <v>71</v>
      </c>
    </row>
    <row r="26">
      <c r="A26" s="1" t="str">
        <f>IFERROR(__xludf.DUMMYFUNCTION("""COMPUTED_VALUE"""),"b5QyLD7")</f>
        <v>b5QyLD7</v>
      </c>
      <c r="B26" s="1" t="str">
        <f>IFERROR(__xludf.DUMMYFUNCTION("""COMPUTED_VALUE"""),"9qDrrr5")</f>
        <v>9qDrrr5</v>
      </c>
      <c r="C26" s="5">
        <f>IFERROR(__xludf.DUMMYFUNCTION("""COMPUTED_VALUE"""),46035.13155092593)</f>
        <v>46035.13155</v>
      </c>
      <c r="D26" s="1" t="str">
        <f>IFERROR(__xludf.DUMMYFUNCTION("""COMPUTED_VALUE"""),"65歳以上")</f>
        <v>65歳以上</v>
      </c>
      <c r="E26" s="1" t="str">
        <f>IFERROR(__xludf.DUMMYFUNCTION("""COMPUTED_VALUE"""),"男性")</f>
        <v>男性</v>
      </c>
      <c r="F26" s="1" t="str">
        <f>IFERROR(__xludf.DUMMYFUNCTION("""COMPUTED_VALUE"""),"300万円〜599万9,999円")</f>
        <v>300万円〜599万9,999円</v>
      </c>
      <c r="G26" s="1" t="str">
        <f>IFERROR(__xludf.DUMMYFUNCTION("""COMPUTED_VALUE"""),"関西")</f>
        <v>関西</v>
      </c>
      <c r="H26" s="1" t="str">
        <f>IFERROR(__xludf.DUMMYFUNCTION("""COMPUTED_VALUE"""),"ほとんど飲まない")</f>
        <v>ほとんど飲まない</v>
      </c>
      <c r="I26" s="1" t="str">
        <f>IFERROR(__xludf.DUMMYFUNCTION("""COMPUTED_VALUE"""),"ラテ")</f>
        <v>ラテ</v>
      </c>
      <c r="J26" s="1"/>
      <c r="K26" s="1" t="str">
        <f>IFERROR(__xludf.DUMMYFUNCTION("""COMPUTED_VALUE"""),"ほとんど飲まない")</f>
        <v>ほとんど飲まない</v>
      </c>
      <c r="L26" s="1" t="str">
        <f>IFERROR(__xludf.DUMMYFUNCTION("""COMPUTED_VALUE"""),"抹茶は飲まない")</f>
        <v>抹茶は飲まない</v>
      </c>
      <c r="M26" s="1"/>
      <c r="N26" s="1" t="str">
        <f>IFERROR(__xludf.DUMMYFUNCTION("""COMPUTED_VALUE"""),"習慣")</f>
        <v>習慣</v>
      </c>
      <c r="O26" s="1"/>
      <c r="P26" s="1"/>
      <c r="Q26" s="1"/>
      <c r="R26" s="1" t="str">
        <f>IFERROR(__xludf.DUMMYFUNCTION("""COMPUTED_VALUE"""),"ほとんど行かない")</f>
        <v>ほとんど行かない</v>
      </c>
      <c r="S26" s="1" t="str">
        <f>IFERROR(__xludf.DUMMYFUNCTION("""COMPUTED_VALUE"""),"友人と会うため")</f>
        <v>友人と会うため</v>
      </c>
      <c r="T26" s="1"/>
      <c r="U26" s="1" t="str">
        <f>IFERROR(__xludf.DUMMYFUNCTION("""COMPUTED_VALUE"""),"飲み物の味・品質")</f>
        <v>飲み物の味・品質</v>
      </c>
      <c r="V26" s="1"/>
      <c r="W26" s="1" t="str">
        <f>IFERROR(__xludf.DUMMYFUNCTION("""COMPUTED_VALUE"""),"いいえ")</f>
        <v>いいえ</v>
      </c>
      <c r="X26" s="1" t="str">
        <f>IFERROR(__xludf.DUMMYFUNCTION("""COMPUTED_VALUE"""),"はい（日本的）")</f>
        <v>はい（日本的）</v>
      </c>
      <c r="Y26" s="1">
        <f>IFERROR(__xludf.DUMMYFUNCTION("""COMPUTED_VALUE"""),7.0)</f>
        <v>7</v>
      </c>
      <c r="Z26" s="1">
        <f>IFERROR(__xludf.DUMMYFUNCTION("""COMPUTED_VALUE"""),7.0)</f>
        <v>7</v>
      </c>
      <c r="AA26" s="1">
        <f>IFERROR(__xludf.DUMMYFUNCTION("""COMPUTED_VALUE"""),7.0)</f>
        <v>7</v>
      </c>
      <c r="AB26" s="1" t="str">
        <f>IFERROR(__xludf.DUMMYFUNCTION("""COMPUTED_VALUE"""),"はい")</f>
        <v>はい</v>
      </c>
      <c r="AK26" s="1" t="s">
        <v>129</v>
      </c>
      <c r="AL26" s="1" t="s">
        <v>130</v>
      </c>
      <c r="AM26" s="5">
        <v>46035.13155092593</v>
      </c>
      <c r="AN26" s="1" t="s">
        <v>85</v>
      </c>
      <c r="AO26" s="1" t="s">
        <v>42</v>
      </c>
      <c r="AP26" s="1" t="s">
        <v>64</v>
      </c>
      <c r="AQ26" s="1" t="s">
        <v>90</v>
      </c>
      <c r="AR26" s="1" t="s">
        <v>74</v>
      </c>
      <c r="AS26" s="1" t="s">
        <v>65</v>
      </c>
      <c r="AU26" s="1" t="s">
        <v>74</v>
      </c>
      <c r="AV26" s="1" t="s">
        <v>91</v>
      </c>
      <c r="AX26" s="1" t="str">
        <f>IFERROR(__xludf.DUMMYFUNCTION("""COMPUTED_VALUE"""),"Routine/Ritual")</f>
        <v>Routine/Ritual</v>
      </c>
      <c r="AZ26" s="1" t="str">
        <f>IFERROR(__xludf.DUMMYFUNCTION("""COMPUTED_VALUE"""),"")</f>
        <v/>
      </c>
      <c r="BB26" s="1" t="s">
        <v>74</v>
      </c>
      <c r="BC26" s="1" t="s">
        <v>34</v>
      </c>
      <c r="BE26" s="1" t="s">
        <v>47</v>
      </c>
      <c r="BG26" s="1" t="s">
        <v>38</v>
      </c>
      <c r="BH26" s="1" t="s">
        <v>37</v>
      </c>
      <c r="BI26" s="1">
        <v>7.0</v>
      </c>
      <c r="BJ26" s="1">
        <v>7.0</v>
      </c>
      <c r="BK26" s="1">
        <v>7.0</v>
      </c>
      <c r="BL26" s="1" t="s">
        <v>71</v>
      </c>
    </row>
    <row r="27">
      <c r="A27" s="1" t="str">
        <f>IFERROR(__xludf.DUMMYFUNCTION("""COMPUTED_VALUE"""),"b5QyGKL")</f>
        <v>b5QyGKL</v>
      </c>
      <c r="B27" s="1" t="str">
        <f>IFERROR(__xludf.DUMMYFUNCTION("""COMPUTED_VALUE"""),"zxDbBE0")</f>
        <v>zxDbBE0</v>
      </c>
      <c r="C27" s="5">
        <f>IFERROR(__xludf.DUMMYFUNCTION("""COMPUTED_VALUE"""),46035.18347222222)</f>
        <v>46035.18347</v>
      </c>
      <c r="D27" s="1" t="str">
        <f>IFERROR(__xludf.DUMMYFUNCTION("""COMPUTED_VALUE"""),"46〜55歳")</f>
        <v>46〜55歳</v>
      </c>
      <c r="E27" s="1" t="str">
        <f>IFERROR(__xludf.DUMMYFUNCTION("""COMPUTED_VALUE"""),"回答しない")</f>
        <v>回答しない</v>
      </c>
      <c r="F27" s="1" t="str">
        <f>IFERROR(__xludf.DUMMYFUNCTION("""COMPUTED_VALUE"""),"回答しない")</f>
        <v>回答しない</v>
      </c>
      <c r="G27" s="1" t="str">
        <f>IFERROR(__xludf.DUMMYFUNCTION("""COMPUTED_VALUE"""),"関東")</f>
        <v>関東</v>
      </c>
      <c r="H27" s="1" t="str">
        <f>IFERROR(__xludf.DUMMYFUNCTION("""COMPUTED_VALUE"""),"毎日")</f>
        <v>毎日</v>
      </c>
      <c r="I27" s="1" t="str">
        <f>IFERROR(__xludf.DUMMYFUNCTION("""COMPUTED_VALUE"""),"ドリップコーヒー")</f>
        <v>ドリップコーヒー</v>
      </c>
      <c r="J27" s="1"/>
      <c r="K27" s="1" t="str">
        <f>IFERROR(__xludf.DUMMYFUNCTION("""COMPUTED_VALUE"""),"ほとんど飲まない")</f>
        <v>ほとんど飲まない</v>
      </c>
      <c r="L27" s="1" t="str">
        <f>IFERROR(__xludf.DUMMYFUNCTION("""COMPUTED_VALUE"""),"抹茶は飲まない")</f>
        <v>抹茶は飲まない</v>
      </c>
      <c r="M27" s="1"/>
      <c r="N27" s="1" t="str">
        <f>IFERROR(__xludf.DUMMYFUNCTION("""COMPUTED_VALUE"""),"味・風味, 習慣")</f>
        <v>味・風味, 習慣</v>
      </c>
      <c r="O27" s="1"/>
      <c r="P27" s="1" t="str">
        <f>IFERROR(__xludf.DUMMYFUNCTION("""COMPUTED_VALUE"""),"自宅で")</f>
        <v>自宅で</v>
      </c>
      <c r="Q27" s="1"/>
      <c r="R27" s="1" t="str">
        <f>IFERROR(__xludf.DUMMYFUNCTION("""COMPUTED_VALUE"""),"月に数回")</f>
        <v>月に数回</v>
      </c>
      <c r="S27" s="1" t="str">
        <f>IFERROR(__xludf.DUMMYFUNCTION("""COMPUTED_VALUE"""),"休憩・リラックスするため")</f>
        <v>休憩・リラックスするため</v>
      </c>
      <c r="T27" s="1"/>
      <c r="U27" s="1" t="str">
        <f>IFERROR(__xludf.DUMMYFUNCTION("""COMPUTED_VALUE"""),"雰囲気・心地良さ")</f>
        <v>雰囲気・心地良さ</v>
      </c>
      <c r="V27" s="1"/>
      <c r="W27" s="1" t="str">
        <f>IFERROR(__xludf.DUMMYFUNCTION("""COMPUTED_VALUE"""),"はい（西洋的）")</f>
        <v>はい（西洋的）</v>
      </c>
      <c r="X27" s="1" t="str">
        <f>IFERROR(__xludf.DUMMYFUNCTION("""COMPUTED_VALUE"""),"はい（日本的）")</f>
        <v>はい（日本的）</v>
      </c>
      <c r="Y27" s="1">
        <f>IFERROR(__xludf.DUMMYFUNCTION("""COMPUTED_VALUE"""),4.0)</f>
        <v>4</v>
      </c>
      <c r="Z27" s="1">
        <f>IFERROR(__xludf.DUMMYFUNCTION("""COMPUTED_VALUE"""),6.0)</f>
        <v>6</v>
      </c>
      <c r="AA27" s="1">
        <f>IFERROR(__xludf.DUMMYFUNCTION("""COMPUTED_VALUE"""),3.0)</f>
        <v>3</v>
      </c>
      <c r="AB27" s="1" t="str">
        <f>IFERROR(__xludf.DUMMYFUNCTION("""COMPUTED_VALUE"""),"いいえ")</f>
        <v>いいえ</v>
      </c>
      <c r="AK27" s="1" t="s">
        <v>131</v>
      </c>
      <c r="AL27" s="1" t="s">
        <v>132</v>
      </c>
      <c r="AM27" s="5">
        <v>46035.18347222222</v>
      </c>
      <c r="AN27" s="1" t="s">
        <v>95</v>
      </c>
      <c r="AO27" s="1" t="s">
        <v>52</v>
      </c>
      <c r="AP27" s="1" t="s">
        <v>52</v>
      </c>
      <c r="AQ27" s="1" t="s">
        <v>30</v>
      </c>
      <c r="AR27" s="1" t="s">
        <v>44</v>
      </c>
      <c r="AS27" s="1" t="s">
        <v>32</v>
      </c>
      <c r="AU27" s="1" t="s">
        <v>74</v>
      </c>
      <c r="AV27" s="1" t="s">
        <v>91</v>
      </c>
      <c r="AX27" s="1" t="str">
        <f>IFERROR(__xludf.DUMMYFUNCTION("""COMPUTED_VALUE"""),"Taste/Flavor, Routine/Ritual")</f>
        <v>Taste/Flavor, Routine/Ritual</v>
      </c>
      <c r="AZ27" s="1" t="str">
        <f>IFERROR(__xludf.DUMMYFUNCTION("""COMPUTED_VALUE"""),"At home")</f>
        <v>At home</v>
      </c>
      <c r="BB27" s="1" t="s">
        <v>60</v>
      </c>
      <c r="BC27" s="1" t="s">
        <v>61</v>
      </c>
      <c r="BE27" s="1" t="s">
        <v>35</v>
      </c>
      <c r="BG27" s="1" t="s">
        <v>36</v>
      </c>
      <c r="BH27" s="1" t="s">
        <v>37</v>
      </c>
      <c r="BI27" s="1">
        <v>4.0</v>
      </c>
      <c r="BJ27" s="1">
        <v>6.0</v>
      </c>
      <c r="BK27" s="1">
        <v>3.0</v>
      </c>
      <c r="BL27" s="1" t="s">
        <v>38</v>
      </c>
    </row>
    <row r="28">
      <c r="A28" s="1" t="str">
        <f>IFERROR(__xludf.DUMMYFUNCTION("""COMPUTED_VALUE"""),"RGy19Xj")</f>
        <v>RGy19Xj</v>
      </c>
      <c r="B28" s="1" t="str">
        <f>IFERROR(__xludf.DUMMYFUNCTION("""COMPUTED_VALUE"""),"GxdkPlk")</f>
        <v>GxdkPlk</v>
      </c>
      <c r="C28" s="5">
        <f>IFERROR(__xludf.DUMMYFUNCTION("""COMPUTED_VALUE"""),46035.467453703706)</f>
        <v>46035.46745</v>
      </c>
      <c r="D28" s="1" t="str">
        <f>IFERROR(__xludf.DUMMYFUNCTION("""COMPUTED_VALUE"""),"18〜25歳")</f>
        <v>18〜25歳</v>
      </c>
      <c r="E28" s="1" t="str">
        <f>IFERROR(__xludf.DUMMYFUNCTION("""COMPUTED_VALUE"""),"女性")</f>
        <v>女性</v>
      </c>
      <c r="F28" s="1" t="str">
        <f>IFERROR(__xludf.DUMMYFUNCTION("""COMPUTED_VALUE"""),"300万円〜599万9,999円")</f>
        <v>300万円〜599万9,999円</v>
      </c>
      <c r="G28" s="1" t="str">
        <f>IFERROR(__xludf.DUMMYFUNCTION("""COMPUTED_VALUE"""),"関西")</f>
        <v>関西</v>
      </c>
      <c r="H28" s="1" t="str">
        <f>IFERROR(__xludf.DUMMYFUNCTION("""COMPUTED_VALUE"""),"週に数回")</f>
        <v>週に数回</v>
      </c>
      <c r="I28" s="1" t="str">
        <f>IFERROR(__xludf.DUMMYFUNCTION("""COMPUTED_VALUE"""),"ドリップコーヒー")</f>
        <v>ドリップコーヒー</v>
      </c>
      <c r="J28" s="1"/>
      <c r="K28" s="1" t="str">
        <f>IFERROR(__xludf.DUMMYFUNCTION("""COMPUTED_VALUE"""),"ほとんど飲まない")</f>
        <v>ほとんど飲まない</v>
      </c>
      <c r="L28" s="1" t="str">
        <f>IFERROR(__xludf.DUMMYFUNCTION("""COMPUTED_VALUE"""),"抹茶ラテ")</f>
        <v>抹茶ラテ</v>
      </c>
      <c r="M28" s="1"/>
      <c r="N28" s="1" t="str">
        <f>IFERROR(__xludf.DUMMYFUNCTION("""COMPUTED_VALUE"""),"味・風味, ブランド・イメージ")</f>
        <v>味・風味, ブランド・イメージ</v>
      </c>
      <c r="O28" s="1"/>
      <c r="P28" s="1" t="str">
        <f>IFERROR(__xludf.DUMMYFUNCTION("""COMPUTED_VALUE"""),"カフェで")</f>
        <v>カフェで</v>
      </c>
      <c r="Q28" s="1"/>
      <c r="R28" s="1" t="str">
        <f>IFERROR(__xludf.DUMMYFUNCTION("""COMPUTED_VALUE"""),"週に1回")</f>
        <v>週に1回</v>
      </c>
      <c r="S28" s="1" t="str">
        <f>IFERROR(__xludf.DUMMYFUNCTION("""COMPUTED_VALUE"""),"休憩・リラックスするため")</f>
        <v>休憩・リラックスするため</v>
      </c>
      <c r="T28" s="1"/>
      <c r="U28" s="1" t="str">
        <f>IFERROR(__xludf.DUMMYFUNCTION("""COMPUTED_VALUE"""),"雰囲気・心地良さ")</f>
        <v>雰囲気・心地良さ</v>
      </c>
      <c r="V28" s="1"/>
      <c r="W28" s="1" t="str">
        <f>IFERROR(__xludf.DUMMYFUNCTION("""COMPUTED_VALUE"""),"はい（グローバル）")</f>
        <v>はい（グローバル）</v>
      </c>
      <c r="X28" s="1" t="str">
        <f>IFERROR(__xludf.DUMMYFUNCTION("""COMPUTED_VALUE"""),"はい（日本的）")</f>
        <v>はい（日本的）</v>
      </c>
      <c r="Y28" s="1">
        <f>IFERROR(__xludf.DUMMYFUNCTION("""COMPUTED_VALUE"""),5.0)</f>
        <v>5</v>
      </c>
      <c r="Z28" s="1">
        <f>IFERROR(__xludf.DUMMYFUNCTION("""COMPUTED_VALUE"""),4.0)</f>
        <v>4</v>
      </c>
      <c r="AA28" s="1">
        <f>IFERROR(__xludf.DUMMYFUNCTION("""COMPUTED_VALUE"""),2.0)</f>
        <v>2</v>
      </c>
      <c r="AB28" s="1" t="str">
        <f>IFERROR(__xludf.DUMMYFUNCTION("""COMPUTED_VALUE"""),"はい")</f>
        <v>はい</v>
      </c>
      <c r="AK28" s="1" t="s">
        <v>133</v>
      </c>
      <c r="AL28" s="1" t="s">
        <v>134</v>
      </c>
      <c r="AM28" s="5">
        <v>46035.467453703706</v>
      </c>
      <c r="AN28" s="1" t="s">
        <v>41</v>
      </c>
      <c r="AO28" s="1" t="s">
        <v>28</v>
      </c>
      <c r="AP28" s="1" t="s">
        <v>64</v>
      </c>
      <c r="AQ28" s="1" t="s">
        <v>90</v>
      </c>
      <c r="AR28" s="1" t="s">
        <v>31</v>
      </c>
      <c r="AS28" s="1" t="s">
        <v>32</v>
      </c>
      <c r="AU28" s="1" t="s">
        <v>74</v>
      </c>
      <c r="AV28" s="1" t="s">
        <v>59</v>
      </c>
      <c r="AX28" s="1" t="str">
        <f>IFERROR(__xludf.DUMMYFUNCTION("""COMPUTED_VALUE"""),"Taste/Flavor, Branding/Imagery")</f>
        <v>Taste/Flavor, Branding/Imagery</v>
      </c>
      <c r="AZ28" s="1" t="str">
        <f>IFERROR(__xludf.DUMMYFUNCTION("""COMPUTED_VALUE"""),"At cafés")</f>
        <v>At cafés</v>
      </c>
      <c r="BB28" s="1" t="s">
        <v>69</v>
      </c>
      <c r="BC28" s="1" t="s">
        <v>61</v>
      </c>
      <c r="BE28" s="1" t="s">
        <v>35</v>
      </c>
      <c r="BG28" s="1" t="s">
        <v>48</v>
      </c>
      <c r="BH28" s="1" t="s">
        <v>37</v>
      </c>
      <c r="BI28" s="1">
        <v>5.0</v>
      </c>
      <c r="BJ28" s="1">
        <v>4.0</v>
      </c>
      <c r="BK28" s="1">
        <v>2.0</v>
      </c>
      <c r="BL28" s="1" t="s">
        <v>71</v>
      </c>
    </row>
    <row r="29">
      <c r="A29" s="1" t="str">
        <f>IFERROR(__xludf.DUMMYFUNCTION("""COMPUTED_VALUE"""),"QKlQZjp")</f>
        <v>QKlQZjp</v>
      </c>
      <c r="B29" s="1" t="str">
        <f>IFERROR(__xludf.DUMMYFUNCTION("""COMPUTED_VALUE"""),"q4A7ZJg")</f>
        <v>q4A7ZJg</v>
      </c>
      <c r="C29" s="5">
        <f>IFERROR(__xludf.DUMMYFUNCTION("""COMPUTED_VALUE"""),46036.10293981482)</f>
        <v>46036.10294</v>
      </c>
      <c r="D29" s="1" t="str">
        <f>IFERROR(__xludf.DUMMYFUNCTION("""COMPUTED_VALUE"""),"65歳以上")</f>
        <v>65歳以上</v>
      </c>
      <c r="E29" s="1" t="str">
        <f>IFERROR(__xludf.DUMMYFUNCTION("""COMPUTED_VALUE"""),"男性")</f>
        <v>男性</v>
      </c>
      <c r="F29" s="1" t="str">
        <f>IFERROR(__xludf.DUMMYFUNCTION("""COMPUTED_VALUE"""),"回答しない")</f>
        <v>回答しない</v>
      </c>
      <c r="G29" s="1" t="str">
        <f>IFERROR(__xludf.DUMMYFUNCTION("""COMPUTED_VALUE"""),"関東")</f>
        <v>関東</v>
      </c>
      <c r="H29" s="1" t="str">
        <f>IFERROR(__xludf.DUMMYFUNCTION("""COMPUTED_VALUE"""),"毎日")</f>
        <v>毎日</v>
      </c>
      <c r="I29" s="1" t="str">
        <f>IFERROR(__xludf.DUMMYFUNCTION("""COMPUTED_VALUE"""),"その他:")</f>
        <v>その他:</v>
      </c>
      <c r="J29" s="1"/>
      <c r="K29" s="1" t="str">
        <f>IFERROR(__xludf.DUMMYFUNCTION("""COMPUTED_VALUE"""),"ほとんど飲まない")</f>
        <v>ほとんど飲まない</v>
      </c>
      <c r="L29" s="1" t="str">
        <f>IFERROR(__xludf.DUMMYFUNCTION("""COMPUTED_VALUE"""),"抹茶は飲まない")</f>
        <v>抹茶は飲まない</v>
      </c>
      <c r="M29" s="1"/>
      <c r="N29" s="1" t="str">
        <f>IFERROR(__xludf.DUMMYFUNCTION("""COMPUTED_VALUE"""),"味・風味, 社交的な場や雰囲気の考慮")</f>
        <v>味・風味, 社交的な場や雰囲気の考慮</v>
      </c>
      <c r="O29" s="1"/>
      <c r="P29" s="1" t="str">
        <f>IFERROR(__xludf.DUMMYFUNCTION("""COMPUTED_VALUE"""),"自宅で")</f>
        <v>自宅で</v>
      </c>
      <c r="Q29" s="1"/>
      <c r="R29" s="1" t="str">
        <f>IFERROR(__xludf.DUMMYFUNCTION("""COMPUTED_VALUE"""),"月に数回")</f>
        <v>月に数回</v>
      </c>
      <c r="S29" s="1" t="str">
        <f>IFERROR(__xludf.DUMMYFUNCTION("""COMPUTED_VALUE"""),"友人と会うため")</f>
        <v>友人と会うため</v>
      </c>
      <c r="T29" s="1"/>
      <c r="U29" s="1" t="str">
        <f>IFERROR(__xludf.DUMMYFUNCTION("""COMPUTED_VALUE"""),"雰囲気・心地良さ")</f>
        <v>雰囲気・心地良さ</v>
      </c>
      <c r="V29" s="1"/>
      <c r="W29" s="1" t="str">
        <f>IFERROR(__xludf.DUMMYFUNCTION("""COMPUTED_VALUE"""),"わからない")</f>
        <v>わからない</v>
      </c>
      <c r="X29" s="1" t="str">
        <f>IFERROR(__xludf.DUMMYFUNCTION("""COMPUTED_VALUE"""),"わからない")</f>
        <v>わからない</v>
      </c>
      <c r="Y29" s="1">
        <f>IFERROR(__xludf.DUMMYFUNCTION("""COMPUTED_VALUE"""),7.0)</f>
        <v>7</v>
      </c>
      <c r="Z29" s="1">
        <f>IFERROR(__xludf.DUMMYFUNCTION("""COMPUTED_VALUE"""),7.0)</f>
        <v>7</v>
      </c>
      <c r="AA29" s="1">
        <f>IFERROR(__xludf.DUMMYFUNCTION("""COMPUTED_VALUE"""),7.0)</f>
        <v>7</v>
      </c>
      <c r="AB29" s="1" t="str">
        <f>IFERROR(__xludf.DUMMYFUNCTION("""COMPUTED_VALUE"""),"いいえ")</f>
        <v>いいえ</v>
      </c>
      <c r="AK29" s="1" t="s">
        <v>135</v>
      </c>
      <c r="AL29" s="1" t="s">
        <v>136</v>
      </c>
      <c r="AM29" s="5">
        <v>46036.10293981482</v>
      </c>
      <c r="AN29" s="1" t="s">
        <v>85</v>
      </c>
      <c r="AO29" s="1" t="s">
        <v>42</v>
      </c>
      <c r="AP29" s="1" t="s">
        <v>52</v>
      </c>
      <c r="AQ29" s="1" t="s">
        <v>30</v>
      </c>
      <c r="AR29" s="1" t="s">
        <v>44</v>
      </c>
      <c r="AS29" s="1" t="s">
        <v>54</v>
      </c>
      <c r="AU29" s="1" t="s">
        <v>74</v>
      </c>
      <c r="AV29" s="1" t="s">
        <v>91</v>
      </c>
      <c r="AX29" s="1" t="str">
        <f>IFERROR(__xludf.DUMMYFUNCTION("""COMPUTED_VALUE"""),"Taste/Flavor, Social atmosphere")</f>
        <v>Taste/Flavor, Social atmosphere</v>
      </c>
      <c r="AZ29" s="1" t="str">
        <f>IFERROR(__xludf.DUMMYFUNCTION("""COMPUTED_VALUE"""),"At home")</f>
        <v>At home</v>
      </c>
      <c r="BB29" s="1" t="s">
        <v>60</v>
      </c>
      <c r="BC29" s="1" t="s">
        <v>34</v>
      </c>
      <c r="BE29" s="1" t="s">
        <v>35</v>
      </c>
      <c r="BG29" s="1" t="s">
        <v>66</v>
      </c>
      <c r="BH29" s="1" t="s">
        <v>66</v>
      </c>
      <c r="BI29" s="1">
        <v>7.0</v>
      </c>
      <c r="BJ29" s="1">
        <v>7.0</v>
      </c>
      <c r="BK29" s="1">
        <v>7.0</v>
      </c>
      <c r="BL29" s="1" t="s">
        <v>38</v>
      </c>
    </row>
    <row r="30">
      <c r="A30" s="1" t="str">
        <f>IFERROR(__xludf.DUMMYFUNCTION("""COMPUTED_VALUE"""),"PdJxOqV")</f>
        <v>PdJxOqV</v>
      </c>
      <c r="B30" s="1" t="str">
        <f>IFERROR(__xludf.DUMMYFUNCTION("""COMPUTED_VALUE"""),"RG56DO4")</f>
        <v>RG56DO4</v>
      </c>
      <c r="C30" s="5">
        <f>IFERROR(__xludf.DUMMYFUNCTION("""COMPUTED_VALUE"""),46036.150034722225)</f>
        <v>46036.15003</v>
      </c>
      <c r="D30" s="1" t="str">
        <f>IFERROR(__xludf.DUMMYFUNCTION("""COMPUTED_VALUE"""),"18〜25歳")</f>
        <v>18〜25歳</v>
      </c>
      <c r="E30" s="1" t="str">
        <f>IFERROR(__xludf.DUMMYFUNCTION("""COMPUTED_VALUE"""),"女性")</f>
        <v>女性</v>
      </c>
      <c r="F30" s="1" t="str">
        <f>IFERROR(__xludf.DUMMYFUNCTION("""COMPUTED_VALUE"""),"回答しない")</f>
        <v>回答しない</v>
      </c>
      <c r="G30" s="1" t="str">
        <f>IFERROR(__xludf.DUMMYFUNCTION("""COMPUTED_VALUE"""),"関西")</f>
        <v>関西</v>
      </c>
      <c r="H30" s="1" t="str">
        <f>IFERROR(__xludf.DUMMYFUNCTION("""COMPUTED_VALUE"""),"週に数回")</f>
        <v>週に数回</v>
      </c>
      <c r="I30" s="1" t="str">
        <f>IFERROR(__xludf.DUMMYFUNCTION("""COMPUTED_VALUE"""),"ドリップコーヒー")</f>
        <v>ドリップコーヒー</v>
      </c>
      <c r="J30" s="1"/>
      <c r="K30" s="1" t="str">
        <f>IFERROR(__xludf.DUMMYFUNCTION("""COMPUTED_VALUE"""),"週に数回")</f>
        <v>週に数回</v>
      </c>
      <c r="L30" s="1" t="str">
        <f>IFERROR(__xludf.DUMMYFUNCTION("""COMPUTED_VALUE"""),"薄茶")</f>
        <v>薄茶</v>
      </c>
      <c r="M30" s="1"/>
      <c r="N30" s="1" t="str">
        <f>IFERROR(__xludf.DUMMYFUNCTION("""COMPUTED_VALUE"""),"味・風味, 習慣")</f>
        <v>味・風味, 習慣</v>
      </c>
      <c r="O30" s="1"/>
      <c r="P30" s="1"/>
      <c r="Q30" s="1"/>
      <c r="R30" s="1" t="str">
        <f>IFERROR(__xludf.DUMMYFUNCTION("""COMPUTED_VALUE"""),"月に数回")</f>
        <v>月に数回</v>
      </c>
      <c r="S30" s="1" t="str">
        <f>IFERROR(__xludf.DUMMYFUNCTION("""COMPUTED_VALUE"""),"休憩・リラックスするため")</f>
        <v>休憩・リラックスするため</v>
      </c>
      <c r="T30" s="1"/>
      <c r="U30" s="1" t="str">
        <f>IFERROR(__xludf.DUMMYFUNCTION("""COMPUTED_VALUE"""),"雰囲気・心地良さ")</f>
        <v>雰囲気・心地良さ</v>
      </c>
      <c r="V30" s="1"/>
      <c r="W30" s="1" t="str">
        <f>IFERROR(__xludf.DUMMYFUNCTION("""COMPUTED_VALUE"""),"はい（グローバル）")</f>
        <v>はい（グローバル）</v>
      </c>
      <c r="X30" s="1" t="str">
        <f>IFERROR(__xludf.DUMMYFUNCTION("""COMPUTED_VALUE"""),"はい（日本的）")</f>
        <v>はい（日本的）</v>
      </c>
      <c r="Y30" s="1">
        <f>IFERROR(__xludf.DUMMYFUNCTION("""COMPUTED_VALUE"""),7.0)</f>
        <v>7</v>
      </c>
      <c r="Z30" s="1">
        <f>IFERROR(__xludf.DUMMYFUNCTION("""COMPUTED_VALUE"""),7.0)</f>
        <v>7</v>
      </c>
      <c r="AA30" s="1">
        <f>IFERROR(__xludf.DUMMYFUNCTION("""COMPUTED_VALUE"""),5.0)</f>
        <v>5</v>
      </c>
      <c r="AB30" s="1" t="str">
        <f>IFERROR(__xludf.DUMMYFUNCTION("""COMPUTED_VALUE"""),"いいえ")</f>
        <v>いいえ</v>
      </c>
      <c r="AK30" s="1" t="s">
        <v>137</v>
      </c>
      <c r="AL30" s="1" t="s">
        <v>138</v>
      </c>
      <c r="AM30" s="5">
        <v>46036.150034722225</v>
      </c>
      <c r="AN30" s="1" t="s">
        <v>41</v>
      </c>
      <c r="AO30" s="1" t="s">
        <v>28</v>
      </c>
      <c r="AP30" s="1" t="s">
        <v>52</v>
      </c>
      <c r="AQ30" s="1" t="s">
        <v>90</v>
      </c>
      <c r="AR30" s="1" t="s">
        <v>31</v>
      </c>
      <c r="AS30" s="1" t="s">
        <v>32</v>
      </c>
      <c r="AU30" s="1" t="s">
        <v>31</v>
      </c>
      <c r="AV30" s="1" t="s">
        <v>33</v>
      </c>
      <c r="AX30" s="1" t="str">
        <f>IFERROR(__xludf.DUMMYFUNCTION("""COMPUTED_VALUE"""),"Taste/Flavor, Routine/Ritual")</f>
        <v>Taste/Flavor, Routine/Ritual</v>
      </c>
      <c r="AZ30" s="1" t="str">
        <f>IFERROR(__xludf.DUMMYFUNCTION("""COMPUTED_VALUE"""),"")</f>
        <v/>
      </c>
      <c r="BB30" s="1" t="s">
        <v>60</v>
      </c>
      <c r="BC30" s="1" t="s">
        <v>61</v>
      </c>
      <c r="BE30" s="1" t="s">
        <v>35</v>
      </c>
      <c r="BG30" s="1" t="s">
        <v>48</v>
      </c>
      <c r="BH30" s="1" t="s">
        <v>37</v>
      </c>
      <c r="BI30" s="1">
        <v>7.0</v>
      </c>
      <c r="BJ30" s="1">
        <v>7.0</v>
      </c>
      <c r="BK30" s="1">
        <v>5.0</v>
      </c>
      <c r="BL30" s="1" t="s">
        <v>38</v>
      </c>
    </row>
    <row r="31">
      <c r="A31" s="1" t="str">
        <f>IFERROR(__xludf.DUMMYFUNCTION("""COMPUTED_VALUE"""),"Np1jb7p")</f>
        <v>Np1jb7p</v>
      </c>
      <c r="B31" s="1" t="str">
        <f>IFERROR(__xludf.DUMMYFUNCTION("""COMPUTED_VALUE"""),"81QgeBY")</f>
        <v>81QgeBY</v>
      </c>
      <c r="C31" s="5">
        <f>IFERROR(__xludf.DUMMYFUNCTION("""COMPUTED_VALUE"""),46036.19474537037)</f>
        <v>46036.19475</v>
      </c>
      <c r="D31" s="1" t="str">
        <f>IFERROR(__xludf.DUMMYFUNCTION("""COMPUTED_VALUE"""),"36〜45歳")</f>
        <v>36〜45歳</v>
      </c>
      <c r="E31" s="1" t="str">
        <f>IFERROR(__xludf.DUMMYFUNCTION("""COMPUTED_VALUE"""),"女性")</f>
        <v>女性</v>
      </c>
      <c r="F31" s="1" t="str">
        <f>IFERROR(__xludf.DUMMYFUNCTION("""COMPUTED_VALUE"""),"300万円〜599万9,999円")</f>
        <v>300万円〜599万9,999円</v>
      </c>
      <c r="G31" s="1" t="str">
        <f>IFERROR(__xludf.DUMMYFUNCTION("""COMPUTED_VALUE"""),"関西")</f>
        <v>関西</v>
      </c>
      <c r="H31" s="1" t="str">
        <f>IFERROR(__xludf.DUMMYFUNCTION("""COMPUTED_VALUE"""),"毎日")</f>
        <v>毎日</v>
      </c>
      <c r="I31" s="1" t="str">
        <f>IFERROR(__xludf.DUMMYFUNCTION("""COMPUTED_VALUE"""),"ドリップコーヒー")</f>
        <v>ドリップコーヒー</v>
      </c>
      <c r="J31" s="1"/>
      <c r="K31" s="1" t="str">
        <f>IFERROR(__xludf.DUMMYFUNCTION("""COMPUTED_VALUE"""),"ほとんど飲まない")</f>
        <v>ほとんど飲まない</v>
      </c>
      <c r="L31" s="1" t="str">
        <f>IFERROR(__xludf.DUMMYFUNCTION("""COMPUTED_VALUE"""),"抹茶は飲まない")</f>
        <v>抹茶は飲まない</v>
      </c>
      <c r="M31" s="1"/>
      <c r="N31" s="1" t="str">
        <f>IFERROR(__xludf.DUMMYFUNCTION("""COMPUTED_VALUE"""),"味・風味")</f>
        <v>味・風味</v>
      </c>
      <c r="O31" s="1"/>
      <c r="P31" s="1" t="str">
        <f>IFERROR(__xludf.DUMMYFUNCTION("""COMPUTED_VALUE"""),"自宅で")</f>
        <v>自宅で</v>
      </c>
      <c r="Q31" s="1"/>
      <c r="R31" s="1" t="str">
        <f>IFERROR(__xludf.DUMMYFUNCTION("""COMPUTED_VALUE"""),"毎日")</f>
        <v>毎日</v>
      </c>
      <c r="S31" s="1" t="str">
        <f>IFERROR(__xludf.DUMMYFUNCTION("""COMPUTED_VALUE"""),"休憩・リラックスするため")</f>
        <v>休憩・リラックスするため</v>
      </c>
      <c r="T31" s="1"/>
      <c r="U31" s="1" t="str">
        <f>IFERROR(__xludf.DUMMYFUNCTION("""COMPUTED_VALUE"""),"雰囲気・心地良さ")</f>
        <v>雰囲気・心地良さ</v>
      </c>
      <c r="V31" s="1"/>
      <c r="W31" s="1" t="str">
        <f>IFERROR(__xludf.DUMMYFUNCTION("""COMPUTED_VALUE"""),"はい（グローバル）")</f>
        <v>はい（グローバル）</v>
      </c>
      <c r="X31" s="1" t="str">
        <f>IFERROR(__xludf.DUMMYFUNCTION("""COMPUTED_VALUE"""),"はい（日本的）")</f>
        <v>はい（日本的）</v>
      </c>
      <c r="Y31" s="1">
        <f>IFERROR(__xludf.DUMMYFUNCTION("""COMPUTED_VALUE"""),7.0)</f>
        <v>7</v>
      </c>
      <c r="Z31" s="1">
        <f>IFERROR(__xludf.DUMMYFUNCTION("""COMPUTED_VALUE"""),1.0)</f>
        <v>1</v>
      </c>
      <c r="AA31" s="1">
        <f>IFERROR(__xludf.DUMMYFUNCTION("""COMPUTED_VALUE"""),5.0)</f>
        <v>5</v>
      </c>
      <c r="AB31" s="1" t="str">
        <f>IFERROR(__xludf.DUMMYFUNCTION("""COMPUTED_VALUE"""),"いいえ")</f>
        <v>いいえ</v>
      </c>
      <c r="AK31" s="1" t="s">
        <v>139</v>
      </c>
      <c r="AL31" s="1" t="s">
        <v>140</v>
      </c>
      <c r="AM31" s="5">
        <v>46036.19474537037</v>
      </c>
      <c r="AN31" s="1" t="s">
        <v>51</v>
      </c>
      <c r="AO31" s="1" t="s">
        <v>28</v>
      </c>
      <c r="AP31" s="1" t="s">
        <v>64</v>
      </c>
      <c r="AQ31" s="1" t="s">
        <v>90</v>
      </c>
      <c r="AR31" s="1" t="s">
        <v>44</v>
      </c>
      <c r="AS31" s="1" t="s">
        <v>32</v>
      </c>
      <c r="AU31" s="1" t="s">
        <v>74</v>
      </c>
      <c r="AV31" s="1" t="s">
        <v>91</v>
      </c>
      <c r="AX31" s="1" t="str">
        <f>IFERROR(__xludf.DUMMYFUNCTION("""COMPUTED_VALUE"""),"Taste/Flavor")</f>
        <v>Taste/Flavor</v>
      </c>
      <c r="AZ31" s="1" t="str">
        <f>IFERROR(__xludf.DUMMYFUNCTION("""COMPUTED_VALUE"""),"At home")</f>
        <v>At home</v>
      </c>
      <c r="BB31" s="1" t="s">
        <v>44</v>
      </c>
      <c r="BC31" s="1" t="s">
        <v>61</v>
      </c>
      <c r="BE31" s="1" t="s">
        <v>35</v>
      </c>
      <c r="BG31" s="1" t="s">
        <v>48</v>
      </c>
      <c r="BH31" s="1" t="s">
        <v>37</v>
      </c>
      <c r="BI31" s="1">
        <v>7.0</v>
      </c>
      <c r="BJ31" s="1">
        <v>1.0</v>
      </c>
      <c r="BK31" s="1">
        <v>5.0</v>
      </c>
      <c r="BL31" s="1" t="s">
        <v>38</v>
      </c>
    </row>
    <row r="32">
      <c r="A32" s="1" t="str">
        <f>IFERROR(__xludf.DUMMYFUNCTION("""COMPUTED_VALUE"""),"pb2DOGb")</f>
        <v>pb2DOGb</v>
      </c>
      <c r="B32" s="1" t="str">
        <f>IFERROR(__xludf.DUMMYFUNCTION("""COMPUTED_VALUE"""),"XxWp9kV")</f>
        <v>XxWp9kV</v>
      </c>
      <c r="C32" s="5">
        <f>IFERROR(__xludf.DUMMYFUNCTION("""COMPUTED_VALUE"""),46038.00806712963)</f>
        <v>46038.00807</v>
      </c>
      <c r="D32" s="1" t="str">
        <f>IFERROR(__xludf.DUMMYFUNCTION("""COMPUTED_VALUE"""),"46〜55歳")</f>
        <v>46〜55歳</v>
      </c>
      <c r="E32" s="1" t="str">
        <f>IFERROR(__xludf.DUMMYFUNCTION("""COMPUTED_VALUE"""),"女性")</f>
        <v>女性</v>
      </c>
      <c r="F32" s="1" t="str">
        <f>IFERROR(__xludf.DUMMYFUNCTION("""COMPUTED_VALUE"""),"300万円〜599万9,999円")</f>
        <v>300万円〜599万9,999円</v>
      </c>
      <c r="G32" s="1" t="str">
        <f>IFERROR(__xludf.DUMMYFUNCTION("""COMPUTED_VALUE"""),"関西")</f>
        <v>関西</v>
      </c>
      <c r="H32" s="1" t="str">
        <f>IFERROR(__xludf.DUMMYFUNCTION("""COMPUTED_VALUE"""),"週に数回")</f>
        <v>週に数回</v>
      </c>
      <c r="I32" s="1" t="str">
        <f>IFERROR(__xludf.DUMMYFUNCTION("""COMPUTED_VALUE"""),"ラテ")</f>
        <v>ラテ</v>
      </c>
      <c r="J32" s="1"/>
      <c r="K32" s="1" t="str">
        <f>IFERROR(__xludf.DUMMYFUNCTION("""COMPUTED_VALUE"""),"ほとんど飲まない")</f>
        <v>ほとんど飲まない</v>
      </c>
      <c r="L32" s="1" t="str">
        <f>IFERROR(__xludf.DUMMYFUNCTION("""COMPUTED_VALUE"""),"抹茶ラテ")</f>
        <v>抹茶ラテ</v>
      </c>
      <c r="M32" s="1"/>
      <c r="N32" s="1" t="str">
        <f>IFERROR(__xludf.DUMMYFUNCTION("""COMPUTED_VALUE"""),"習慣, 味・風味")</f>
        <v>習慣, 味・風味</v>
      </c>
      <c r="O32" s="1"/>
      <c r="P32" s="1" t="str">
        <f>IFERROR(__xludf.DUMMYFUNCTION("""COMPUTED_VALUE"""),"自宅で, カフェで")</f>
        <v>自宅で, カフェで</v>
      </c>
      <c r="Q32" s="1"/>
      <c r="R32" s="1" t="str">
        <f>IFERROR(__xludf.DUMMYFUNCTION("""COMPUTED_VALUE"""),"月に数回")</f>
        <v>月に数回</v>
      </c>
      <c r="S32" s="1" t="str">
        <f>IFERROR(__xludf.DUMMYFUNCTION("""COMPUTED_VALUE"""),"友人と会うため")</f>
        <v>友人と会うため</v>
      </c>
      <c r="T32" s="1"/>
      <c r="U32" s="1" t="str">
        <f>IFERROR(__xludf.DUMMYFUNCTION("""COMPUTED_VALUE"""),"飲み物の味・品質")</f>
        <v>飲み物の味・品質</v>
      </c>
      <c r="V32" s="1"/>
      <c r="W32" s="1" t="str">
        <f>IFERROR(__xludf.DUMMYFUNCTION("""COMPUTED_VALUE"""),"いいえ")</f>
        <v>いいえ</v>
      </c>
      <c r="X32" s="1" t="str">
        <f>IFERROR(__xludf.DUMMYFUNCTION("""COMPUTED_VALUE"""),"はい（日本的）")</f>
        <v>はい（日本的）</v>
      </c>
      <c r="Y32" s="1">
        <f>IFERROR(__xludf.DUMMYFUNCTION("""COMPUTED_VALUE"""),7.0)</f>
        <v>7</v>
      </c>
      <c r="Z32" s="1">
        <f>IFERROR(__xludf.DUMMYFUNCTION("""COMPUTED_VALUE"""),7.0)</f>
        <v>7</v>
      </c>
      <c r="AA32" s="1">
        <f>IFERROR(__xludf.DUMMYFUNCTION("""COMPUTED_VALUE"""),5.0)</f>
        <v>5</v>
      </c>
      <c r="AB32" s="1" t="str">
        <f>IFERROR(__xludf.DUMMYFUNCTION("""COMPUTED_VALUE"""),"いいえ")</f>
        <v>いいえ</v>
      </c>
      <c r="AK32" s="1" t="s">
        <v>141</v>
      </c>
      <c r="AL32" s="1" t="s">
        <v>142</v>
      </c>
      <c r="AM32" s="5">
        <v>46038.00806712963</v>
      </c>
      <c r="AN32" s="1" t="s">
        <v>95</v>
      </c>
      <c r="AO32" s="1" t="s">
        <v>28</v>
      </c>
      <c r="AP32" s="1" t="s">
        <v>64</v>
      </c>
      <c r="AQ32" s="1" t="s">
        <v>90</v>
      </c>
      <c r="AR32" s="1" t="s">
        <v>31</v>
      </c>
      <c r="AS32" s="1" t="s">
        <v>65</v>
      </c>
      <c r="AU32" s="1" t="s">
        <v>74</v>
      </c>
      <c r="AV32" s="1" t="s">
        <v>59</v>
      </c>
      <c r="AX32" s="1" t="str">
        <f>IFERROR(__xludf.DUMMYFUNCTION("""COMPUTED_VALUE"""),"Routine/Ritual, Taste/Flavor")</f>
        <v>Routine/Ritual, Taste/Flavor</v>
      </c>
      <c r="AZ32" s="1" t="str">
        <f>IFERROR(__xludf.DUMMYFUNCTION("""COMPUTED_VALUE"""),"At home, At cafés")</f>
        <v>At home, At cafés</v>
      </c>
      <c r="BB32" s="1" t="s">
        <v>60</v>
      </c>
      <c r="BC32" s="1" t="s">
        <v>34</v>
      </c>
      <c r="BE32" s="1" t="s">
        <v>47</v>
      </c>
      <c r="BG32" s="1" t="s">
        <v>38</v>
      </c>
      <c r="BH32" s="1" t="s">
        <v>37</v>
      </c>
      <c r="BI32" s="1">
        <v>7.0</v>
      </c>
      <c r="BJ32" s="1">
        <v>7.0</v>
      </c>
      <c r="BK32" s="1">
        <v>5.0</v>
      </c>
      <c r="BL32" s="1" t="s">
        <v>38</v>
      </c>
    </row>
    <row r="33">
      <c r="A33" s="1" t="str">
        <f>IFERROR(__xludf.DUMMYFUNCTION("""COMPUTED_VALUE"""),"EkOLgBr")</f>
        <v>EkOLgBr</v>
      </c>
      <c r="B33" s="1" t="str">
        <f>IFERROR(__xludf.DUMMYFUNCTION("""COMPUTED_VALUE"""),"J9ANZQz")</f>
        <v>J9ANZQz</v>
      </c>
      <c r="C33" s="5">
        <f>IFERROR(__xludf.DUMMYFUNCTION("""COMPUTED_VALUE"""),46039.07131944445)</f>
        <v>46039.07132</v>
      </c>
      <c r="D33" s="1" t="str">
        <f>IFERROR(__xludf.DUMMYFUNCTION("""COMPUTED_VALUE"""),"26〜35歳")</f>
        <v>26〜35歳</v>
      </c>
      <c r="E33" s="1" t="str">
        <f>IFERROR(__xludf.DUMMYFUNCTION("""COMPUTED_VALUE"""),"女性")</f>
        <v>女性</v>
      </c>
      <c r="F33" s="1" t="str">
        <f>IFERROR(__xludf.DUMMYFUNCTION("""COMPUTED_VALUE"""),"300万円未満")</f>
        <v>300万円未満</v>
      </c>
      <c r="G33" s="1" t="str">
        <f>IFERROR(__xludf.DUMMYFUNCTION("""COMPUTED_VALUE"""),"関西")</f>
        <v>関西</v>
      </c>
      <c r="H33" s="1" t="str">
        <f>IFERROR(__xludf.DUMMYFUNCTION("""COMPUTED_VALUE"""),"毎日")</f>
        <v>毎日</v>
      </c>
      <c r="I33" s="1" t="str">
        <f>IFERROR(__xludf.DUMMYFUNCTION("""COMPUTED_VALUE"""),"プアオーバー（ハンドドリップ）")</f>
        <v>プアオーバー（ハンドドリップ）</v>
      </c>
      <c r="J33" s="1"/>
      <c r="K33" s="1" t="str">
        <f>IFERROR(__xludf.DUMMYFUNCTION("""COMPUTED_VALUE"""),"まったく飲まない")</f>
        <v>まったく飲まない</v>
      </c>
      <c r="L33" s="1"/>
      <c r="M33" s="1"/>
      <c r="N33" s="1" t="str">
        <f>IFERROR(__xludf.DUMMYFUNCTION("""COMPUTED_VALUE"""),"味・風味")</f>
        <v>味・風味</v>
      </c>
      <c r="O33" s="1"/>
      <c r="P33" s="1" t="str">
        <f>IFERROR(__xludf.DUMMYFUNCTION("""COMPUTED_VALUE"""),"カフェで")</f>
        <v>カフェで</v>
      </c>
      <c r="Q33" s="1"/>
      <c r="R33" s="1" t="str">
        <f>IFERROR(__xludf.DUMMYFUNCTION("""COMPUTED_VALUE"""),"週に数回")</f>
        <v>週に数回</v>
      </c>
      <c r="S33" s="1" t="str">
        <f>IFERROR(__xludf.DUMMYFUNCTION("""COMPUTED_VALUE"""),"習慣として")</f>
        <v>習慣として</v>
      </c>
      <c r="T33" s="1"/>
      <c r="U33" s="1" t="str">
        <f>IFERROR(__xludf.DUMMYFUNCTION("""COMPUTED_VALUE"""),"雰囲気・心地良さ")</f>
        <v>雰囲気・心地良さ</v>
      </c>
      <c r="V33" s="1"/>
      <c r="W33" s="1" t="str">
        <f>IFERROR(__xludf.DUMMYFUNCTION("""COMPUTED_VALUE"""),"はい（グローバル）")</f>
        <v>はい（グローバル）</v>
      </c>
      <c r="X33" s="1" t="str">
        <f>IFERROR(__xludf.DUMMYFUNCTION("""COMPUTED_VALUE"""),"はい（日本的）")</f>
        <v>はい（日本的）</v>
      </c>
      <c r="Y33" s="1">
        <f>IFERROR(__xludf.DUMMYFUNCTION("""COMPUTED_VALUE"""),5.0)</f>
        <v>5</v>
      </c>
      <c r="Z33" s="1">
        <f>IFERROR(__xludf.DUMMYFUNCTION("""COMPUTED_VALUE"""),4.0)</f>
        <v>4</v>
      </c>
      <c r="AA33" s="1">
        <f>IFERROR(__xludf.DUMMYFUNCTION("""COMPUTED_VALUE"""),4.0)</f>
        <v>4</v>
      </c>
      <c r="AB33" s="1" t="str">
        <f>IFERROR(__xludf.DUMMYFUNCTION("""COMPUTED_VALUE"""),"いいえ")</f>
        <v>いいえ</v>
      </c>
      <c r="AK33" s="1" t="s">
        <v>143</v>
      </c>
      <c r="AL33" s="1" t="s">
        <v>144</v>
      </c>
      <c r="AM33" s="5">
        <v>46039.07131944445</v>
      </c>
      <c r="AN33" s="1" t="s">
        <v>27</v>
      </c>
      <c r="AO33" s="1" t="s">
        <v>28</v>
      </c>
      <c r="AP33" s="1" t="s">
        <v>29</v>
      </c>
      <c r="AQ33" s="1" t="s">
        <v>90</v>
      </c>
      <c r="AR33" s="1" t="s">
        <v>44</v>
      </c>
      <c r="AS33" s="1" t="s">
        <v>53</v>
      </c>
      <c r="AU33" s="1" t="s">
        <v>103</v>
      </c>
      <c r="AV33" s="1" t="s">
        <v>104</v>
      </c>
      <c r="AX33" s="1" t="str">
        <f>IFERROR(__xludf.DUMMYFUNCTION("""COMPUTED_VALUE"""),"Taste/Flavor")</f>
        <v>Taste/Flavor</v>
      </c>
      <c r="AZ33" s="1" t="str">
        <f>IFERROR(__xludf.DUMMYFUNCTION("""COMPUTED_VALUE"""),"At cafés")</f>
        <v>At cafés</v>
      </c>
      <c r="BB33" s="1" t="s">
        <v>31</v>
      </c>
      <c r="BC33" s="1" t="s">
        <v>82</v>
      </c>
      <c r="BE33" s="1" t="s">
        <v>35</v>
      </c>
      <c r="BG33" s="1" t="s">
        <v>48</v>
      </c>
      <c r="BH33" s="1" t="s">
        <v>37</v>
      </c>
      <c r="BI33" s="1">
        <v>5.0</v>
      </c>
      <c r="BJ33" s="1">
        <v>4.0</v>
      </c>
      <c r="BK33" s="1">
        <v>4.0</v>
      </c>
      <c r="BL33" s="1" t="s">
        <v>38</v>
      </c>
    </row>
    <row r="34">
      <c r="A34" s="1" t="str">
        <f>IFERROR(__xludf.DUMMYFUNCTION("""COMPUTED_VALUE"""),"Y5AYV0N")</f>
        <v>Y5AYV0N</v>
      </c>
      <c r="B34" s="1" t="str">
        <f>IFERROR(__xludf.DUMMYFUNCTION("""COMPUTED_VALUE"""),"44xWaRo")</f>
        <v>44xWaRo</v>
      </c>
      <c r="C34" s="5">
        <f>IFERROR(__xludf.DUMMYFUNCTION("""COMPUTED_VALUE"""),46039.22078703704)</f>
        <v>46039.22079</v>
      </c>
      <c r="D34" s="1" t="str">
        <f>IFERROR(__xludf.DUMMYFUNCTION("""COMPUTED_VALUE"""),"56〜65歳")</f>
        <v>56〜65歳</v>
      </c>
      <c r="E34" s="1" t="str">
        <f>IFERROR(__xludf.DUMMYFUNCTION("""COMPUTED_VALUE"""),"男性")</f>
        <v>男性</v>
      </c>
      <c r="F34" s="1" t="str">
        <f>IFERROR(__xludf.DUMMYFUNCTION("""COMPUTED_VALUE"""),"900万円〜1,199万9,999円")</f>
        <v>900万円〜1,199万9,999円</v>
      </c>
      <c r="G34" s="1" t="str">
        <f>IFERROR(__xludf.DUMMYFUNCTION("""COMPUTED_VALUE"""),"北海道")</f>
        <v>北海道</v>
      </c>
      <c r="H34" s="1" t="str">
        <f>IFERROR(__xludf.DUMMYFUNCTION("""COMPUTED_VALUE"""),"毎日")</f>
        <v>毎日</v>
      </c>
      <c r="I34" s="1" t="str">
        <f>IFERROR(__xludf.DUMMYFUNCTION("""COMPUTED_VALUE"""),"ドリップコーヒー")</f>
        <v>ドリップコーヒー</v>
      </c>
      <c r="J34" s="1"/>
      <c r="K34" s="1" t="str">
        <f>IFERROR(__xludf.DUMMYFUNCTION("""COMPUTED_VALUE"""),"毎日")</f>
        <v>毎日</v>
      </c>
      <c r="L34" s="1" t="str">
        <f>IFERROR(__xludf.DUMMYFUNCTION("""COMPUTED_VALUE"""),"薄茶")</f>
        <v>薄茶</v>
      </c>
      <c r="M34" s="1"/>
      <c r="N34" s="1" t="str">
        <f>IFERROR(__xludf.DUMMYFUNCTION("""COMPUTED_VALUE"""),"社交的な場や雰囲気の考慮")</f>
        <v>社交的な場や雰囲気の考慮</v>
      </c>
      <c r="O34" s="1"/>
      <c r="P34" s="1" t="str">
        <f>IFERROR(__xludf.DUMMYFUNCTION("""COMPUTED_VALUE"""),"カフェで")</f>
        <v>カフェで</v>
      </c>
      <c r="Q34" s="1"/>
      <c r="R34" s="1" t="str">
        <f>IFERROR(__xludf.DUMMYFUNCTION("""COMPUTED_VALUE"""),"毎日")</f>
        <v>毎日</v>
      </c>
      <c r="S34" s="1" t="str">
        <f>IFERROR(__xludf.DUMMYFUNCTION("""COMPUTED_VALUE"""),"休憩・リラックスするため")</f>
        <v>休憩・リラックスするため</v>
      </c>
      <c r="T34" s="1"/>
      <c r="U34" s="1" t="str">
        <f>IFERROR(__xludf.DUMMYFUNCTION("""COMPUTED_VALUE"""),"雰囲気・心地良さ")</f>
        <v>雰囲気・心地良さ</v>
      </c>
      <c r="V34" s="1"/>
      <c r="W34" s="1" t="str">
        <f>IFERROR(__xludf.DUMMYFUNCTION("""COMPUTED_VALUE"""),"はい（西洋的）")</f>
        <v>はい（西洋的）</v>
      </c>
      <c r="X34" s="1" t="str">
        <f>IFERROR(__xludf.DUMMYFUNCTION("""COMPUTED_VALUE"""),"はい（日本的）")</f>
        <v>はい（日本的）</v>
      </c>
      <c r="Y34" s="1">
        <f>IFERROR(__xludf.DUMMYFUNCTION("""COMPUTED_VALUE"""),7.0)</f>
        <v>7</v>
      </c>
      <c r="Z34" s="1">
        <f>IFERROR(__xludf.DUMMYFUNCTION("""COMPUTED_VALUE"""),7.0)</f>
        <v>7</v>
      </c>
      <c r="AA34" s="1">
        <f>IFERROR(__xludf.DUMMYFUNCTION("""COMPUTED_VALUE"""),7.0)</f>
        <v>7</v>
      </c>
      <c r="AB34" s="1" t="str">
        <f>IFERROR(__xludf.DUMMYFUNCTION("""COMPUTED_VALUE"""),"いいえ")</f>
        <v>いいえ</v>
      </c>
      <c r="AK34" s="1" t="s">
        <v>145</v>
      </c>
      <c r="AL34" s="1" t="s">
        <v>146</v>
      </c>
      <c r="AM34" s="5">
        <v>46039.22078703704</v>
      </c>
      <c r="AN34" s="1" t="s">
        <v>88</v>
      </c>
      <c r="AO34" s="1" t="s">
        <v>42</v>
      </c>
      <c r="AP34" s="1" t="s">
        <v>121</v>
      </c>
      <c r="AQ34" s="1" t="s">
        <v>147</v>
      </c>
      <c r="AR34" s="1" t="s">
        <v>44</v>
      </c>
      <c r="AS34" s="1" t="s">
        <v>32</v>
      </c>
      <c r="AU34" s="1" t="s">
        <v>44</v>
      </c>
      <c r="AV34" s="1" t="s">
        <v>33</v>
      </c>
      <c r="AX34" s="1" t="str">
        <f>IFERROR(__xludf.DUMMYFUNCTION("""COMPUTED_VALUE"""),"Social atmosphere")</f>
        <v>Social atmosphere</v>
      </c>
      <c r="AZ34" s="1" t="str">
        <f>IFERROR(__xludf.DUMMYFUNCTION("""COMPUTED_VALUE"""),"At cafés")</f>
        <v>At cafés</v>
      </c>
      <c r="BB34" s="1" t="s">
        <v>44</v>
      </c>
      <c r="BC34" s="1" t="s">
        <v>61</v>
      </c>
      <c r="BE34" s="1" t="s">
        <v>35</v>
      </c>
      <c r="BG34" s="1" t="s">
        <v>36</v>
      </c>
      <c r="BH34" s="1" t="s">
        <v>37</v>
      </c>
      <c r="BI34" s="1">
        <v>7.0</v>
      </c>
      <c r="BJ34" s="1">
        <v>7.0</v>
      </c>
      <c r="BK34" s="1">
        <v>7.0</v>
      </c>
      <c r="BL34" s="1" t="s">
        <v>38</v>
      </c>
    </row>
    <row r="35">
      <c r="A35" s="1" t="str">
        <f>IFERROR(__xludf.DUMMYFUNCTION("""COMPUTED_VALUE"""),"yPaokO6")</f>
        <v>yPaokO6</v>
      </c>
      <c r="B35" s="1" t="str">
        <f>IFERROR(__xludf.DUMMYFUNCTION("""COMPUTED_VALUE"""),"Meb1MBp")</f>
        <v>Meb1MBp</v>
      </c>
      <c r="C35" s="5">
        <f>IFERROR(__xludf.DUMMYFUNCTION("""COMPUTED_VALUE"""),46040.28325231482)</f>
        <v>46040.28325</v>
      </c>
      <c r="D35" s="1" t="str">
        <f>IFERROR(__xludf.DUMMYFUNCTION("""COMPUTED_VALUE"""),"36〜45歳")</f>
        <v>36〜45歳</v>
      </c>
      <c r="E35" s="1" t="str">
        <f>IFERROR(__xludf.DUMMYFUNCTION("""COMPUTED_VALUE"""),"男性")</f>
        <v>男性</v>
      </c>
      <c r="F35" s="1" t="str">
        <f>IFERROR(__xludf.DUMMYFUNCTION("""COMPUTED_VALUE"""),"300万円〜599万9,999円")</f>
        <v>300万円〜599万9,999円</v>
      </c>
      <c r="G35" s="1" t="str">
        <f>IFERROR(__xludf.DUMMYFUNCTION("""COMPUTED_VALUE"""),"北海道")</f>
        <v>北海道</v>
      </c>
      <c r="H35" s="1" t="str">
        <f>IFERROR(__xludf.DUMMYFUNCTION("""COMPUTED_VALUE"""),"毎日")</f>
        <v>毎日</v>
      </c>
      <c r="I35" s="1" t="str">
        <f>IFERROR(__xludf.DUMMYFUNCTION("""COMPUTED_VALUE"""),"プアオーバー（ハンドドリップ）")</f>
        <v>プアオーバー（ハンドドリップ）</v>
      </c>
      <c r="J35" s="1"/>
      <c r="K35" s="1" t="str">
        <f>IFERROR(__xludf.DUMMYFUNCTION("""COMPUTED_VALUE"""),"ほとんど飲まない")</f>
        <v>ほとんど飲まない</v>
      </c>
      <c r="L35" s="1" t="str">
        <f>IFERROR(__xludf.DUMMYFUNCTION("""COMPUTED_VALUE"""),"抹茶ラテ")</f>
        <v>抹茶ラテ</v>
      </c>
      <c r="M35" s="1"/>
      <c r="N35" s="1" t="str">
        <f>IFERROR(__xludf.DUMMYFUNCTION("""COMPUTED_VALUE"""),"味・風味, 価格")</f>
        <v>味・風味, 価格</v>
      </c>
      <c r="O35" s="1"/>
      <c r="P35" s="1" t="str">
        <f>IFERROR(__xludf.DUMMYFUNCTION("""COMPUTED_VALUE"""),"カフェで")</f>
        <v>カフェで</v>
      </c>
      <c r="Q35" s="1"/>
      <c r="R35" s="1" t="str">
        <f>IFERROR(__xludf.DUMMYFUNCTION("""COMPUTED_VALUE"""),"週に数回")</f>
        <v>週に数回</v>
      </c>
      <c r="S35" s="1" t="str">
        <f>IFERROR(__xludf.DUMMYFUNCTION("""COMPUTED_VALUE"""),"休憩・リラックスするため")</f>
        <v>休憩・リラックスするため</v>
      </c>
      <c r="T35" s="1"/>
      <c r="U35" s="1" t="str">
        <f>IFERROR(__xludf.DUMMYFUNCTION("""COMPUTED_VALUE"""),"雰囲気・心地良さ")</f>
        <v>雰囲気・心地良さ</v>
      </c>
      <c r="V35" s="1"/>
      <c r="W35" s="1" t="str">
        <f>IFERROR(__xludf.DUMMYFUNCTION("""COMPUTED_VALUE"""),"はい（日本的）")</f>
        <v>はい（日本的）</v>
      </c>
      <c r="X35" s="1" t="str">
        <f>IFERROR(__xludf.DUMMYFUNCTION("""COMPUTED_VALUE"""),"はい（日本的）")</f>
        <v>はい（日本的）</v>
      </c>
      <c r="Y35" s="1">
        <f>IFERROR(__xludf.DUMMYFUNCTION("""COMPUTED_VALUE"""),7.0)</f>
        <v>7</v>
      </c>
      <c r="Z35" s="1">
        <f>IFERROR(__xludf.DUMMYFUNCTION("""COMPUTED_VALUE"""),6.0)</f>
        <v>6</v>
      </c>
      <c r="AA35" s="1">
        <f>IFERROR(__xludf.DUMMYFUNCTION("""COMPUTED_VALUE"""),7.0)</f>
        <v>7</v>
      </c>
      <c r="AB35" s="1" t="str">
        <f>IFERROR(__xludf.DUMMYFUNCTION("""COMPUTED_VALUE"""),"いいえ")</f>
        <v>いいえ</v>
      </c>
      <c r="AK35" s="1" t="s">
        <v>148</v>
      </c>
      <c r="AL35" s="1" t="s">
        <v>149</v>
      </c>
      <c r="AM35" s="5">
        <v>46040.28325231482</v>
      </c>
      <c r="AN35" s="1" t="s">
        <v>51</v>
      </c>
      <c r="AO35" s="1" t="s">
        <v>42</v>
      </c>
      <c r="AP35" s="1" t="s">
        <v>64</v>
      </c>
      <c r="AQ35" s="1" t="s">
        <v>147</v>
      </c>
      <c r="AR35" s="1" t="s">
        <v>44</v>
      </c>
      <c r="AS35" s="1" t="s">
        <v>53</v>
      </c>
      <c r="AU35" s="1" t="s">
        <v>74</v>
      </c>
      <c r="AV35" s="1" t="s">
        <v>59</v>
      </c>
      <c r="AX35" s="1" t="str">
        <f>IFERROR(__xludf.DUMMYFUNCTION("""COMPUTED_VALUE"""),"Taste/Flavor, Price")</f>
        <v>Taste/Flavor, Price</v>
      </c>
      <c r="AZ35" s="1" t="str">
        <f>IFERROR(__xludf.DUMMYFUNCTION("""COMPUTED_VALUE"""),"At cafés")</f>
        <v>At cafés</v>
      </c>
      <c r="BB35" s="1" t="s">
        <v>31</v>
      </c>
      <c r="BC35" s="1" t="s">
        <v>61</v>
      </c>
      <c r="BE35" s="1" t="s">
        <v>35</v>
      </c>
      <c r="BG35" s="1" t="s">
        <v>37</v>
      </c>
      <c r="BH35" s="1" t="s">
        <v>37</v>
      </c>
      <c r="BI35" s="1">
        <v>7.0</v>
      </c>
      <c r="BJ35" s="1">
        <v>6.0</v>
      </c>
      <c r="BK35" s="1">
        <v>7.0</v>
      </c>
      <c r="BL35" s="1" t="s">
        <v>38</v>
      </c>
    </row>
    <row r="36">
      <c r="A36" s="1" t="str">
        <f>IFERROR(__xludf.DUMMYFUNCTION("""COMPUTED_VALUE"""),"rjZqzzM")</f>
        <v>rjZqzzM</v>
      </c>
      <c r="B36" s="1" t="str">
        <f>IFERROR(__xludf.DUMMYFUNCTION("""COMPUTED_VALUE"""),"Np6lJxO")</f>
        <v>Np6lJxO</v>
      </c>
      <c r="C36" s="5">
        <f>IFERROR(__xludf.DUMMYFUNCTION("""COMPUTED_VALUE"""),46041.00724537037)</f>
        <v>46041.00725</v>
      </c>
      <c r="D36" s="1" t="str">
        <f>IFERROR(__xludf.DUMMYFUNCTION("""COMPUTED_VALUE"""),"36〜45歳")</f>
        <v>36〜45歳</v>
      </c>
      <c r="E36" s="1" t="str">
        <f>IFERROR(__xludf.DUMMYFUNCTION("""COMPUTED_VALUE"""),"女性")</f>
        <v>女性</v>
      </c>
      <c r="F36" s="1" t="str">
        <f>IFERROR(__xludf.DUMMYFUNCTION("""COMPUTED_VALUE"""),"回答しない")</f>
        <v>回答しない</v>
      </c>
      <c r="G36" s="1" t="str">
        <f>IFERROR(__xludf.DUMMYFUNCTION("""COMPUTED_VALUE"""),"関西")</f>
        <v>関西</v>
      </c>
      <c r="H36" s="1" t="str">
        <f>IFERROR(__xludf.DUMMYFUNCTION("""COMPUTED_VALUE"""),"毎日")</f>
        <v>毎日</v>
      </c>
      <c r="I36" s="1" t="str">
        <f>IFERROR(__xludf.DUMMYFUNCTION("""COMPUTED_VALUE"""),"プアオーバー（ハンドドリップ）")</f>
        <v>プアオーバー（ハンドドリップ）</v>
      </c>
      <c r="J36" s="1"/>
      <c r="K36" s="1" t="str">
        <f>IFERROR(__xludf.DUMMYFUNCTION("""COMPUTED_VALUE"""),"まったく飲まない")</f>
        <v>まったく飲まない</v>
      </c>
      <c r="L36" s="1"/>
      <c r="M36" s="1"/>
      <c r="N36" s="1"/>
      <c r="O36" s="1"/>
      <c r="P36" s="1" t="str">
        <f>IFERROR(__xludf.DUMMYFUNCTION("""COMPUTED_VALUE"""),"カフェで")</f>
        <v>カフェで</v>
      </c>
      <c r="Q36" s="1"/>
      <c r="R36" s="1" t="str">
        <f>IFERROR(__xludf.DUMMYFUNCTION("""COMPUTED_VALUE"""),"月に数回")</f>
        <v>月に数回</v>
      </c>
      <c r="S36" s="1" t="str">
        <f>IFERROR(__xludf.DUMMYFUNCTION("""COMPUTED_VALUE"""),"友人と会うため")</f>
        <v>友人と会うため</v>
      </c>
      <c r="T36" s="1"/>
      <c r="U36" s="1" t="str">
        <f>IFERROR(__xludf.DUMMYFUNCTION("""COMPUTED_VALUE"""),"飲み物の味・品質")</f>
        <v>飲み物の味・品質</v>
      </c>
      <c r="V36" s="1"/>
      <c r="W36" s="1" t="str">
        <f>IFERROR(__xludf.DUMMYFUNCTION("""COMPUTED_VALUE"""),"わからない")</f>
        <v>わからない</v>
      </c>
      <c r="X36" s="1" t="str">
        <f>IFERROR(__xludf.DUMMYFUNCTION("""COMPUTED_VALUE"""),"はい（日本的）")</f>
        <v>はい（日本的）</v>
      </c>
      <c r="Y36" s="1">
        <f>IFERROR(__xludf.DUMMYFUNCTION("""COMPUTED_VALUE"""),7.0)</f>
        <v>7</v>
      </c>
      <c r="Z36" s="1">
        <f>IFERROR(__xludf.DUMMYFUNCTION("""COMPUTED_VALUE"""),7.0)</f>
        <v>7</v>
      </c>
      <c r="AA36" s="1">
        <f>IFERROR(__xludf.DUMMYFUNCTION("""COMPUTED_VALUE"""),3.0)</f>
        <v>3</v>
      </c>
      <c r="AB36" s="1" t="str">
        <f>IFERROR(__xludf.DUMMYFUNCTION("""COMPUTED_VALUE"""),"いいえ")</f>
        <v>いいえ</v>
      </c>
      <c r="AK36" s="1" t="s">
        <v>150</v>
      </c>
      <c r="AL36" s="1" t="s">
        <v>151</v>
      </c>
      <c r="AM36" s="5">
        <v>46041.00724537037</v>
      </c>
      <c r="AN36" s="1" t="s">
        <v>51</v>
      </c>
      <c r="AO36" s="1" t="s">
        <v>28</v>
      </c>
      <c r="AP36" s="1" t="s">
        <v>52</v>
      </c>
      <c r="AQ36" s="1" t="s">
        <v>90</v>
      </c>
      <c r="AR36" s="1" t="s">
        <v>44</v>
      </c>
      <c r="AS36" s="1" t="s">
        <v>53</v>
      </c>
      <c r="AU36" s="1" t="s">
        <v>103</v>
      </c>
      <c r="AV36" s="1" t="s">
        <v>104</v>
      </c>
      <c r="AX36" s="1" t="str">
        <f>IFERROR(__xludf.DUMMYFUNCTION("""COMPUTED_VALUE"""),"")</f>
        <v/>
      </c>
      <c r="AZ36" s="1" t="str">
        <f>IFERROR(__xludf.DUMMYFUNCTION("""COMPUTED_VALUE"""),"At cafés")</f>
        <v>At cafés</v>
      </c>
      <c r="BB36" s="1" t="s">
        <v>60</v>
      </c>
      <c r="BC36" s="1" t="s">
        <v>34</v>
      </c>
      <c r="BE36" s="1" t="s">
        <v>47</v>
      </c>
      <c r="BG36" s="1" t="s">
        <v>66</v>
      </c>
      <c r="BH36" s="1" t="s">
        <v>37</v>
      </c>
      <c r="BI36" s="1">
        <v>7.0</v>
      </c>
      <c r="BJ36" s="1">
        <v>7.0</v>
      </c>
      <c r="BK36" s="1">
        <v>3.0</v>
      </c>
      <c r="BL36" s="1" t="s">
        <v>38</v>
      </c>
    </row>
    <row r="37">
      <c r="A37" s="1" t="str">
        <f>IFERROR(__xludf.DUMMYFUNCTION("""COMPUTED_VALUE"""),"2E6gLL9")</f>
        <v>2E6gLL9</v>
      </c>
      <c r="B37" s="1" t="str">
        <f>IFERROR(__xludf.DUMMYFUNCTION("""COMPUTED_VALUE"""),"WON8qMj")</f>
        <v>WON8qMj</v>
      </c>
      <c r="C37" s="5">
        <f>IFERROR(__xludf.DUMMYFUNCTION("""COMPUTED_VALUE"""),46041.56443287037)</f>
        <v>46041.56443</v>
      </c>
      <c r="D37" s="1" t="str">
        <f>IFERROR(__xludf.DUMMYFUNCTION("""COMPUTED_VALUE"""),"36〜45歳")</f>
        <v>36〜45歳</v>
      </c>
      <c r="E37" s="1" t="str">
        <f>IFERROR(__xludf.DUMMYFUNCTION("""COMPUTED_VALUE"""),"女性")</f>
        <v>女性</v>
      </c>
      <c r="F37" s="1" t="str">
        <f>IFERROR(__xludf.DUMMYFUNCTION("""COMPUTED_VALUE"""),"600万円〜899万9,999円")</f>
        <v>600万円〜899万9,999円</v>
      </c>
      <c r="G37" s="1" t="str">
        <f>IFERROR(__xludf.DUMMYFUNCTION("""COMPUTED_VALUE"""),"北海道")</f>
        <v>北海道</v>
      </c>
      <c r="H37" s="1" t="str">
        <f>IFERROR(__xludf.DUMMYFUNCTION("""COMPUTED_VALUE"""),"毎日")</f>
        <v>毎日</v>
      </c>
      <c r="I37" s="1" t="str">
        <f>IFERROR(__xludf.DUMMYFUNCTION("""COMPUTED_VALUE"""),"ドリップコーヒー")</f>
        <v>ドリップコーヒー</v>
      </c>
      <c r="J37" s="1"/>
      <c r="K37" s="1" t="str">
        <f>IFERROR(__xludf.DUMMYFUNCTION("""COMPUTED_VALUE"""),"ほとんど飲まない")</f>
        <v>ほとんど飲まない</v>
      </c>
      <c r="L37" s="1" t="str">
        <f>IFERROR(__xludf.DUMMYFUNCTION("""COMPUTED_VALUE"""),"薄茶")</f>
        <v>薄茶</v>
      </c>
      <c r="M37" s="1"/>
      <c r="N37" s="1" t="str">
        <f>IFERROR(__xludf.DUMMYFUNCTION("""COMPUTED_VALUE"""),"健康面のメリット")</f>
        <v>健康面のメリット</v>
      </c>
      <c r="O37" s="1"/>
      <c r="P37" s="1" t="str">
        <f>IFERROR(__xludf.DUMMYFUNCTION("""COMPUTED_VALUE"""),"自宅で")</f>
        <v>自宅で</v>
      </c>
      <c r="Q37" s="1"/>
      <c r="R37" s="1" t="str">
        <f>IFERROR(__xludf.DUMMYFUNCTION("""COMPUTED_VALUE"""),"月に数回")</f>
        <v>月に数回</v>
      </c>
      <c r="S37" s="1" t="str">
        <f>IFERROR(__xludf.DUMMYFUNCTION("""COMPUTED_VALUE"""),"休憩・リラックスするため")</f>
        <v>休憩・リラックスするため</v>
      </c>
      <c r="T37" s="1"/>
      <c r="U37" s="1" t="str">
        <f>IFERROR(__xludf.DUMMYFUNCTION("""COMPUTED_VALUE"""),"飲み物の味・品質")</f>
        <v>飲み物の味・品質</v>
      </c>
      <c r="V37" s="1"/>
      <c r="W37" s="1" t="str">
        <f>IFERROR(__xludf.DUMMYFUNCTION("""COMPUTED_VALUE"""),"はい（グローバル）")</f>
        <v>はい（グローバル）</v>
      </c>
      <c r="X37" s="1" t="str">
        <f>IFERROR(__xludf.DUMMYFUNCTION("""COMPUTED_VALUE"""),"はい（日本的）")</f>
        <v>はい（日本的）</v>
      </c>
      <c r="Y37" s="1">
        <f>IFERROR(__xludf.DUMMYFUNCTION("""COMPUTED_VALUE"""),6.0)</f>
        <v>6</v>
      </c>
      <c r="Z37" s="1">
        <f>IFERROR(__xludf.DUMMYFUNCTION("""COMPUTED_VALUE"""),6.0)</f>
        <v>6</v>
      </c>
      <c r="AA37" s="1">
        <f>IFERROR(__xludf.DUMMYFUNCTION("""COMPUTED_VALUE"""),6.0)</f>
        <v>6</v>
      </c>
      <c r="AB37" s="1" t="str">
        <f>IFERROR(__xludf.DUMMYFUNCTION("""COMPUTED_VALUE"""),"はい")</f>
        <v>はい</v>
      </c>
      <c r="AK37" s="1" t="s">
        <v>152</v>
      </c>
      <c r="AL37" s="1" t="s">
        <v>153</v>
      </c>
      <c r="AM37" s="5">
        <v>46041.56443287037</v>
      </c>
      <c r="AN37" s="1" t="s">
        <v>51</v>
      </c>
      <c r="AO37" s="1" t="s">
        <v>28</v>
      </c>
      <c r="AP37" s="1" t="s">
        <v>43</v>
      </c>
      <c r="AQ37" s="1" t="s">
        <v>147</v>
      </c>
      <c r="AR37" s="1" t="s">
        <v>44</v>
      </c>
      <c r="AS37" s="1" t="s">
        <v>32</v>
      </c>
      <c r="AU37" s="1" t="s">
        <v>74</v>
      </c>
      <c r="AV37" s="1" t="s">
        <v>33</v>
      </c>
      <c r="AX37" s="1" t="str">
        <f>IFERROR(__xludf.DUMMYFUNCTION("""COMPUTED_VALUE"""),"Health benefits")</f>
        <v>Health benefits</v>
      </c>
      <c r="AZ37" s="1" t="str">
        <f>IFERROR(__xludf.DUMMYFUNCTION("""COMPUTED_VALUE"""),"At home")</f>
        <v>At home</v>
      </c>
      <c r="BB37" s="1" t="s">
        <v>60</v>
      </c>
      <c r="BC37" s="1" t="s">
        <v>61</v>
      </c>
      <c r="BE37" s="1" t="s">
        <v>47</v>
      </c>
      <c r="BG37" s="1" t="s">
        <v>48</v>
      </c>
      <c r="BH37" s="1" t="s">
        <v>37</v>
      </c>
      <c r="BI37" s="1">
        <v>6.0</v>
      </c>
      <c r="BJ37" s="1">
        <v>6.0</v>
      </c>
      <c r="BK37" s="1">
        <v>6.0</v>
      </c>
      <c r="BL37" s="1" t="s">
        <v>71</v>
      </c>
    </row>
    <row r="38">
      <c r="A38" s="1" t="str">
        <f>IFERROR(__xludf.DUMMYFUNCTION("""COMPUTED_VALUE"""),"LZ22L4G")</f>
        <v>LZ22L4G</v>
      </c>
      <c r="B38" s="1" t="str">
        <f>IFERROR(__xludf.DUMMYFUNCTION("""COMPUTED_VALUE"""),"pbKL1Gy")</f>
        <v>pbKL1Gy</v>
      </c>
      <c r="C38" s="5">
        <f>IFERROR(__xludf.DUMMYFUNCTION("""COMPUTED_VALUE"""),46042.46795138889)</f>
        <v>46042.46795</v>
      </c>
      <c r="D38" s="1" t="str">
        <f>IFERROR(__xludf.DUMMYFUNCTION("""COMPUTED_VALUE"""),"18〜25歳")</f>
        <v>18〜25歳</v>
      </c>
      <c r="E38" s="1" t="str">
        <f>IFERROR(__xludf.DUMMYFUNCTION("""COMPUTED_VALUE"""),"男性")</f>
        <v>男性</v>
      </c>
      <c r="F38" s="1" t="str">
        <f>IFERROR(__xludf.DUMMYFUNCTION("""COMPUTED_VALUE"""),"300万円〜599万9,999円")</f>
        <v>300万円〜599万9,999円</v>
      </c>
      <c r="G38" s="1" t="str">
        <f>IFERROR(__xludf.DUMMYFUNCTION("""COMPUTED_VALUE"""),"東北")</f>
        <v>東北</v>
      </c>
      <c r="H38" s="1" t="str">
        <f>IFERROR(__xludf.DUMMYFUNCTION("""COMPUTED_VALUE"""),"毎日")</f>
        <v>毎日</v>
      </c>
      <c r="I38" s="1" t="str">
        <f>IFERROR(__xludf.DUMMYFUNCTION("""COMPUTED_VALUE"""),"プアオーバー（ハンドドリップ）")</f>
        <v>プアオーバー（ハンドドリップ）</v>
      </c>
      <c r="J38" s="1"/>
      <c r="K38" s="1" t="str">
        <f>IFERROR(__xludf.DUMMYFUNCTION("""COMPUTED_VALUE"""),"ほとんど飲まない")</f>
        <v>ほとんど飲まない</v>
      </c>
      <c r="L38" s="1" t="str">
        <f>IFERROR(__xludf.DUMMYFUNCTION("""COMPUTED_VALUE"""),"薄茶")</f>
        <v>薄茶</v>
      </c>
      <c r="M38" s="1"/>
      <c r="N38" s="1" t="str">
        <f>IFERROR(__xludf.DUMMYFUNCTION("""COMPUTED_VALUE"""),"習慣")</f>
        <v>習慣</v>
      </c>
      <c r="O38" s="1"/>
      <c r="P38" s="1" t="str">
        <f>IFERROR(__xludf.DUMMYFUNCTION("""COMPUTED_VALUE"""),"カフェで")</f>
        <v>カフェで</v>
      </c>
      <c r="Q38" s="1"/>
      <c r="R38" s="1" t="str">
        <f>IFERROR(__xludf.DUMMYFUNCTION("""COMPUTED_VALUE"""),"週に数回")</f>
        <v>週に数回</v>
      </c>
      <c r="S38" s="1" t="str">
        <f>IFERROR(__xludf.DUMMYFUNCTION("""COMPUTED_VALUE"""),"休憩・リラックスするため")</f>
        <v>休憩・リラックスするため</v>
      </c>
      <c r="T38" s="1"/>
      <c r="U38" s="1" t="str">
        <f>IFERROR(__xludf.DUMMYFUNCTION("""COMPUTED_VALUE"""),"サービス")</f>
        <v>サービス</v>
      </c>
      <c r="V38" s="1"/>
      <c r="W38" s="1" t="str">
        <f>IFERROR(__xludf.DUMMYFUNCTION("""COMPUTED_VALUE"""),"はい（グローバル）")</f>
        <v>はい（グローバル）</v>
      </c>
      <c r="X38" s="1" t="str">
        <f>IFERROR(__xludf.DUMMYFUNCTION("""COMPUTED_VALUE"""),"はい（日本的）")</f>
        <v>はい（日本的）</v>
      </c>
      <c r="Y38" s="1">
        <f>IFERROR(__xludf.DUMMYFUNCTION("""COMPUTED_VALUE"""),7.0)</f>
        <v>7</v>
      </c>
      <c r="Z38" s="1">
        <f>IFERROR(__xludf.DUMMYFUNCTION("""COMPUTED_VALUE"""),7.0)</f>
        <v>7</v>
      </c>
      <c r="AA38" s="1">
        <f>IFERROR(__xludf.DUMMYFUNCTION("""COMPUTED_VALUE"""),7.0)</f>
        <v>7</v>
      </c>
      <c r="AB38" s="1" t="str">
        <f>IFERROR(__xludf.DUMMYFUNCTION("""COMPUTED_VALUE"""),"いいえ")</f>
        <v>いいえ</v>
      </c>
      <c r="AK38" s="1" t="s">
        <v>154</v>
      </c>
      <c r="AL38" s="1" t="s">
        <v>155</v>
      </c>
      <c r="AM38" s="5">
        <v>46042.46795138889</v>
      </c>
      <c r="AN38" s="1" t="s">
        <v>41</v>
      </c>
      <c r="AO38" s="1" t="s">
        <v>42</v>
      </c>
      <c r="AP38" s="1" t="s">
        <v>64</v>
      </c>
      <c r="AQ38" s="1" t="s">
        <v>156</v>
      </c>
      <c r="AR38" s="1" t="s">
        <v>44</v>
      </c>
      <c r="AS38" s="1" t="s">
        <v>53</v>
      </c>
      <c r="AU38" s="1" t="s">
        <v>74</v>
      </c>
      <c r="AV38" s="1" t="s">
        <v>33</v>
      </c>
      <c r="AX38" s="1" t="str">
        <f>IFERROR(__xludf.DUMMYFUNCTION("""COMPUTED_VALUE"""),"Routine/Ritual")</f>
        <v>Routine/Ritual</v>
      </c>
      <c r="AZ38" s="1" t="str">
        <f>IFERROR(__xludf.DUMMYFUNCTION("""COMPUTED_VALUE"""),"At cafés")</f>
        <v>At cafés</v>
      </c>
      <c r="BB38" s="1" t="s">
        <v>31</v>
      </c>
      <c r="BC38" s="1" t="s">
        <v>61</v>
      </c>
      <c r="BE38" s="1" t="s">
        <v>70</v>
      </c>
      <c r="BG38" s="1" t="s">
        <v>48</v>
      </c>
      <c r="BH38" s="1" t="s">
        <v>37</v>
      </c>
      <c r="BI38" s="1">
        <v>7.0</v>
      </c>
      <c r="BJ38" s="1">
        <v>7.0</v>
      </c>
      <c r="BK38" s="1">
        <v>7.0</v>
      </c>
      <c r="BL38" s="1" t="s">
        <v>38</v>
      </c>
    </row>
    <row r="39">
      <c r="A39" s="1" t="str">
        <f>IFERROR(__xludf.DUMMYFUNCTION("""COMPUTED_VALUE"""),"rj4laqL")</f>
        <v>rj4laqL</v>
      </c>
      <c r="B39" s="1" t="str">
        <f>IFERROR(__xludf.DUMMYFUNCTION("""COMPUTED_VALUE"""),"Np6dba0")</f>
        <v>Np6dba0</v>
      </c>
      <c r="C39" s="5">
        <f>IFERROR(__xludf.DUMMYFUNCTION("""COMPUTED_VALUE"""),46045.29539351852)</f>
        <v>46045.29539</v>
      </c>
      <c r="D39" s="1" t="str">
        <f>IFERROR(__xludf.DUMMYFUNCTION("""COMPUTED_VALUE"""),"18〜25歳")</f>
        <v>18〜25歳</v>
      </c>
      <c r="E39" s="1" t="str">
        <f>IFERROR(__xludf.DUMMYFUNCTION("""COMPUTED_VALUE"""),"男性")</f>
        <v>男性</v>
      </c>
      <c r="F39" s="1" t="str">
        <f>IFERROR(__xludf.DUMMYFUNCTION("""COMPUTED_VALUE"""),"300万円〜599万9,999円")</f>
        <v>300万円〜599万9,999円</v>
      </c>
      <c r="G39" s="1" t="str">
        <f>IFERROR(__xludf.DUMMYFUNCTION("""COMPUTED_VALUE"""),"関東")</f>
        <v>関東</v>
      </c>
      <c r="H39" s="1" t="str">
        <f>IFERROR(__xludf.DUMMYFUNCTION("""COMPUTED_VALUE"""),"毎日")</f>
        <v>毎日</v>
      </c>
      <c r="I39" s="1" t="str">
        <f>IFERROR(__xludf.DUMMYFUNCTION("""COMPUTED_VALUE"""),"プアオーバー（ハンドドリップ）")</f>
        <v>プアオーバー（ハンドドリップ）</v>
      </c>
      <c r="J39" s="1"/>
      <c r="K39" s="1" t="str">
        <f>IFERROR(__xludf.DUMMYFUNCTION("""COMPUTED_VALUE"""),"ほとんど飲まない")</f>
        <v>ほとんど飲まない</v>
      </c>
      <c r="L39" s="1" t="str">
        <f>IFERROR(__xludf.DUMMYFUNCTION("""COMPUTED_VALUE"""),"薄茶")</f>
        <v>薄茶</v>
      </c>
      <c r="M39" s="1"/>
      <c r="N39" s="1" t="str">
        <f>IFERROR(__xludf.DUMMYFUNCTION("""COMPUTED_VALUE"""),"習慣")</f>
        <v>習慣</v>
      </c>
      <c r="O39" s="1"/>
      <c r="P39" s="1" t="str">
        <f>IFERROR(__xludf.DUMMYFUNCTION("""COMPUTED_VALUE"""),"その他：")</f>
        <v>その他：</v>
      </c>
      <c r="Q39" s="1" t="str">
        <f>IFERROR(__xludf.DUMMYFUNCTION("""COMPUTED_VALUE"""),"職場")</f>
        <v>職場</v>
      </c>
      <c r="R39" s="1" t="str">
        <f>IFERROR(__xludf.DUMMYFUNCTION("""COMPUTED_VALUE"""),"月に数回")</f>
        <v>月に数回</v>
      </c>
      <c r="S39" s="1" t="str">
        <f>IFERROR(__xludf.DUMMYFUNCTION("""COMPUTED_VALUE"""),"新しい飲み物を試すため")</f>
        <v>新しい飲み物を試すため</v>
      </c>
      <c r="T39" s="1"/>
      <c r="U39" s="1" t="str">
        <f>IFERROR(__xludf.DUMMYFUNCTION("""COMPUTED_VALUE"""),"雰囲気・心地良さ")</f>
        <v>雰囲気・心地良さ</v>
      </c>
      <c r="V39" s="1"/>
      <c r="W39" s="1" t="str">
        <f>IFERROR(__xludf.DUMMYFUNCTION("""COMPUTED_VALUE"""),"はい（グローバル）")</f>
        <v>はい（グローバル）</v>
      </c>
      <c r="X39" s="1" t="str">
        <f>IFERROR(__xludf.DUMMYFUNCTION("""COMPUTED_VALUE"""),"はい（グローバル）")</f>
        <v>はい（グローバル）</v>
      </c>
      <c r="Y39" s="1">
        <f>IFERROR(__xludf.DUMMYFUNCTION("""COMPUTED_VALUE"""),6.0)</f>
        <v>6</v>
      </c>
      <c r="Z39" s="1">
        <f>IFERROR(__xludf.DUMMYFUNCTION("""COMPUTED_VALUE"""),2.0)</f>
        <v>2</v>
      </c>
      <c r="AA39" s="1"/>
      <c r="AB39" s="1" t="str">
        <f>IFERROR(__xludf.DUMMYFUNCTION("""COMPUTED_VALUE"""),"はい")</f>
        <v>はい</v>
      </c>
      <c r="AK39" s="1" t="s">
        <v>157</v>
      </c>
      <c r="AL39" s="1" t="s">
        <v>158</v>
      </c>
      <c r="AM39" s="5">
        <v>46045.29539351852</v>
      </c>
      <c r="AN39" s="1" t="s">
        <v>41</v>
      </c>
      <c r="AO39" s="1" t="s">
        <v>42</v>
      </c>
      <c r="AP39" s="1" t="s">
        <v>64</v>
      </c>
      <c r="AQ39" s="1" t="s">
        <v>30</v>
      </c>
      <c r="AR39" s="1" t="s">
        <v>44</v>
      </c>
      <c r="AS39" s="1" t="s">
        <v>53</v>
      </c>
      <c r="AU39" s="1" t="s">
        <v>74</v>
      </c>
      <c r="AV39" s="1" t="s">
        <v>33</v>
      </c>
      <c r="AX39" s="1" t="str">
        <f>IFERROR(__xludf.DUMMYFUNCTION("""COMPUTED_VALUE"""),"Routine/Ritual")</f>
        <v>Routine/Ritual</v>
      </c>
      <c r="AZ39" s="1" t="str">
        <f>IFERROR(__xludf.DUMMYFUNCTION("""COMPUTED_VALUE"""),"Other:")</f>
        <v>Other:</v>
      </c>
      <c r="BA39" s="6" t="s">
        <v>159</v>
      </c>
      <c r="BB39" s="1" t="s">
        <v>60</v>
      </c>
      <c r="BC39" s="1" t="s">
        <v>46</v>
      </c>
      <c r="BE39" s="1" t="s">
        <v>35</v>
      </c>
      <c r="BG39" s="1" t="s">
        <v>48</v>
      </c>
      <c r="BH39" s="1" t="s">
        <v>48</v>
      </c>
      <c r="BI39" s="1">
        <v>6.0</v>
      </c>
      <c r="BJ39" s="1">
        <v>2.0</v>
      </c>
      <c r="BK39" s="1" t="s">
        <v>104</v>
      </c>
      <c r="BL39" s="1" t="s">
        <v>71</v>
      </c>
    </row>
    <row r="40">
      <c r="A40" s="1" t="str">
        <f>IFERROR(__xludf.DUMMYFUNCTION("""COMPUTED_VALUE"""),"VLeljXE")</f>
        <v>VLeljXE</v>
      </c>
      <c r="B40" s="1" t="str">
        <f>IFERROR(__xludf.DUMMYFUNCTION("""COMPUTED_VALUE"""),"xXpzMVk")</f>
        <v>xXpzMVk</v>
      </c>
      <c r="C40" s="5">
        <f>IFERROR(__xludf.DUMMYFUNCTION("""COMPUTED_VALUE"""),46045.45578703703)</f>
        <v>46045.45579</v>
      </c>
      <c r="D40" s="1" t="str">
        <f>IFERROR(__xludf.DUMMYFUNCTION("""COMPUTED_VALUE"""),"26〜35歳")</f>
        <v>26〜35歳</v>
      </c>
      <c r="E40" s="1" t="str">
        <f>IFERROR(__xludf.DUMMYFUNCTION("""COMPUTED_VALUE"""),"男性")</f>
        <v>男性</v>
      </c>
      <c r="F40" s="1" t="str">
        <f>IFERROR(__xludf.DUMMYFUNCTION("""COMPUTED_VALUE"""),"1,200万円以上")</f>
        <v>1,200万円以上</v>
      </c>
      <c r="G40" s="1" t="str">
        <f>IFERROR(__xludf.DUMMYFUNCTION("""COMPUTED_VALUE"""),"関東")</f>
        <v>関東</v>
      </c>
      <c r="H40" s="1" t="str">
        <f>IFERROR(__xludf.DUMMYFUNCTION("""COMPUTED_VALUE"""),"毎日")</f>
        <v>毎日</v>
      </c>
      <c r="I40" s="1" t="str">
        <f>IFERROR(__xludf.DUMMYFUNCTION("""COMPUTED_VALUE"""),"ドリップコーヒー")</f>
        <v>ドリップコーヒー</v>
      </c>
      <c r="J40" s="1"/>
      <c r="K40" s="1" t="str">
        <f>IFERROR(__xludf.DUMMYFUNCTION("""COMPUTED_VALUE"""),"週に数回")</f>
        <v>週に数回</v>
      </c>
      <c r="L40" s="1" t="str">
        <f>IFERROR(__xludf.DUMMYFUNCTION("""COMPUTED_VALUE"""),"抹茶ラテ")</f>
        <v>抹茶ラテ</v>
      </c>
      <c r="M40" s="1"/>
      <c r="N40" s="1" t="str">
        <f>IFERROR(__xludf.DUMMYFUNCTION("""COMPUTED_VALUE"""),"習慣")</f>
        <v>習慣</v>
      </c>
      <c r="O40" s="1"/>
      <c r="P40" s="1" t="str">
        <f>IFERROR(__xludf.DUMMYFUNCTION("""COMPUTED_VALUE"""),"自宅で, カフェで, コンビニ（セブンイレブン、ローソンなど）, 自動販売機")</f>
        <v>自宅で, カフェで, コンビニ（セブンイレブン、ローソンなど）, 自動販売機</v>
      </c>
      <c r="Q40" s="1"/>
      <c r="R40" s="1" t="str">
        <f>IFERROR(__xludf.DUMMYFUNCTION("""COMPUTED_VALUE"""),"週に数回")</f>
        <v>週に数回</v>
      </c>
      <c r="S40" s="1" t="str">
        <f>IFERROR(__xludf.DUMMYFUNCTION("""COMPUTED_VALUE"""),"習慣として")</f>
        <v>習慣として</v>
      </c>
      <c r="T40" s="1"/>
      <c r="U40" s="1" t="str">
        <f>IFERROR(__xludf.DUMMYFUNCTION("""COMPUTED_VALUE"""),"その他：")</f>
        <v>その他：</v>
      </c>
      <c r="V40" s="1"/>
      <c r="W40" s="1" t="str">
        <f>IFERROR(__xludf.DUMMYFUNCTION("""COMPUTED_VALUE"""),"はい（グローバル）")</f>
        <v>はい（グローバル）</v>
      </c>
      <c r="X40" s="1" t="str">
        <f>IFERROR(__xludf.DUMMYFUNCTION("""COMPUTED_VALUE"""),"はい（日本的）")</f>
        <v>はい（日本的）</v>
      </c>
      <c r="Y40" s="1">
        <f>IFERROR(__xludf.DUMMYFUNCTION("""COMPUTED_VALUE"""),7.0)</f>
        <v>7</v>
      </c>
      <c r="Z40" s="1">
        <f>IFERROR(__xludf.DUMMYFUNCTION("""COMPUTED_VALUE"""),7.0)</f>
        <v>7</v>
      </c>
      <c r="AA40" s="1">
        <f>IFERROR(__xludf.DUMMYFUNCTION("""COMPUTED_VALUE"""),7.0)</f>
        <v>7</v>
      </c>
      <c r="AB40" s="1" t="str">
        <f>IFERROR(__xludf.DUMMYFUNCTION("""COMPUTED_VALUE"""),"はい")</f>
        <v>はい</v>
      </c>
      <c r="AK40" s="1" t="s">
        <v>160</v>
      </c>
      <c r="AL40" s="1" t="s">
        <v>161</v>
      </c>
      <c r="AM40" s="5">
        <v>46045.45578703703</v>
      </c>
      <c r="AN40" s="1" t="s">
        <v>27</v>
      </c>
      <c r="AO40" s="1" t="s">
        <v>42</v>
      </c>
      <c r="AP40" s="1" t="s">
        <v>89</v>
      </c>
      <c r="AQ40" s="1" t="s">
        <v>30</v>
      </c>
      <c r="AR40" s="1" t="s">
        <v>44</v>
      </c>
      <c r="AS40" s="1" t="s">
        <v>32</v>
      </c>
      <c r="AU40" s="1" t="s">
        <v>31</v>
      </c>
      <c r="AV40" s="1" t="s">
        <v>59</v>
      </c>
      <c r="AX40" s="1" t="str">
        <f>IFERROR(__xludf.DUMMYFUNCTION("""COMPUTED_VALUE"""),"Routine/Ritual")</f>
        <v>Routine/Ritual</v>
      </c>
      <c r="AZ40" s="1" t="str">
        <f>IFERROR(__xludf.DUMMYFUNCTION("""COMPUTED_VALUE"""),"At home, At cafés, From convenience stores (7-Eleven, Lawson, etc.), From vending machines")</f>
        <v>At home, At cafés, From convenience stores (7-Eleven, Lawson, etc.), From vending machines</v>
      </c>
      <c r="BB40" s="1" t="s">
        <v>31</v>
      </c>
      <c r="BC40" s="1" t="s">
        <v>82</v>
      </c>
      <c r="BE40" s="1" t="s">
        <v>54</v>
      </c>
      <c r="BG40" s="1" t="s">
        <v>48</v>
      </c>
      <c r="BH40" s="1" t="s">
        <v>37</v>
      </c>
      <c r="BI40" s="1">
        <v>7.0</v>
      </c>
      <c r="BJ40" s="1">
        <v>7.0</v>
      </c>
      <c r="BK40" s="1">
        <v>7.0</v>
      </c>
      <c r="BL40" s="1" t="s">
        <v>71</v>
      </c>
    </row>
    <row r="41">
      <c r="A41" s="1" t="str">
        <f>IFERROR(__xludf.DUMMYFUNCTION("""COMPUTED_VALUE"""),"aQLx2aE")</f>
        <v>aQLx2aE</v>
      </c>
      <c r="B41" s="1" t="str">
        <f>IFERROR(__xludf.DUMMYFUNCTION("""COMPUTED_VALUE"""),"WONqRGN")</f>
        <v>WONqRGN</v>
      </c>
      <c r="C41" s="5">
        <f>IFERROR(__xludf.DUMMYFUNCTION("""COMPUTED_VALUE"""),46045.46512731481)</f>
        <v>46045.46513</v>
      </c>
      <c r="D41" s="1" t="str">
        <f>IFERROR(__xludf.DUMMYFUNCTION("""COMPUTED_VALUE"""),"18〜25歳")</f>
        <v>18〜25歳</v>
      </c>
      <c r="E41" s="1" t="str">
        <f>IFERROR(__xludf.DUMMYFUNCTION("""COMPUTED_VALUE"""),"女性")</f>
        <v>女性</v>
      </c>
      <c r="F41" s="1" t="str">
        <f>IFERROR(__xludf.DUMMYFUNCTION("""COMPUTED_VALUE"""),"300万円未満")</f>
        <v>300万円未満</v>
      </c>
      <c r="G41" s="1" t="str">
        <f>IFERROR(__xludf.DUMMYFUNCTION("""COMPUTED_VALUE"""),"関東")</f>
        <v>関東</v>
      </c>
      <c r="H41" s="1" t="str">
        <f>IFERROR(__xludf.DUMMYFUNCTION("""COMPUTED_VALUE"""),"週に数回")</f>
        <v>週に数回</v>
      </c>
      <c r="I41" s="1" t="str">
        <f>IFERROR(__xludf.DUMMYFUNCTION("""COMPUTED_VALUE"""),"プアオーバー（ハンドドリップ）")</f>
        <v>プアオーバー（ハンドドリップ）</v>
      </c>
      <c r="J41" s="1"/>
      <c r="K41" s="1" t="str">
        <f>IFERROR(__xludf.DUMMYFUNCTION("""COMPUTED_VALUE"""),"週に1回")</f>
        <v>週に1回</v>
      </c>
      <c r="L41" s="1" t="str">
        <f>IFERROR(__xludf.DUMMYFUNCTION("""COMPUTED_VALUE"""),"抹茶ラテ")</f>
        <v>抹茶ラテ</v>
      </c>
      <c r="M41" s="1"/>
      <c r="N41" s="1" t="str">
        <f>IFERROR(__xludf.DUMMYFUNCTION("""COMPUTED_VALUE"""),"味・風味, エナジー／カフェイン")</f>
        <v>味・風味, エナジー／カフェイン</v>
      </c>
      <c r="O41" s="1"/>
      <c r="P41" s="1" t="str">
        <f>IFERROR(__xludf.DUMMYFUNCTION("""COMPUTED_VALUE"""),"カフェで, 自宅で, コンビニ（セブンイレブン、ローソンなど）")</f>
        <v>カフェで, 自宅で, コンビニ（セブンイレブン、ローソンなど）</v>
      </c>
      <c r="Q41" s="1"/>
      <c r="R41" s="1" t="str">
        <f>IFERROR(__xludf.DUMMYFUNCTION("""COMPUTED_VALUE"""),"週に1回")</f>
        <v>週に1回</v>
      </c>
      <c r="S41" s="1" t="str">
        <f>IFERROR(__xludf.DUMMYFUNCTION("""COMPUTED_VALUE"""),"習慣として")</f>
        <v>習慣として</v>
      </c>
      <c r="T41" s="1"/>
      <c r="U41" s="1" t="str">
        <f>IFERROR(__xludf.DUMMYFUNCTION("""COMPUTED_VALUE"""),"サービス")</f>
        <v>サービス</v>
      </c>
      <c r="V41" s="1"/>
      <c r="W41" s="1" t="str">
        <f>IFERROR(__xludf.DUMMYFUNCTION("""COMPUTED_VALUE"""),"はい（グローバル）")</f>
        <v>はい（グローバル）</v>
      </c>
      <c r="X41" s="1" t="str">
        <f>IFERROR(__xludf.DUMMYFUNCTION("""COMPUTED_VALUE"""),"はい（日本的）")</f>
        <v>はい（日本的）</v>
      </c>
      <c r="Y41" s="1">
        <f>IFERROR(__xludf.DUMMYFUNCTION("""COMPUTED_VALUE"""),5.0)</f>
        <v>5</v>
      </c>
      <c r="Z41" s="1">
        <f>IFERROR(__xludf.DUMMYFUNCTION("""COMPUTED_VALUE"""),7.0)</f>
        <v>7</v>
      </c>
      <c r="AA41" s="1">
        <f>IFERROR(__xludf.DUMMYFUNCTION("""COMPUTED_VALUE"""),6.0)</f>
        <v>6</v>
      </c>
      <c r="AB41" s="1" t="str">
        <f>IFERROR(__xludf.DUMMYFUNCTION("""COMPUTED_VALUE"""),"いいえ")</f>
        <v>いいえ</v>
      </c>
      <c r="AK41" s="1" t="s">
        <v>162</v>
      </c>
      <c r="AL41" s="1" t="s">
        <v>163</v>
      </c>
      <c r="AM41" s="5">
        <v>46045.46512731481</v>
      </c>
      <c r="AN41" s="1" t="s">
        <v>41</v>
      </c>
      <c r="AO41" s="1" t="s">
        <v>28</v>
      </c>
      <c r="AP41" s="1" t="s">
        <v>29</v>
      </c>
      <c r="AQ41" s="1" t="s">
        <v>30</v>
      </c>
      <c r="AR41" s="1" t="s">
        <v>31</v>
      </c>
      <c r="AS41" s="1" t="s">
        <v>53</v>
      </c>
      <c r="AU41" s="1" t="s">
        <v>69</v>
      </c>
      <c r="AV41" s="1" t="s">
        <v>59</v>
      </c>
      <c r="AX41" s="1" t="str">
        <f>IFERROR(__xludf.DUMMYFUNCTION("""COMPUTED_VALUE"""),"Taste/Flavor, Energy boost/Caffeine")</f>
        <v>Taste/Flavor, Energy boost/Caffeine</v>
      </c>
      <c r="AZ41" s="1" t="str">
        <f>IFERROR(__xludf.DUMMYFUNCTION("""COMPUTED_VALUE"""),"At cafés, At home, From convenience stores (7-Eleven, Lawson, etc.)")</f>
        <v>At cafés, At home, From convenience stores (7-Eleven, Lawson, etc.)</v>
      </c>
      <c r="BB41" s="1" t="s">
        <v>69</v>
      </c>
      <c r="BC41" s="1" t="s">
        <v>82</v>
      </c>
      <c r="BE41" s="1" t="s">
        <v>70</v>
      </c>
      <c r="BG41" s="1" t="s">
        <v>48</v>
      </c>
      <c r="BH41" s="1" t="s">
        <v>37</v>
      </c>
      <c r="BI41" s="1">
        <v>5.0</v>
      </c>
      <c r="BJ41" s="1">
        <v>7.0</v>
      </c>
      <c r="BK41" s="1">
        <v>6.0</v>
      </c>
      <c r="BL41" s="1" t="s">
        <v>38</v>
      </c>
    </row>
    <row r="42">
      <c r="A42" s="1" t="str">
        <f>IFERROR(__xludf.DUMMYFUNCTION("""COMPUTED_VALUE"""),"Bzy1jOR")</f>
        <v>Bzy1jOR</v>
      </c>
      <c r="B42" s="1" t="str">
        <f>IFERROR(__xludf.DUMMYFUNCTION("""COMPUTED_VALUE"""),"zxqdr2g")</f>
        <v>zxqdr2g</v>
      </c>
      <c r="C42" s="5">
        <f>IFERROR(__xludf.DUMMYFUNCTION("""COMPUTED_VALUE"""),46045.51131944444)</f>
        <v>46045.51132</v>
      </c>
      <c r="D42" s="1" t="str">
        <f>IFERROR(__xludf.DUMMYFUNCTION("""COMPUTED_VALUE"""),"36〜45歳")</f>
        <v>36〜45歳</v>
      </c>
      <c r="E42" s="1" t="str">
        <f>IFERROR(__xludf.DUMMYFUNCTION("""COMPUTED_VALUE"""),"女性")</f>
        <v>女性</v>
      </c>
      <c r="F42" s="1" t="str">
        <f>IFERROR(__xludf.DUMMYFUNCTION("""COMPUTED_VALUE"""),"300万円未満")</f>
        <v>300万円未満</v>
      </c>
      <c r="G42" s="1" t="str">
        <f>IFERROR(__xludf.DUMMYFUNCTION("""COMPUTED_VALUE"""),"関東")</f>
        <v>関東</v>
      </c>
      <c r="H42" s="1" t="str">
        <f>IFERROR(__xludf.DUMMYFUNCTION("""COMPUTED_VALUE"""),"毎日")</f>
        <v>毎日</v>
      </c>
      <c r="I42" s="1" t="str">
        <f>IFERROR(__xludf.DUMMYFUNCTION("""COMPUTED_VALUE"""),"プアオーバー（ハンドドリップ）")</f>
        <v>プアオーバー（ハンドドリップ）</v>
      </c>
      <c r="J42" s="1"/>
      <c r="K42" s="1" t="str">
        <f>IFERROR(__xludf.DUMMYFUNCTION("""COMPUTED_VALUE"""),"ほとんど飲まない")</f>
        <v>ほとんど飲まない</v>
      </c>
      <c r="L42" s="1" t="str">
        <f>IFERROR(__xludf.DUMMYFUNCTION("""COMPUTED_VALUE"""),"薄茶")</f>
        <v>薄茶</v>
      </c>
      <c r="M42" s="1"/>
      <c r="N42" s="1" t="str">
        <f>IFERROR(__xludf.DUMMYFUNCTION("""COMPUTED_VALUE"""),"習慣, その他：")</f>
        <v>習慣, その他：</v>
      </c>
      <c r="O42" s="1"/>
      <c r="P42" s="1" t="str">
        <f>IFERROR(__xludf.DUMMYFUNCTION("""COMPUTED_VALUE"""),"カフェで, その他：")</f>
        <v>カフェで, その他：</v>
      </c>
      <c r="Q42" s="1"/>
      <c r="R42" s="1"/>
      <c r="S42" s="1" t="str">
        <f>IFERROR(__xludf.DUMMYFUNCTION("""COMPUTED_VALUE"""),"休憩・リラックスするため")</f>
        <v>休憩・リラックスするため</v>
      </c>
      <c r="T42" s="1"/>
      <c r="U42" s="1" t="str">
        <f>IFERROR(__xludf.DUMMYFUNCTION("""COMPUTED_VALUE"""),"飲み物の味・品質")</f>
        <v>飲み物の味・品質</v>
      </c>
      <c r="V42" s="1"/>
      <c r="W42" s="1" t="str">
        <f>IFERROR(__xludf.DUMMYFUNCTION("""COMPUTED_VALUE"""),"はい（グローバル）")</f>
        <v>はい（グローバル）</v>
      </c>
      <c r="X42" s="1" t="str">
        <f>IFERROR(__xludf.DUMMYFUNCTION("""COMPUTED_VALUE"""),"はい（日本的）")</f>
        <v>はい（日本的）</v>
      </c>
      <c r="Y42" s="1">
        <f>IFERROR(__xludf.DUMMYFUNCTION("""COMPUTED_VALUE"""),7.0)</f>
        <v>7</v>
      </c>
      <c r="Z42" s="1">
        <f>IFERROR(__xludf.DUMMYFUNCTION("""COMPUTED_VALUE"""),7.0)</f>
        <v>7</v>
      </c>
      <c r="AA42" s="1">
        <f>IFERROR(__xludf.DUMMYFUNCTION("""COMPUTED_VALUE"""),5.0)</f>
        <v>5</v>
      </c>
      <c r="AB42" s="1" t="str">
        <f>IFERROR(__xludf.DUMMYFUNCTION("""COMPUTED_VALUE"""),"いいえ")</f>
        <v>いいえ</v>
      </c>
      <c r="AK42" s="1" t="s">
        <v>164</v>
      </c>
      <c r="AL42" s="1" t="s">
        <v>165</v>
      </c>
      <c r="AM42" s="5">
        <v>46045.51131944444</v>
      </c>
      <c r="AN42" s="1" t="s">
        <v>51</v>
      </c>
      <c r="AO42" s="1" t="s">
        <v>28</v>
      </c>
      <c r="AP42" s="1" t="s">
        <v>29</v>
      </c>
      <c r="AQ42" s="1" t="s">
        <v>30</v>
      </c>
      <c r="AR42" s="1" t="s">
        <v>44</v>
      </c>
      <c r="AS42" s="1" t="s">
        <v>53</v>
      </c>
      <c r="AU42" s="1" t="s">
        <v>74</v>
      </c>
      <c r="AV42" s="1" t="s">
        <v>33</v>
      </c>
      <c r="AX42" s="1" t="str">
        <f>IFERROR(__xludf.DUMMYFUNCTION("""COMPUTED_VALUE"""),"Routine/Ritual, Other:")</f>
        <v>Routine/Ritual, Other:</v>
      </c>
      <c r="AZ42" s="1" t="str">
        <f>IFERROR(__xludf.DUMMYFUNCTION("""COMPUTED_VALUE"""),"At cafés, Other:")</f>
        <v>At cafés, Other:</v>
      </c>
      <c r="BB42" s="1" t="s">
        <v>104</v>
      </c>
      <c r="BC42" s="1" t="s">
        <v>61</v>
      </c>
      <c r="BE42" s="1" t="s">
        <v>47</v>
      </c>
      <c r="BG42" s="1" t="s">
        <v>48</v>
      </c>
      <c r="BH42" s="1" t="s">
        <v>37</v>
      </c>
      <c r="BI42" s="1">
        <v>7.0</v>
      </c>
      <c r="BJ42" s="1">
        <v>7.0</v>
      </c>
      <c r="BK42" s="1">
        <v>5.0</v>
      </c>
      <c r="BL42" s="1" t="s">
        <v>38</v>
      </c>
    </row>
    <row r="43">
      <c r="A43" s="1" t="str">
        <f>IFERROR(__xludf.DUMMYFUNCTION("""COMPUTED_VALUE"""),"yPQEMog")</f>
        <v>yPQEMog</v>
      </c>
      <c r="B43" s="1" t="str">
        <f>IFERROR(__xludf.DUMMYFUNCTION("""COMPUTED_VALUE"""),"448EV9X")</f>
        <v>448EV9X</v>
      </c>
      <c r="C43" s="5">
        <f>IFERROR(__xludf.DUMMYFUNCTION("""COMPUTED_VALUE"""),46046.104837962965)</f>
        <v>46046.10484</v>
      </c>
      <c r="D43" s="1" t="str">
        <f>IFERROR(__xludf.DUMMYFUNCTION("""COMPUTED_VALUE"""),"18〜25歳")</f>
        <v>18〜25歳</v>
      </c>
      <c r="E43" s="1" t="str">
        <f>IFERROR(__xludf.DUMMYFUNCTION("""COMPUTED_VALUE"""),"女性")</f>
        <v>女性</v>
      </c>
      <c r="F43" s="1" t="str">
        <f>IFERROR(__xludf.DUMMYFUNCTION("""COMPUTED_VALUE"""),"回答しない")</f>
        <v>回答しない</v>
      </c>
      <c r="G43" s="1" t="str">
        <f>IFERROR(__xludf.DUMMYFUNCTION("""COMPUTED_VALUE"""),"関東")</f>
        <v>関東</v>
      </c>
      <c r="H43" s="1" t="str">
        <f>IFERROR(__xludf.DUMMYFUNCTION("""COMPUTED_VALUE"""),"毎日")</f>
        <v>毎日</v>
      </c>
      <c r="I43" s="1" t="str">
        <f>IFERROR(__xludf.DUMMYFUNCTION("""COMPUTED_VALUE"""),"アメリカーノ")</f>
        <v>アメリカーノ</v>
      </c>
      <c r="J43" s="1"/>
      <c r="K43" s="1" t="str">
        <f>IFERROR(__xludf.DUMMYFUNCTION("""COMPUTED_VALUE"""),"ほとんど飲まない")</f>
        <v>ほとんど飲まない</v>
      </c>
      <c r="L43" s="1" t="str">
        <f>IFERROR(__xludf.DUMMYFUNCTION("""COMPUTED_VALUE"""),"抹茶ラテ")</f>
        <v>抹茶ラテ</v>
      </c>
      <c r="M43" s="1"/>
      <c r="N43" s="1" t="str">
        <f>IFERROR(__xludf.DUMMYFUNCTION("""COMPUTED_VALUE"""),"味・風味, エナジー／カフェイン")</f>
        <v>味・風味, エナジー／カフェイン</v>
      </c>
      <c r="O43" s="1"/>
      <c r="P43" s="1" t="str">
        <f>IFERROR(__xludf.DUMMYFUNCTION("""COMPUTED_VALUE"""),"カフェで")</f>
        <v>カフェで</v>
      </c>
      <c r="Q43" s="1"/>
      <c r="R43" s="1" t="str">
        <f>IFERROR(__xludf.DUMMYFUNCTION("""COMPUTED_VALUE"""),"毎日")</f>
        <v>毎日</v>
      </c>
      <c r="S43" s="1" t="str">
        <f>IFERROR(__xludf.DUMMYFUNCTION("""COMPUTED_VALUE"""),"習慣として")</f>
        <v>習慣として</v>
      </c>
      <c r="T43" s="1"/>
      <c r="U43" s="1" t="str">
        <f>IFERROR(__xludf.DUMMYFUNCTION("""COMPUTED_VALUE"""),"雰囲気・心地良さ")</f>
        <v>雰囲気・心地良さ</v>
      </c>
      <c r="V43" s="1"/>
      <c r="W43" s="1" t="str">
        <f>IFERROR(__xludf.DUMMYFUNCTION("""COMPUTED_VALUE"""),"いいえ")</f>
        <v>いいえ</v>
      </c>
      <c r="X43" s="1" t="str">
        <f>IFERROR(__xludf.DUMMYFUNCTION("""COMPUTED_VALUE"""),"はい（日本的）")</f>
        <v>はい（日本的）</v>
      </c>
      <c r="Y43" s="1">
        <f>IFERROR(__xludf.DUMMYFUNCTION("""COMPUTED_VALUE"""),6.0)</f>
        <v>6</v>
      </c>
      <c r="Z43" s="1">
        <f>IFERROR(__xludf.DUMMYFUNCTION("""COMPUTED_VALUE"""),6.0)</f>
        <v>6</v>
      </c>
      <c r="AA43" s="1">
        <f>IFERROR(__xludf.DUMMYFUNCTION("""COMPUTED_VALUE"""),7.0)</f>
        <v>7</v>
      </c>
      <c r="AB43" s="1" t="str">
        <f>IFERROR(__xludf.DUMMYFUNCTION("""COMPUTED_VALUE"""),"いいえ")</f>
        <v>いいえ</v>
      </c>
      <c r="AK43" s="1" t="s">
        <v>166</v>
      </c>
      <c r="AL43" s="1" t="s">
        <v>167</v>
      </c>
      <c r="AM43" s="5">
        <v>46046.104837962965</v>
      </c>
      <c r="AN43" s="1" t="s">
        <v>41</v>
      </c>
      <c r="AO43" s="1" t="s">
        <v>28</v>
      </c>
      <c r="AP43" s="1" t="s">
        <v>52</v>
      </c>
      <c r="AQ43" s="1" t="s">
        <v>30</v>
      </c>
      <c r="AR43" s="1" t="s">
        <v>44</v>
      </c>
      <c r="AS43" s="1" t="s">
        <v>128</v>
      </c>
      <c r="AU43" s="1" t="s">
        <v>74</v>
      </c>
      <c r="AV43" s="1" t="s">
        <v>59</v>
      </c>
      <c r="AX43" s="1" t="str">
        <f>IFERROR(__xludf.DUMMYFUNCTION("""COMPUTED_VALUE"""),"Taste/Flavor, Energy boost/Caffeine")</f>
        <v>Taste/Flavor, Energy boost/Caffeine</v>
      </c>
      <c r="AZ43" s="1" t="str">
        <f>IFERROR(__xludf.DUMMYFUNCTION("""COMPUTED_VALUE"""),"At cafés")</f>
        <v>At cafés</v>
      </c>
      <c r="BB43" s="1" t="s">
        <v>44</v>
      </c>
      <c r="BC43" s="1" t="s">
        <v>82</v>
      </c>
      <c r="BE43" s="1" t="s">
        <v>35</v>
      </c>
      <c r="BG43" s="1" t="s">
        <v>38</v>
      </c>
      <c r="BH43" s="1" t="s">
        <v>37</v>
      </c>
      <c r="BI43" s="1">
        <v>6.0</v>
      </c>
      <c r="BJ43" s="1">
        <v>6.0</v>
      </c>
      <c r="BK43" s="1">
        <v>7.0</v>
      </c>
      <c r="BL43" s="1" t="s">
        <v>38</v>
      </c>
    </row>
    <row r="44">
      <c r="A44" s="1" t="str">
        <f>IFERROR(__xludf.DUMMYFUNCTION("""COMPUTED_VALUE"""),"xXqPPd9")</f>
        <v>xXqPPd9</v>
      </c>
      <c r="B44" s="1" t="str">
        <f>IFERROR(__xludf.DUMMYFUNCTION("""COMPUTED_VALUE"""),"2EeZ8Ej")</f>
        <v>2EeZ8Ej</v>
      </c>
      <c r="C44" s="5">
        <f>IFERROR(__xludf.DUMMYFUNCTION("""COMPUTED_VALUE"""),46046.181608796294)</f>
        <v>46046.18161</v>
      </c>
      <c r="D44" s="1" t="str">
        <f>IFERROR(__xludf.DUMMYFUNCTION("""COMPUTED_VALUE"""),"18〜25歳")</f>
        <v>18〜25歳</v>
      </c>
      <c r="E44" s="1" t="str">
        <f>IFERROR(__xludf.DUMMYFUNCTION("""COMPUTED_VALUE"""),"男性")</f>
        <v>男性</v>
      </c>
      <c r="F44" s="1" t="str">
        <f>IFERROR(__xludf.DUMMYFUNCTION("""COMPUTED_VALUE"""),"600万円〜899万9,999円")</f>
        <v>600万円〜899万9,999円</v>
      </c>
      <c r="G44" s="1" t="str">
        <f>IFERROR(__xludf.DUMMYFUNCTION("""COMPUTED_VALUE"""),"関東")</f>
        <v>関東</v>
      </c>
      <c r="H44" s="1" t="str">
        <f>IFERROR(__xludf.DUMMYFUNCTION("""COMPUTED_VALUE"""),"週に数回")</f>
        <v>週に数回</v>
      </c>
      <c r="I44" s="1" t="str">
        <f>IFERROR(__xludf.DUMMYFUNCTION("""COMPUTED_VALUE"""),"プアオーバー（ハンドドリップ）")</f>
        <v>プアオーバー（ハンドドリップ）</v>
      </c>
      <c r="J44" s="1"/>
      <c r="K44" s="1" t="str">
        <f>IFERROR(__xludf.DUMMYFUNCTION("""COMPUTED_VALUE"""),"ほとんど飲まない")</f>
        <v>ほとんど飲まない</v>
      </c>
      <c r="L44" s="1"/>
      <c r="M44" s="1"/>
      <c r="N44" s="1" t="str">
        <f>IFERROR(__xludf.DUMMYFUNCTION("""COMPUTED_VALUE"""),"味・風味, 社交的な場や雰囲気の考慮")</f>
        <v>味・風味, 社交的な場や雰囲気の考慮</v>
      </c>
      <c r="O44" s="1"/>
      <c r="P44" s="1" t="str">
        <f>IFERROR(__xludf.DUMMYFUNCTION("""COMPUTED_VALUE"""),"自宅で, カフェで")</f>
        <v>自宅で, カフェで</v>
      </c>
      <c r="Q44" s="1"/>
      <c r="R44" s="1" t="str">
        <f>IFERROR(__xludf.DUMMYFUNCTION("""COMPUTED_VALUE"""),"週に数回")</f>
        <v>週に数回</v>
      </c>
      <c r="S44" s="1" t="str">
        <f>IFERROR(__xludf.DUMMYFUNCTION("""COMPUTED_VALUE"""),"勉強・仕事をするため")</f>
        <v>勉強・仕事をするため</v>
      </c>
      <c r="T44" s="1"/>
      <c r="U44" s="1" t="str">
        <f>IFERROR(__xludf.DUMMYFUNCTION("""COMPUTED_VALUE"""),"雰囲気・心地良さ")</f>
        <v>雰囲気・心地良さ</v>
      </c>
      <c r="V44" s="1"/>
      <c r="W44" s="1" t="str">
        <f>IFERROR(__xludf.DUMMYFUNCTION("""COMPUTED_VALUE"""),"いいえ")</f>
        <v>いいえ</v>
      </c>
      <c r="X44" s="1" t="str">
        <f>IFERROR(__xludf.DUMMYFUNCTION("""COMPUTED_VALUE"""),"はい（日本的）")</f>
        <v>はい（日本的）</v>
      </c>
      <c r="Y44" s="1">
        <f>IFERROR(__xludf.DUMMYFUNCTION("""COMPUTED_VALUE"""),6.0)</f>
        <v>6</v>
      </c>
      <c r="Z44" s="1">
        <f>IFERROR(__xludf.DUMMYFUNCTION("""COMPUTED_VALUE"""),6.0)</f>
        <v>6</v>
      </c>
      <c r="AA44" s="1">
        <f>IFERROR(__xludf.DUMMYFUNCTION("""COMPUTED_VALUE"""),7.0)</f>
        <v>7</v>
      </c>
      <c r="AB44" s="1" t="str">
        <f>IFERROR(__xludf.DUMMYFUNCTION("""COMPUTED_VALUE"""),"いいえ")</f>
        <v>いいえ</v>
      </c>
      <c r="AK44" s="1" t="s">
        <v>168</v>
      </c>
      <c r="AL44" s="1" t="s">
        <v>169</v>
      </c>
      <c r="AM44" s="5">
        <v>46046.181608796294</v>
      </c>
      <c r="AN44" s="1" t="s">
        <v>41</v>
      </c>
      <c r="AO44" s="1" t="s">
        <v>42</v>
      </c>
      <c r="AP44" s="1" t="s">
        <v>43</v>
      </c>
      <c r="AQ44" s="1" t="s">
        <v>30</v>
      </c>
      <c r="AR44" s="1" t="s">
        <v>31</v>
      </c>
      <c r="AS44" s="1" t="s">
        <v>53</v>
      </c>
      <c r="AU44" s="1" t="s">
        <v>74</v>
      </c>
      <c r="AV44" s="1" t="s">
        <v>104</v>
      </c>
      <c r="AX44" s="1" t="str">
        <f>IFERROR(__xludf.DUMMYFUNCTION("""COMPUTED_VALUE"""),"Taste/Flavor, Social atmosphere")</f>
        <v>Taste/Flavor, Social atmosphere</v>
      </c>
      <c r="AZ44" s="1" t="str">
        <f>IFERROR(__xludf.DUMMYFUNCTION("""COMPUTED_VALUE"""),"At home, At cafés")</f>
        <v>At home, At cafés</v>
      </c>
      <c r="BB44" s="1" t="s">
        <v>31</v>
      </c>
      <c r="BC44" s="1" t="s">
        <v>75</v>
      </c>
      <c r="BE44" s="1" t="s">
        <v>35</v>
      </c>
      <c r="BG44" s="1" t="s">
        <v>38</v>
      </c>
      <c r="BH44" s="1" t="s">
        <v>37</v>
      </c>
      <c r="BI44" s="1">
        <v>6.0</v>
      </c>
      <c r="BJ44" s="1">
        <v>6.0</v>
      </c>
      <c r="BK44" s="1">
        <v>7.0</v>
      </c>
      <c r="BL44" s="1" t="s">
        <v>38</v>
      </c>
    </row>
    <row r="45">
      <c r="A45" s="1" t="str">
        <f>IFERROR(__xludf.DUMMYFUNCTION("""COMPUTED_VALUE"""),"QKZxNdp")</f>
        <v>QKZxNdp</v>
      </c>
      <c r="B45" s="1" t="str">
        <f>IFERROR(__xludf.DUMMYFUNCTION("""COMPUTED_VALUE"""),"RG0lj0d")</f>
        <v>RG0lj0d</v>
      </c>
      <c r="C45" s="5">
        <f>IFERROR(__xludf.DUMMYFUNCTION("""COMPUTED_VALUE"""),46046.659050925926)</f>
        <v>46046.65905</v>
      </c>
      <c r="D45" s="1" t="str">
        <f>IFERROR(__xludf.DUMMYFUNCTION("""COMPUTED_VALUE"""),"26〜35歳")</f>
        <v>26〜35歳</v>
      </c>
      <c r="E45" s="1" t="str">
        <f>IFERROR(__xludf.DUMMYFUNCTION("""COMPUTED_VALUE"""),"男性")</f>
        <v>男性</v>
      </c>
      <c r="F45" s="1" t="str">
        <f>IFERROR(__xludf.DUMMYFUNCTION("""COMPUTED_VALUE"""),"300万円〜599万9,999円")</f>
        <v>300万円〜599万9,999円</v>
      </c>
      <c r="G45" s="1" t="str">
        <f>IFERROR(__xludf.DUMMYFUNCTION("""COMPUTED_VALUE"""),"関東")</f>
        <v>関東</v>
      </c>
      <c r="H45" s="1" t="str">
        <f>IFERROR(__xludf.DUMMYFUNCTION("""COMPUTED_VALUE"""),"ほとんど飲まない")</f>
        <v>ほとんど飲まない</v>
      </c>
      <c r="I45" s="1" t="str">
        <f>IFERROR(__xludf.DUMMYFUNCTION("""COMPUTED_VALUE"""),"コーヒーは飲まない")</f>
        <v>コーヒーは飲まない</v>
      </c>
      <c r="J45" s="1"/>
      <c r="K45" s="1" t="str">
        <f>IFERROR(__xludf.DUMMYFUNCTION("""COMPUTED_VALUE"""),"週に数回")</f>
        <v>週に数回</v>
      </c>
      <c r="L45" s="1" t="str">
        <f>IFERROR(__xludf.DUMMYFUNCTION("""COMPUTED_VALUE"""),"抹茶ラテ")</f>
        <v>抹茶ラテ</v>
      </c>
      <c r="M45" s="1"/>
      <c r="N45" s="1" t="str">
        <f>IFERROR(__xludf.DUMMYFUNCTION("""COMPUTED_VALUE"""),"味・風味, 新しいものを試したい")</f>
        <v>味・風味, 新しいものを試したい</v>
      </c>
      <c r="O45" s="1"/>
      <c r="P45" s="1" t="str">
        <f>IFERROR(__xludf.DUMMYFUNCTION("""COMPUTED_VALUE"""),"カフェで")</f>
        <v>カフェで</v>
      </c>
      <c r="Q45" s="1"/>
      <c r="R45" s="1" t="str">
        <f>IFERROR(__xludf.DUMMYFUNCTION("""COMPUTED_VALUE"""),"月に数回")</f>
        <v>月に数回</v>
      </c>
      <c r="S45" s="1" t="str">
        <f>IFERROR(__xludf.DUMMYFUNCTION("""COMPUTED_VALUE"""),"友人と会うため")</f>
        <v>友人と会うため</v>
      </c>
      <c r="T45" s="1"/>
      <c r="U45" s="1" t="str">
        <f>IFERROR(__xludf.DUMMYFUNCTION("""COMPUTED_VALUE"""),"雰囲気・心地良さ")</f>
        <v>雰囲気・心地良さ</v>
      </c>
      <c r="V45" s="1"/>
      <c r="W45" s="1" t="str">
        <f>IFERROR(__xludf.DUMMYFUNCTION("""COMPUTED_VALUE"""),"わからない")</f>
        <v>わからない</v>
      </c>
      <c r="X45" s="1" t="str">
        <f>IFERROR(__xludf.DUMMYFUNCTION("""COMPUTED_VALUE"""),"はい（日本的）")</f>
        <v>はい（日本的）</v>
      </c>
      <c r="Y45" s="1">
        <f>IFERROR(__xludf.DUMMYFUNCTION("""COMPUTED_VALUE"""),0.0)</f>
        <v>0</v>
      </c>
      <c r="Z45" s="1">
        <f>IFERROR(__xludf.DUMMYFUNCTION("""COMPUTED_VALUE"""),7.0)</f>
        <v>7</v>
      </c>
      <c r="AA45" s="1">
        <f>IFERROR(__xludf.DUMMYFUNCTION("""COMPUTED_VALUE"""),6.0)</f>
        <v>6</v>
      </c>
      <c r="AB45" s="1" t="str">
        <f>IFERROR(__xludf.DUMMYFUNCTION("""COMPUTED_VALUE"""),"いいえ")</f>
        <v>いいえ</v>
      </c>
      <c r="AK45" s="1" t="s">
        <v>170</v>
      </c>
      <c r="AL45" s="1" t="s">
        <v>171</v>
      </c>
      <c r="AM45" s="5">
        <v>46046.659050925926</v>
      </c>
      <c r="AN45" s="1" t="s">
        <v>27</v>
      </c>
      <c r="AO45" s="1" t="s">
        <v>42</v>
      </c>
      <c r="AP45" s="1" t="s">
        <v>64</v>
      </c>
      <c r="AQ45" s="1" t="s">
        <v>30</v>
      </c>
      <c r="AR45" s="1" t="s">
        <v>74</v>
      </c>
      <c r="AS45" s="1" t="s">
        <v>172</v>
      </c>
      <c r="AU45" s="1" t="s">
        <v>31</v>
      </c>
      <c r="AV45" s="1" t="s">
        <v>59</v>
      </c>
      <c r="AX45" s="1" t="str">
        <f>IFERROR(__xludf.DUMMYFUNCTION("""COMPUTED_VALUE"""),"Taste/Flavor, To try new things")</f>
        <v>Taste/Flavor, To try new things</v>
      </c>
      <c r="AZ45" s="1" t="str">
        <f>IFERROR(__xludf.DUMMYFUNCTION("""COMPUTED_VALUE"""),"At cafés")</f>
        <v>At cafés</v>
      </c>
      <c r="BB45" s="1" t="s">
        <v>60</v>
      </c>
      <c r="BC45" s="1" t="s">
        <v>34</v>
      </c>
      <c r="BE45" s="1" t="s">
        <v>35</v>
      </c>
      <c r="BG45" s="1" t="s">
        <v>66</v>
      </c>
      <c r="BH45" s="1" t="s">
        <v>37</v>
      </c>
      <c r="BI45" s="1">
        <v>0.0</v>
      </c>
      <c r="BJ45" s="1">
        <v>7.0</v>
      </c>
      <c r="BK45" s="1">
        <v>6.0</v>
      </c>
      <c r="BL45" s="1" t="s">
        <v>38</v>
      </c>
    </row>
    <row r="46">
      <c r="A46" s="1" t="str">
        <f>IFERROR(__xludf.DUMMYFUNCTION("""COMPUTED_VALUE"""),"LZrOWjz")</f>
        <v>LZrOWjz</v>
      </c>
      <c r="B46" s="1" t="str">
        <f>IFERROR(__xludf.DUMMYFUNCTION("""COMPUTED_VALUE"""),"RG0QBEK")</f>
        <v>RG0QBEK</v>
      </c>
      <c r="C46" s="5">
        <f>IFERROR(__xludf.DUMMYFUNCTION("""COMPUTED_VALUE"""),46047.76725694445)</f>
        <v>46047.76726</v>
      </c>
      <c r="D46" s="1" t="str">
        <f>IFERROR(__xludf.DUMMYFUNCTION("""COMPUTED_VALUE"""),"46〜55歳")</f>
        <v>46〜55歳</v>
      </c>
      <c r="E46" s="1" t="str">
        <f>IFERROR(__xludf.DUMMYFUNCTION("""COMPUTED_VALUE"""),"女性")</f>
        <v>女性</v>
      </c>
      <c r="F46" s="1" t="str">
        <f>IFERROR(__xludf.DUMMYFUNCTION("""COMPUTED_VALUE"""),"回答しない")</f>
        <v>回答しない</v>
      </c>
      <c r="G46" s="1" t="str">
        <f>IFERROR(__xludf.DUMMYFUNCTION("""COMPUTED_VALUE"""),"日本には住んでいない")</f>
        <v>日本には住んでいない</v>
      </c>
      <c r="H46" s="1" t="str">
        <f>IFERROR(__xludf.DUMMYFUNCTION("""COMPUTED_VALUE"""),"毎日")</f>
        <v>毎日</v>
      </c>
      <c r="I46" s="1" t="str">
        <f>IFERROR(__xludf.DUMMYFUNCTION("""COMPUTED_VALUE"""),"ドリップコーヒー")</f>
        <v>ドリップコーヒー</v>
      </c>
      <c r="J46" s="1"/>
      <c r="K46" s="1" t="str">
        <f>IFERROR(__xludf.DUMMYFUNCTION("""COMPUTED_VALUE"""),"まったく飲まない")</f>
        <v>まったく飲まない</v>
      </c>
      <c r="L46" s="1"/>
      <c r="M46" s="1"/>
      <c r="N46" s="1" t="str">
        <f>IFERROR(__xludf.DUMMYFUNCTION("""COMPUTED_VALUE"""),"習慣, 価格")</f>
        <v>習慣, 価格</v>
      </c>
      <c r="O46" s="1"/>
      <c r="P46" s="1"/>
      <c r="Q46" s="1"/>
      <c r="R46" s="1" t="str">
        <f>IFERROR(__xludf.DUMMYFUNCTION("""COMPUTED_VALUE"""),"ほとんど行かない")</f>
        <v>ほとんど行かない</v>
      </c>
      <c r="S46" s="1"/>
      <c r="T46" s="1"/>
      <c r="U46" s="1"/>
      <c r="V46" s="1"/>
      <c r="W46" s="1" t="str">
        <f>IFERROR(__xludf.DUMMYFUNCTION("""COMPUTED_VALUE"""),"いいえ")</f>
        <v>いいえ</v>
      </c>
      <c r="X46" s="1" t="str">
        <f>IFERROR(__xludf.DUMMYFUNCTION("""COMPUTED_VALUE"""),"はい（日本的）")</f>
        <v>はい（日本的）</v>
      </c>
      <c r="Y46" s="1"/>
      <c r="Z46" s="1"/>
      <c r="AA46" s="1"/>
      <c r="AB46" s="1"/>
      <c r="AK46" s="1" t="s">
        <v>173</v>
      </c>
      <c r="AL46" s="1" t="s">
        <v>174</v>
      </c>
      <c r="AM46" s="5">
        <v>46047.76725694445</v>
      </c>
      <c r="AN46" s="1" t="s">
        <v>95</v>
      </c>
      <c r="AO46" s="1" t="s">
        <v>28</v>
      </c>
      <c r="AP46" s="1" t="s">
        <v>52</v>
      </c>
      <c r="AQ46" s="1" t="s">
        <v>175</v>
      </c>
      <c r="AR46" s="1" t="s">
        <v>44</v>
      </c>
      <c r="AS46" s="1" t="s">
        <v>32</v>
      </c>
      <c r="AU46" s="1" t="s">
        <v>103</v>
      </c>
      <c r="AV46" s="1" t="s">
        <v>104</v>
      </c>
      <c r="AX46" s="1" t="str">
        <f>IFERROR(__xludf.DUMMYFUNCTION("""COMPUTED_VALUE"""),"Routine/Ritual, Price")</f>
        <v>Routine/Ritual, Price</v>
      </c>
      <c r="AZ46" s="1" t="str">
        <f>IFERROR(__xludf.DUMMYFUNCTION("""COMPUTED_VALUE"""),"")</f>
        <v/>
      </c>
      <c r="BB46" s="1" t="s">
        <v>74</v>
      </c>
      <c r="BC46" s="1" t="s">
        <v>104</v>
      </c>
      <c r="BE46" s="1" t="s">
        <v>104</v>
      </c>
      <c r="BG46" s="1" t="s">
        <v>38</v>
      </c>
      <c r="BH46" s="1" t="s">
        <v>37</v>
      </c>
      <c r="BI46" s="1" t="s">
        <v>104</v>
      </c>
      <c r="BJ46" s="1" t="s">
        <v>104</v>
      </c>
      <c r="BK46" s="1" t="s">
        <v>104</v>
      </c>
      <c r="BL46" s="1" t="s">
        <v>104</v>
      </c>
    </row>
    <row r="47">
      <c r="A47" s="1" t="str">
        <f>IFERROR(__xludf.DUMMYFUNCTION("""COMPUTED_VALUE"""),"dWMpYWq")</f>
        <v>dWMpYWq</v>
      </c>
      <c r="B47" s="1" t="str">
        <f>IFERROR(__xludf.DUMMYFUNCTION("""COMPUTED_VALUE"""),"eq6gKzq")</f>
        <v>eq6gKzq</v>
      </c>
      <c r="C47" s="5">
        <f>IFERROR(__xludf.DUMMYFUNCTION("""COMPUTED_VALUE"""),46048.39412037037)</f>
        <v>46048.39412</v>
      </c>
      <c r="D47" s="1" t="str">
        <f>IFERROR(__xludf.DUMMYFUNCTION("""COMPUTED_VALUE"""),"56〜65歳")</f>
        <v>56〜65歳</v>
      </c>
      <c r="E47" s="1" t="str">
        <f>IFERROR(__xludf.DUMMYFUNCTION("""COMPUTED_VALUE"""),"男性")</f>
        <v>男性</v>
      </c>
      <c r="F47" s="1" t="str">
        <f>IFERROR(__xludf.DUMMYFUNCTION("""COMPUTED_VALUE"""),"900万円〜1,199万9,999円")</f>
        <v>900万円〜1,199万9,999円</v>
      </c>
      <c r="G47" s="1" t="str">
        <f>IFERROR(__xludf.DUMMYFUNCTION("""COMPUTED_VALUE"""),"関東")</f>
        <v>関東</v>
      </c>
      <c r="H47" s="1" t="str">
        <f>IFERROR(__xludf.DUMMYFUNCTION("""COMPUTED_VALUE"""),"毎日")</f>
        <v>毎日</v>
      </c>
      <c r="I47" s="1" t="str">
        <f>IFERROR(__xludf.DUMMYFUNCTION("""COMPUTED_VALUE"""),"その他:")</f>
        <v>その他:</v>
      </c>
      <c r="J47" s="1" t="str">
        <f>IFERROR(__xludf.DUMMYFUNCTION("""COMPUTED_VALUE"""),"Iインスタントコーヒー")</f>
        <v>Iインスタントコーヒー</v>
      </c>
      <c r="K47" s="1" t="str">
        <f>IFERROR(__xludf.DUMMYFUNCTION("""COMPUTED_VALUE"""),"ほとんど飲まない")</f>
        <v>ほとんど飲まない</v>
      </c>
      <c r="L47" s="1" t="str">
        <f>IFERROR(__xludf.DUMMYFUNCTION("""COMPUTED_VALUE"""),"その他：")</f>
        <v>その他：</v>
      </c>
      <c r="M47" s="1" t="str">
        <f>IFERROR(__xludf.DUMMYFUNCTION("""COMPUTED_VALUE"""),"1年に数回スターバックスで抹茶ラテ")</f>
        <v>1年に数回スターバックスで抹茶ラテ</v>
      </c>
      <c r="N47" s="1" t="str">
        <f>IFERROR(__xludf.DUMMYFUNCTION("""COMPUTED_VALUE"""),"社交的な場や雰囲気の考慮")</f>
        <v>社交的な場や雰囲気の考慮</v>
      </c>
      <c r="O47" s="1"/>
      <c r="P47" s="1" t="str">
        <f>IFERROR(__xludf.DUMMYFUNCTION("""COMPUTED_VALUE"""),"自宅で")</f>
        <v>自宅で</v>
      </c>
      <c r="Q47" s="1" t="str">
        <f>IFERROR(__xludf.DUMMYFUNCTION("""COMPUTED_VALUE"""),"カフェ")</f>
        <v>カフェ</v>
      </c>
      <c r="R47" s="1" t="str">
        <f>IFERROR(__xludf.DUMMYFUNCTION("""COMPUTED_VALUE"""),"月に数回")</f>
        <v>月に数回</v>
      </c>
      <c r="S47" s="1" t="str">
        <f>IFERROR(__xludf.DUMMYFUNCTION("""COMPUTED_VALUE"""),"休憩・リラックスするため")</f>
        <v>休憩・リラックスするため</v>
      </c>
      <c r="T47" s="1"/>
      <c r="U47" s="1" t="str">
        <f>IFERROR(__xludf.DUMMYFUNCTION("""COMPUTED_VALUE"""),"雰囲気・心地良さ")</f>
        <v>雰囲気・心地良さ</v>
      </c>
      <c r="V47" s="1"/>
      <c r="W47" s="1" t="str">
        <f>IFERROR(__xludf.DUMMYFUNCTION("""COMPUTED_VALUE"""),"いいえ")</f>
        <v>いいえ</v>
      </c>
      <c r="X47" s="1" t="str">
        <f>IFERROR(__xludf.DUMMYFUNCTION("""COMPUTED_VALUE"""),"はい（日本的）")</f>
        <v>はい（日本的）</v>
      </c>
      <c r="Y47" s="1">
        <f>IFERROR(__xludf.DUMMYFUNCTION("""COMPUTED_VALUE"""),7.0)</f>
        <v>7</v>
      </c>
      <c r="Z47" s="1">
        <f>IFERROR(__xludf.DUMMYFUNCTION("""COMPUTED_VALUE"""),7.0)</f>
        <v>7</v>
      </c>
      <c r="AA47" s="1">
        <f>IFERROR(__xludf.DUMMYFUNCTION("""COMPUTED_VALUE"""),7.0)</f>
        <v>7</v>
      </c>
      <c r="AB47" s="1" t="str">
        <f>IFERROR(__xludf.DUMMYFUNCTION("""COMPUTED_VALUE"""),"いいえ")</f>
        <v>いいえ</v>
      </c>
      <c r="AK47" s="1" t="s">
        <v>176</v>
      </c>
      <c r="AL47" s="1" t="s">
        <v>177</v>
      </c>
      <c r="AM47" s="5">
        <v>46048.39412037037</v>
      </c>
      <c r="AN47" s="1" t="s">
        <v>88</v>
      </c>
      <c r="AO47" s="1" t="s">
        <v>42</v>
      </c>
      <c r="AP47" s="1" t="s">
        <v>121</v>
      </c>
      <c r="AQ47" s="1" t="s">
        <v>30</v>
      </c>
      <c r="AR47" s="1" t="s">
        <v>44</v>
      </c>
      <c r="AS47" s="1" t="s">
        <v>54</v>
      </c>
      <c r="AT47" s="6" t="s">
        <v>178</v>
      </c>
      <c r="AU47" s="1" t="s">
        <v>74</v>
      </c>
      <c r="AV47" s="1" t="s">
        <v>54</v>
      </c>
      <c r="AW47" s="6" t="s">
        <v>179</v>
      </c>
      <c r="AX47" s="1" t="str">
        <f>IFERROR(__xludf.DUMMYFUNCTION("""COMPUTED_VALUE"""),"Social atmosphere")</f>
        <v>Social atmosphere</v>
      </c>
      <c r="AZ47" s="1" t="str">
        <f>IFERROR(__xludf.DUMMYFUNCTION("""COMPUTED_VALUE"""),"At home")</f>
        <v>At home</v>
      </c>
      <c r="BA47" s="6" t="s">
        <v>180</v>
      </c>
      <c r="BB47" s="1" t="s">
        <v>60</v>
      </c>
      <c r="BC47" s="1" t="s">
        <v>61</v>
      </c>
      <c r="BE47" s="1" t="s">
        <v>35</v>
      </c>
      <c r="BG47" s="1" t="s">
        <v>38</v>
      </c>
      <c r="BH47" s="1" t="s">
        <v>37</v>
      </c>
      <c r="BI47" s="1">
        <v>7.0</v>
      </c>
      <c r="BJ47" s="1">
        <v>7.0</v>
      </c>
      <c r="BK47" s="1">
        <v>7.0</v>
      </c>
      <c r="BL47" s="1" t="s">
        <v>38</v>
      </c>
    </row>
    <row r="48">
      <c r="A48" s="1" t="str">
        <f>IFERROR(__xludf.DUMMYFUNCTION("""COMPUTED_VALUE"""),"OD2gPRA")</f>
        <v>OD2gPRA</v>
      </c>
      <c r="B48" s="1" t="str">
        <f>IFERROR(__xludf.DUMMYFUNCTION("""COMPUTED_VALUE"""),"kdy8J4J")</f>
        <v>kdy8J4J</v>
      </c>
      <c r="C48" s="5">
        <f>IFERROR(__xludf.DUMMYFUNCTION("""COMPUTED_VALUE"""),46048.40122685185)</f>
        <v>46048.40123</v>
      </c>
      <c r="D48" s="1" t="str">
        <f>IFERROR(__xludf.DUMMYFUNCTION("""COMPUTED_VALUE"""),"46〜55歳")</f>
        <v>46〜55歳</v>
      </c>
      <c r="E48" s="1" t="str">
        <f>IFERROR(__xludf.DUMMYFUNCTION("""COMPUTED_VALUE"""),"女性")</f>
        <v>女性</v>
      </c>
      <c r="F48" s="1" t="str">
        <f>IFERROR(__xludf.DUMMYFUNCTION("""COMPUTED_VALUE"""),"900万円〜1,199万9,999円")</f>
        <v>900万円〜1,199万9,999円</v>
      </c>
      <c r="G48" s="1" t="str">
        <f>IFERROR(__xludf.DUMMYFUNCTION("""COMPUTED_VALUE"""),"関東")</f>
        <v>関東</v>
      </c>
      <c r="H48" s="1" t="str">
        <f>IFERROR(__xludf.DUMMYFUNCTION("""COMPUTED_VALUE"""),"毎日")</f>
        <v>毎日</v>
      </c>
      <c r="I48" s="1" t="str">
        <f>IFERROR(__xludf.DUMMYFUNCTION("""COMPUTED_VALUE"""),"ラテ")</f>
        <v>ラテ</v>
      </c>
      <c r="J48" s="1"/>
      <c r="K48" s="1" t="str">
        <f>IFERROR(__xludf.DUMMYFUNCTION("""COMPUTED_VALUE"""),"ほとんど飲まない")</f>
        <v>ほとんど飲まない</v>
      </c>
      <c r="L48" s="1" t="str">
        <f>IFERROR(__xludf.DUMMYFUNCTION("""COMPUTED_VALUE"""),"薄茶")</f>
        <v>薄茶</v>
      </c>
      <c r="M48" s="1"/>
      <c r="N48" s="1" t="str">
        <f>IFERROR(__xludf.DUMMYFUNCTION("""COMPUTED_VALUE"""),"味・風味, 習慣")</f>
        <v>味・風味, 習慣</v>
      </c>
      <c r="O48" s="1"/>
      <c r="P48" s="1" t="str">
        <f>IFERROR(__xludf.DUMMYFUNCTION("""COMPUTED_VALUE"""),"自宅で, コンビニ（セブンイレブン、ローソンなど）, カフェで")</f>
        <v>自宅で, コンビニ（セブンイレブン、ローソンなど）, カフェで</v>
      </c>
      <c r="Q48" s="1"/>
      <c r="R48" s="1" t="str">
        <f>IFERROR(__xludf.DUMMYFUNCTION("""COMPUTED_VALUE"""),"ほとんど行かない")</f>
        <v>ほとんど行かない</v>
      </c>
      <c r="S48" s="1" t="str">
        <f>IFERROR(__xludf.DUMMYFUNCTION("""COMPUTED_VALUE"""),"休憩・リラックスするため")</f>
        <v>休憩・リラックスするため</v>
      </c>
      <c r="T48" s="1"/>
      <c r="U48" s="1" t="str">
        <f>IFERROR(__xludf.DUMMYFUNCTION("""COMPUTED_VALUE"""),"雰囲気・心地良さ")</f>
        <v>雰囲気・心地良さ</v>
      </c>
      <c r="V48" s="1"/>
      <c r="W48" s="1" t="str">
        <f>IFERROR(__xludf.DUMMYFUNCTION("""COMPUTED_VALUE"""),"いいえ")</f>
        <v>いいえ</v>
      </c>
      <c r="X48" s="1" t="str">
        <f>IFERROR(__xludf.DUMMYFUNCTION("""COMPUTED_VALUE"""),"はい（日本的）")</f>
        <v>はい（日本的）</v>
      </c>
      <c r="Y48" s="1">
        <f>IFERROR(__xludf.DUMMYFUNCTION("""COMPUTED_VALUE"""),6.0)</f>
        <v>6</v>
      </c>
      <c r="Z48" s="1">
        <f>IFERROR(__xludf.DUMMYFUNCTION("""COMPUTED_VALUE"""),7.0)</f>
        <v>7</v>
      </c>
      <c r="AA48" s="1">
        <f>IFERROR(__xludf.DUMMYFUNCTION("""COMPUTED_VALUE"""),7.0)</f>
        <v>7</v>
      </c>
      <c r="AB48" s="1" t="str">
        <f>IFERROR(__xludf.DUMMYFUNCTION("""COMPUTED_VALUE"""),"いいえ")</f>
        <v>いいえ</v>
      </c>
      <c r="AK48" s="1" t="s">
        <v>181</v>
      </c>
      <c r="AL48" s="1" t="s">
        <v>182</v>
      </c>
      <c r="AM48" s="5">
        <v>46048.40122685185</v>
      </c>
      <c r="AN48" s="1" t="s">
        <v>95</v>
      </c>
      <c r="AO48" s="1" t="s">
        <v>28</v>
      </c>
      <c r="AP48" s="1" t="s">
        <v>121</v>
      </c>
      <c r="AQ48" s="1" t="s">
        <v>30</v>
      </c>
      <c r="AR48" s="1" t="s">
        <v>44</v>
      </c>
      <c r="AS48" s="1" t="s">
        <v>65</v>
      </c>
      <c r="AU48" s="1" t="s">
        <v>74</v>
      </c>
      <c r="AV48" s="1" t="s">
        <v>33</v>
      </c>
      <c r="AX48" s="1" t="str">
        <f>IFERROR(__xludf.DUMMYFUNCTION("""COMPUTED_VALUE"""),"Taste/Flavor, Routine/Ritual")</f>
        <v>Taste/Flavor, Routine/Ritual</v>
      </c>
      <c r="AZ48" s="1" t="str">
        <f>IFERROR(__xludf.DUMMYFUNCTION("""COMPUTED_VALUE"""),"At home, From convenience stores (7-Eleven, Lawson, etc.), At cafés")</f>
        <v>At home, From convenience stores (7-Eleven, Lawson, etc.), At cafés</v>
      </c>
      <c r="BB48" s="1" t="s">
        <v>74</v>
      </c>
      <c r="BC48" s="1" t="s">
        <v>61</v>
      </c>
      <c r="BE48" s="1" t="s">
        <v>35</v>
      </c>
      <c r="BG48" s="1" t="s">
        <v>38</v>
      </c>
      <c r="BH48" s="1" t="s">
        <v>37</v>
      </c>
      <c r="BI48" s="1">
        <v>6.0</v>
      </c>
      <c r="BJ48" s="1">
        <v>7.0</v>
      </c>
      <c r="BK48" s="1">
        <v>7.0</v>
      </c>
      <c r="BL48" s="1" t="s">
        <v>38</v>
      </c>
    </row>
    <row r="49">
      <c r="A49" s="1" t="str">
        <f>IFERROR(__xludf.DUMMYFUNCTION("""COMPUTED_VALUE"""),"eqJOWJo")</f>
        <v>eqJOWJo</v>
      </c>
      <c r="B49" s="1" t="str">
        <f>IFERROR(__xludf.DUMMYFUNCTION("""COMPUTED_VALUE"""),"eq6VvEk")</f>
        <v>eq6VvEk</v>
      </c>
      <c r="C49" s="5">
        <f>IFERROR(__xludf.DUMMYFUNCTION("""COMPUTED_VALUE"""),46049.31818287037)</f>
        <v>46049.31818</v>
      </c>
      <c r="D49" s="1" t="str">
        <f>IFERROR(__xludf.DUMMYFUNCTION("""COMPUTED_VALUE"""),"56〜65歳")</f>
        <v>56〜65歳</v>
      </c>
      <c r="E49" s="1" t="str">
        <f>IFERROR(__xludf.DUMMYFUNCTION("""COMPUTED_VALUE"""),"女性")</f>
        <v>女性</v>
      </c>
      <c r="F49" s="1" t="str">
        <f>IFERROR(__xludf.DUMMYFUNCTION("""COMPUTED_VALUE"""),"300万円〜599万9,999円")</f>
        <v>300万円〜599万9,999円</v>
      </c>
      <c r="G49" s="1" t="str">
        <f>IFERROR(__xludf.DUMMYFUNCTION("""COMPUTED_VALUE"""),"関西")</f>
        <v>関西</v>
      </c>
      <c r="H49" s="1" t="str">
        <f>IFERROR(__xludf.DUMMYFUNCTION("""COMPUTED_VALUE"""),"毎日")</f>
        <v>毎日</v>
      </c>
      <c r="I49" s="1" t="str">
        <f>IFERROR(__xludf.DUMMYFUNCTION("""COMPUTED_VALUE"""),"ドリップコーヒー")</f>
        <v>ドリップコーヒー</v>
      </c>
      <c r="J49" s="1"/>
      <c r="K49" s="1" t="str">
        <f>IFERROR(__xludf.DUMMYFUNCTION("""COMPUTED_VALUE"""),"ほとんど飲まない")</f>
        <v>ほとんど飲まない</v>
      </c>
      <c r="L49" s="1" t="str">
        <f>IFERROR(__xludf.DUMMYFUNCTION("""COMPUTED_VALUE"""),"その他：")</f>
        <v>その他：</v>
      </c>
      <c r="M49" s="1" t="str">
        <f>IFERROR(__xludf.DUMMYFUNCTION("""COMPUTED_VALUE"""),"緑茶は食事でのむ")</f>
        <v>緑茶は食事でのむ</v>
      </c>
      <c r="N49" s="1" t="str">
        <f>IFERROR(__xludf.DUMMYFUNCTION("""COMPUTED_VALUE"""),"味・風味, 習慣")</f>
        <v>味・風味, 習慣</v>
      </c>
      <c r="O49" s="1"/>
      <c r="P49" s="1" t="str">
        <f>IFERROR(__xludf.DUMMYFUNCTION("""COMPUTED_VALUE"""),"カフェで, 自宅で")</f>
        <v>カフェで, 自宅で</v>
      </c>
      <c r="Q49" s="1"/>
      <c r="R49" s="1" t="str">
        <f>IFERROR(__xludf.DUMMYFUNCTION("""COMPUTED_VALUE"""),"週に数回")</f>
        <v>週に数回</v>
      </c>
      <c r="S49" s="1" t="str">
        <f>IFERROR(__xludf.DUMMYFUNCTION("""COMPUTED_VALUE"""),"休憩・リラックスするため")</f>
        <v>休憩・リラックスするため</v>
      </c>
      <c r="T49" s="1"/>
      <c r="U49" s="1" t="str">
        <f>IFERROR(__xludf.DUMMYFUNCTION("""COMPUTED_VALUE"""),"雰囲気・心地良さ")</f>
        <v>雰囲気・心地良さ</v>
      </c>
      <c r="V49" s="1"/>
      <c r="W49" s="1" t="str">
        <f>IFERROR(__xludf.DUMMYFUNCTION("""COMPUTED_VALUE"""),"いいえ")</f>
        <v>いいえ</v>
      </c>
      <c r="X49" s="1" t="str">
        <f>IFERROR(__xludf.DUMMYFUNCTION("""COMPUTED_VALUE"""),"はい（日本的）")</f>
        <v>はい（日本的）</v>
      </c>
      <c r="Y49" s="1">
        <f>IFERROR(__xludf.DUMMYFUNCTION("""COMPUTED_VALUE"""),4.0)</f>
        <v>4</v>
      </c>
      <c r="Z49" s="1">
        <f>IFERROR(__xludf.DUMMYFUNCTION("""COMPUTED_VALUE"""),6.0)</f>
        <v>6</v>
      </c>
      <c r="AA49" s="1">
        <f>IFERROR(__xludf.DUMMYFUNCTION("""COMPUTED_VALUE"""),5.0)</f>
        <v>5</v>
      </c>
      <c r="AB49" s="1" t="str">
        <f>IFERROR(__xludf.DUMMYFUNCTION("""COMPUTED_VALUE"""),"いいえ")</f>
        <v>いいえ</v>
      </c>
      <c r="AK49" s="1" t="s">
        <v>183</v>
      </c>
      <c r="AL49" s="1" t="s">
        <v>184</v>
      </c>
      <c r="AM49" s="5">
        <v>46049.31818287037</v>
      </c>
      <c r="AN49" s="1" t="s">
        <v>88</v>
      </c>
      <c r="AO49" s="1" t="s">
        <v>28</v>
      </c>
      <c r="AP49" s="1" t="s">
        <v>64</v>
      </c>
      <c r="AQ49" s="1" t="s">
        <v>90</v>
      </c>
      <c r="AR49" s="1" t="s">
        <v>44</v>
      </c>
      <c r="AS49" s="1" t="s">
        <v>32</v>
      </c>
      <c r="AU49" s="1" t="s">
        <v>74</v>
      </c>
      <c r="AV49" s="1" t="s">
        <v>54</v>
      </c>
      <c r="AW49" s="6" t="s">
        <v>185</v>
      </c>
      <c r="AX49" s="1" t="str">
        <f>IFERROR(__xludf.DUMMYFUNCTION("""COMPUTED_VALUE"""),"Taste/Flavor, Routine/Ritual")</f>
        <v>Taste/Flavor, Routine/Ritual</v>
      </c>
      <c r="AZ49" s="1" t="str">
        <f>IFERROR(__xludf.DUMMYFUNCTION("""COMPUTED_VALUE"""),"At cafés, At home")</f>
        <v>At cafés, At home</v>
      </c>
      <c r="BB49" s="1" t="s">
        <v>31</v>
      </c>
      <c r="BC49" s="1" t="s">
        <v>61</v>
      </c>
      <c r="BE49" s="1" t="s">
        <v>35</v>
      </c>
      <c r="BG49" s="1" t="s">
        <v>38</v>
      </c>
      <c r="BH49" s="1" t="s">
        <v>37</v>
      </c>
      <c r="BI49" s="1">
        <v>4.0</v>
      </c>
      <c r="BJ49" s="1">
        <v>6.0</v>
      </c>
      <c r="BK49" s="1">
        <v>5.0</v>
      </c>
      <c r="BL49" s="1" t="s">
        <v>38</v>
      </c>
    </row>
    <row r="50">
      <c r="A50" s="1" t="str">
        <f>IFERROR(__xludf.DUMMYFUNCTION("""COMPUTED_VALUE"""),"kd2VEeR")</f>
        <v>kd2VEeR</v>
      </c>
      <c r="B50" s="1" t="str">
        <f>IFERROR(__xludf.DUMMYFUNCTION("""COMPUTED_VALUE"""),"xXdo7k9")</f>
        <v>xXdo7k9</v>
      </c>
      <c r="C50" s="5">
        <f>IFERROR(__xludf.DUMMYFUNCTION("""COMPUTED_VALUE"""),46057.57728009259)</f>
        <v>46057.57728</v>
      </c>
      <c r="D50" s="1" t="str">
        <f>IFERROR(__xludf.DUMMYFUNCTION("""COMPUTED_VALUE"""),"26〜35歳")</f>
        <v>26〜35歳</v>
      </c>
      <c r="E50" s="1" t="str">
        <f>IFERROR(__xludf.DUMMYFUNCTION("""COMPUTED_VALUE"""),"男性")</f>
        <v>男性</v>
      </c>
      <c r="F50" s="1" t="str">
        <f>IFERROR(__xludf.DUMMYFUNCTION("""COMPUTED_VALUE"""),"600万円〜899万9,999円")</f>
        <v>600万円〜899万9,999円</v>
      </c>
      <c r="G50" s="1" t="str">
        <f>IFERROR(__xludf.DUMMYFUNCTION("""COMPUTED_VALUE"""),"関東")</f>
        <v>関東</v>
      </c>
      <c r="H50" s="1" t="str">
        <f>IFERROR(__xludf.DUMMYFUNCTION("""COMPUTED_VALUE"""),"週に数回")</f>
        <v>週に数回</v>
      </c>
      <c r="I50" s="1" t="str">
        <f>IFERROR(__xludf.DUMMYFUNCTION("""COMPUTED_VALUE"""),"ラテ")</f>
        <v>ラテ</v>
      </c>
      <c r="J50" s="1"/>
      <c r="K50" s="1" t="str">
        <f>IFERROR(__xludf.DUMMYFUNCTION("""COMPUTED_VALUE"""),"週に1回")</f>
        <v>週に1回</v>
      </c>
      <c r="L50" s="1" t="str">
        <f>IFERROR(__xludf.DUMMYFUNCTION("""COMPUTED_VALUE"""),"抹茶は飲まない")</f>
        <v>抹茶は飲まない</v>
      </c>
      <c r="M50" s="1"/>
      <c r="N50" s="1" t="str">
        <f>IFERROR(__xludf.DUMMYFUNCTION("""COMPUTED_VALUE"""),"ブランド・イメージ, 味・風味")</f>
        <v>ブランド・イメージ, 味・風味</v>
      </c>
      <c r="O50" s="1"/>
      <c r="P50" s="1" t="str">
        <f>IFERROR(__xludf.DUMMYFUNCTION("""COMPUTED_VALUE"""),"カフェで")</f>
        <v>カフェで</v>
      </c>
      <c r="Q50" s="1"/>
      <c r="R50" s="1" t="str">
        <f>IFERROR(__xludf.DUMMYFUNCTION("""COMPUTED_VALUE"""),"週に数回")</f>
        <v>週に数回</v>
      </c>
      <c r="S50" s="1" t="str">
        <f>IFERROR(__xludf.DUMMYFUNCTION("""COMPUTED_VALUE"""),"勉強・仕事をするため")</f>
        <v>勉強・仕事をするため</v>
      </c>
      <c r="T50" s="1"/>
      <c r="U50" s="1" t="str">
        <f>IFERROR(__xludf.DUMMYFUNCTION("""COMPUTED_VALUE"""),"雰囲気・心地良さ")</f>
        <v>雰囲気・心地良さ</v>
      </c>
      <c r="V50" s="1"/>
      <c r="W50" s="1" t="str">
        <f>IFERROR(__xludf.DUMMYFUNCTION("""COMPUTED_VALUE"""),"はい（グローバル）")</f>
        <v>はい（グローバル）</v>
      </c>
      <c r="X50" s="1" t="str">
        <f>IFERROR(__xludf.DUMMYFUNCTION("""COMPUTED_VALUE"""),"はい（グローバル）")</f>
        <v>はい（グローバル）</v>
      </c>
      <c r="Y50" s="1">
        <f>IFERROR(__xludf.DUMMYFUNCTION("""COMPUTED_VALUE"""),6.0)</f>
        <v>6</v>
      </c>
      <c r="Z50" s="1">
        <f>IFERROR(__xludf.DUMMYFUNCTION("""COMPUTED_VALUE"""),6.0)</f>
        <v>6</v>
      </c>
      <c r="AA50" s="1">
        <f>IFERROR(__xludf.DUMMYFUNCTION("""COMPUTED_VALUE"""),3.0)</f>
        <v>3</v>
      </c>
      <c r="AB50" s="1" t="str">
        <f>IFERROR(__xludf.DUMMYFUNCTION("""COMPUTED_VALUE"""),"いいえ")</f>
        <v>いいえ</v>
      </c>
      <c r="AK50" s="1" t="s">
        <v>186</v>
      </c>
      <c r="AL50" s="1" t="s">
        <v>187</v>
      </c>
      <c r="AM50" s="5">
        <v>46057.57728009259</v>
      </c>
      <c r="AN50" s="1" t="s">
        <v>27</v>
      </c>
      <c r="AO50" s="1" t="s">
        <v>42</v>
      </c>
      <c r="AP50" s="1" t="s">
        <v>43</v>
      </c>
      <c r="AQ50" s="1" t="s">
        <v>30</v>
      </c>
      <c r="AR50" s="1" t="s">
        <v>31</v>
      </c>
      <c r="AS50" s="1" t="s">
        <v>65</v>
      </c>
      <c r="AU50" s="1" t="s">
        <v>69</v>
      </c>
      <c r="AV50" s="1" t="s">
        <v>91</v>
      </c>
      <c r="AX50" s="1" t="str">
        <f>IFERROR(__xludf.DUMMYFUNCTION("""COMPUTED_VALUE"""),"Branding/Imagery, Taste/Flavor")</f>
        <v>Branding/Imagery, Taste/Flavor</v>
      </c>
      <c r="AZ50" s="1" t="str">
        <f>IFERROR(__xludf.DUMMYFUNCTION("""COMPUTED_VALUE"""),"At cafés")</f>
        <v>At cafés</v>
      </c>
      <c r="BB50" s="1" t="s">
        <v>31</v>
      </c>
      <c r="BC50" s="1" t="s">
        <v>75</v>
      </c>
      <c r="BE50" s="1" t="s">
        <v>35</v>
      </c>
      <c r="BG50" s="1" t="s">
        <v>48</v>
      </c>
      <c r="BH50" s="1" t="s">
        <v>48</v>
      </c>
      <c r="BI50" s="1">
        <v>6.0</v>
      </c>
      <c r="BJ50" s="1">
        <v>6.0</v>
      </c>
      <c r="BK50" s="1">
        <v>3.0</v>
      </c>
      <c r="BL50" s="1" t="s">
        <v>38</v>
      </c>
    </row>
    <row r="51">
      <c r="A51" s="1" t="str">
        <f>IFERROR(__xludf.DUMMYFUNCTION("""COMPUTED_VALUE"""),"rjXV585")</f>
        <v>rjXV585</v>
      </c>
      <c r="B51" s="1" t="str">
        <f>IFERROR(__xludf.DUMMYFUNCTION("""COMPUTED_VALUE"""),"kdYoB5e")</f>
        <v>kdYoB5e</v>
      </c>
      <c r="C51" s="5">
        <f>IFERROR(__xludf.DUMMYFUNCTION("""COMPUTED_VALUE"""),46060.13034722222)</f>
        <v>46060.13035</v>
      </c>
      <c r="D51" s="1" t="str">
        <f>IFERROR(__xludf.DUMMYFUNCTION("""COMPUTED_VALUE"""),"36〜45歳")</f>
        <v>36〜45歳</v>
      </c>
      <c r="E51" s="1" t="str">
        <f>IFERROR(__xludf.DUMMYFUNCTION("""COMPUTED_VALUE"""),"女性")</f>
        <v>女性</v>
      </c>
      <c r="F51" s="1" t="str">
        <f>IFERROR(__xludf.DUMMYFUNCTION("""COMPUTED_VALUE"""),"600万円〜899万9,999円")</f>
        <v>600万円〜899万9,999円</v>
      </c>
      <c r="G51" s="1" t="str">
        <f>IFERROR(__xludf.DUMMYFUNCTION("""COMPUTED_VALUE"""),"関西")</f>
        <v>関西</v>
      </c>
      <c r="H51" s="1" t="str">
        <f>IFERROR(__xludf.DUMMYFUNCTION("""COMPUTED_VALUE"""),"週に数回")</f>
        <v>週に数回</v>
      </c>
      <c r="I51" s="1" t="str">
        <f>IFERROR(__xludf.DUMMYFUNCTION("""COMPUTED_VALUE"""),"ドリップコーヒー")</f>
        <v>ドリップコーヒー</v>
      </c>
      <c r="J51" s="1"/>
      <c r="K51" s="1" t="str">
        <f>IFERROR(__xludf.DUMMYFUNCTION("""COMPUTED_VALUE"""),"ほとんど飲まない")</f>
        <v>ほとんど飲まない</v>
      </c>
      <c r="L51" s="1" t="str">
        <f>IFERROR(__xludf.DUMMYFUNCTION("""COMPUTED_VALUE"""),"抹茶ラテ")</f>
        <v>抹茶ラテ</v>
      </c>
      <c r="M51" s="1"/>
      <c r="N51" s="1" t="str">
        <f>IFERROR(__xludf.DUMMYFUNCTION("""COMPUTED_VALUE"""),"その他：, 味・風味")</f>
        <v>その他：, 味・風味</v>
      </c>
      <c r="O51" s="1" t="str">
        <f>IFERROR(__xludf.DUMMYFUNCTION("""COMPUTED_VALUE"""),"気分によって変えます")</f>
        <v>気分によって変えます</v>
      </c>
      <c r="P51" s="1" t="str">
        <f>IFERROR(__xludf.DUMMYFUNCTION("""COMPUTED_VALUE"""),"自宅で, コンビニ（セブンイレブン、ローソンなど）")</f>
        <v>自宅で, コンビニ（セブンイレブン、ローソンなど）</v>
      </c>
      <c r="Q51" s="1"/>
      <c r="R51" s="1" t="str">
        <f>IFERROR(__xludf.DUMMYFUNCTION("""COMPUTED_VALUE"""),"月に数回")</f>
        <v>月に数回</v>
      </c>
      <c r="S51" s="1" t="str">
        <f>IFERROR(__xludf.DUMMYFUNCTION("""COMPUTED_VALUE"""),"勉強・仕事をするため")</f>
        <v>勉強・仕事をするため</v>
      </c>
      <c r="T51" s="1"/>
      <c r="U51" s="1" t="str">
        <f>IFERROR(__xludf.DUMMYFUNCTION("""COMPUTED_VALUE"""),"雰囲気・心地良さ")</f>
        <v>雰囲気・心地良さ</v>
      </c>
      <c r="V51" s="1"/>
      <c r="W51" s="1" t="str">
        <f>IFERROR(__xludf.DUMMYFUNCTION("""COMPUTED_VALUE"""),"はい（グローバル）")</f>
        <v>はい（グローバル）</v>
      </c>
      <c r="X51" s="1" t="str">
        <f>IFERROR(__xludf.DUMMYFUNCTION("""COMPUTED_VALUE"""),"はい（日本的）")</f>
        <v>はい（日本的）</v>
      </c>
      <c r="Y51" s="1">
        <f>IFERROR(__xludf.DUMMYFUNCTION("""COMPUTED_VALUE"""),5.0)</f>
        <v>5</v>
      </c>
      <c r="Z51" s="1">
        <f>IFERROR(__xludf.DUMMYFUNCTION("""COMPUTED_VALUE"""),5.0)</f>
        <v>5</v>
      </c>
      <c r="AA51" s="1">
        <f>IFERROR(__xludf.DUMMYFUNCTION("""COMPUTED_VALUE"""),5.0)</f>
        <v>5</v>
      </c>
      <c r="AB51" s="1" t="str">
        <f>IFERROR(__xludf.DUMMYFUNCTION("""COMPUTED_VALUE"""),"いいえ")</f>
        <v>いいえ</v>
      </c>
      <c r="AK51" s="1" t="s">
        <v>188</v>
      </c>
      <c r="AL51" s="1" t="s">
        <v>189</v>
      </c>
      <c r="AM51" s="5">
        <v>46060.13034722222</v>
      </c>
      <c r="AN51" s="1" t="s">
        <v>51</v>
      </c>
      <c r="AO51" s="1" t="s">
        <v>28</v>
      </c>
      <c r="AP51" s="1" t="s">
        <v>43</v>
      </c>
      <c r="AQ51" s="1" t="s">
        <v>90</v>
      </c>
      <c r="AR51" s="1" t="s">
        <v>31</v>
      </c>
      <c r="AS51" s="1" t="s">
        <v>32</v>
      </c>
      <c r="AU51" s="1" t="s">
        <v>74</v>
      </c>
      <c r="AV51" s="1" t="s">
        <v>59</v>
      </c>
      <c r="AX51" s="1" t="str">
        <f>IFERROR(__xludf.DUMMYFUNCTION("""COMPUTED_VALUE"""),"Other:, Taste/Flavor")</f>
        <v>Other:, Taste/Flavor</v>
      </c>
      <c r="AY51" s="6" t="s">
        <v>190</v>
      </c>
      <c r="AZ51" s="1" t="str">
        <f>IFERROR(__xludf.DUMMYFUNCTION("""COMPUTED_VALUE"""),"At home, From convenience stores (7-Eleven, Lawson, etc.)")</f>
        <v>At home, From convenience stores (7-Eleven, Lawson, etc.)</v>
      </c>
      <c r="BB51" s="1" t="s">
        <v>60</v>
      </c>
      <c r="BC51" s="1" t="s">
        <v>75</v>
      </c>
      <c r="BE51" s="1" t="s">
        <v>35</v>
      </c>
      <c r="BG51" s="1" t="s">
        <v>48</v>
      </c>
      <c r="BH51" s="1" t="s">
        <v>37</v>
      </c>
      <c r="BI51" s="1">
        <v>5.0</v>
      </c>
      <c r="BJ51" s="1">
        <v>5.0</v>
      </c>
      <c r="BK51" s="1">
        <v>5.0</v>
      </c>
      <c r="BL51" s="1" t="s">
        <v>38</v>
      </c>
    </row>
    <row r="52">
      <c r="A52" s="1" t="str">
        <f>IFERROR(__xludf.DUMMYFUNCTION("""COMPUTED_VALUE"""),"9qe69rG")</f>
        <v>9qe69rG</v>
      </c>
      <c r="B52" s="1" t="str">
        <f>IFERROR(__xludf.DUMMYFUNCTION("""COMPUTED_VALUE"""),"gD52JXN")</f>
        <v>gD52JXN</v>
      </c>
      <c r="C52" s="5">
        <f>IFERROR(__xludf.DUMMYFUNCTION("""COMPUTED_VALUE"""),46061.1175)</f>
        <v>46061.1175</v>
      </c>
      <c r="D52" s="1" t="str">
        <f>IFERROR(__xludf.DUMMYFUNCTION("""COMPUTED_VALUE"""),"65歳以上")</f>
        <v>65歳以上</v>
      </c>
      <c r="E52" s="1" t="str">
        <f>IFERROR(__xludf.DUMMYFUNCTION("""COMPUTED_VALUE"""),"男性")</f>
        <v>男性</v>
      </c>
      <c r="F52" s="1" t="str">
        <f>IFERROR(__xludf.DUMMYFUNCTION("""COMPUTED_VALUE"""),"300万円〜599万9,999円")</f>
        <v>300万円〜599万9,999円</v>
      </c>
      <c r="G52" s="1" t="str">
        <f>IFERROR(__xludf.DUMMYFUNCTION("""COMPUTED_VALUE"""),"関西")</f>
        <v>関西</v>
      </c>
      <c r="H52" s="1" t="str">
        <f>IFERROR(__xludf.DUMMYFUNCTION("""COMPUTED_VALUE"""),"毎日")</f>
        <v>毎日</v>
      </c>
      <c r="I52" s="1" t="str">
        <f>IFERROR(__xludf.DUMMYFUNCTION("""COMPUTED_VALUE"""),"ドリップコーヒー")</f>
        <v>ドリップコーヒー</v>
      </c>
      <c r="J52" s="1"/>
      <c r="K52" s="1" t="str">
        <f>IFERROR(__xludf.DUMMYFUNCTION("""COMPUTED_VALUE"""),"ほとんど飲まない")</f>
        <v>ほとんど飲まない</v>
      </c>
      <c r="L52" s="1" t="str">
        <f>IFERROR(__xludf.DUMMYFUNCTION("""COMPUTED_VALUE"""),"その他：")</f>
        <v>その他：</v>
      </c>
      <c r="M52" s="1" t="str">
        <f>IFERROR(__xludf.DUMMYFUNCTION("""COMPUTED_VALUE"""),"煎茶")</f>
        <v>煎茶</v>
      </c>
      <c r="N52" s="1" t="str">
        <f>IFERROR(__xludf.DUMMYFUNCTION("""COMPUTED_VALUE"""),"習慣, ブランド・イメージ")</f>
        <v>習慣, ブランド・イメージ</v>
      </c>
      <c r="O52" s="1"/>
      <c r="P52" s="1" t="str">
        <f>IFERROR(__xludf.DUMMYFUNCTION("""COMPUTED_VALUE"""),"自宅で")</f>
        <v>自宅で</v>
      </c>
      <c r="Q52" s="1"/>
      <c r="R52" s="1" t="str">
        <f>IFERROR(__xludf.DUMMYFUNCTION("""COMPUTED_VALUE"""),"ほとんど行かない")</f>
        <v>ほとんど行かない</v>
      </c>
      <c r="S52" s="1" t="str">
        <f>IFERROR(__xludf.DUMMYFUNCTION("""COMPUTED_VALUE"""),"その他：")</f>
        <v>その他：</v>
      </c>
      <c r="T52" s="1" t="str">
        <f>IFERROR(__xludf.DUMMYFUNCTION("""COMPUTED_VALUE"""),"久ししぶりに外出したとき")</f>
        <v>久ししぶりに外出したとき</v>
      </c>
      <c r="U52" s="1"/>
      <c r="V52" s="1" t="str">
        <f>IFERROR(__xludf.DUMMYFUNCTION("""COMPUTED_VALUE"""),"アメリカにいた時　よく飲んだので")</f>
        <v>アメリカにいた時　よく飲んだので</v>
      </c>
      <c r="W52" s="1" t="str">
        <f>IFERROR(__xludf.DUMMYFUNCTION("""COMPUTED_VALUE"""),"はい（西洋的）")</f>
        <v>はい（西洋的）</v>
      </c>
      <c r="X52" s="1" t="str">
        <f>IFERROR(__xludf.DUMMYFUNCTION("""COMPUTED_VALUE"""),"はい（日本的）")</f>
        <v>はい（日本的）</v>
      </c>
      <c r="Y52" s="1">
        <f>IFERROR(__xludf.DUMMYFUNCTION("""COMPUTED_VALUE"""),5.0)</f>
        <v>5</v>
      </c>
      <c r="Z52" s="1">
        <f>IFERROR(__xludf.DUMMYFUNCTION("""COMPUTED_VALUE"""),6.0)</f>
        <v>6</v>
      </c>
      <c r="AA52" s="1">
        <f>IFERROR(__xludf.DUMMYFUNCTION("""COMPUTED_VALUE"""),2.0)</f>
        <v>2</v>
      </c>
      <c r="AB52" s="1" t="str">
        <f>IFERROR(__xludf.DUMMYFUNCTION("""COMPUTED_VALUE"""),"いいえ")</f>
        <v>いいえ</v>
      </c>
      <c r="AK52" s="1" t="s">
        <v>191</v>
      </c>
      <c r="AL52" s="1" t="s">
        <v>192</v>
      </c>
      <c r="AM52" s="5">
        <v>46061.1175</v>
      </c>
      <c r="AN52" s="1" t="s">
        <v>85</v>
      </c>
      <c r="AO52" s="1" t="s">
        <v>42</v>
      </c>
      <c r="AP52" s="1" t="s">
        <v>64</v>
      </c>
      <c r="AQ52" s="1" t="s">
        <v>90</v>
      </c>
      <c r="AR52" s="1" t="s">
        <v>44</v>
      </c>
      <c r="AS52" s="1" t="s">
        <v>32</v>
      </c>
      <c r="AU52" s="1" t="s">
        <v>74</v>
      </c>
      <c r="AV52" s="1" t="s">
        <v>54</v>
      </c>
      <c r="AW52" s="6" t="s">
        <v>193</v>
      </c>
      <c r="AX52" s="1" t="str">
        <f>IFERROR(__xludf.DUMMYFUNCTION("""COMPUTED_VALUE"""),"Routine/Ritual, Branding/Imagery")</f>
        <v>Routine/Ritual, Branding/Imagery</v>
      </c>
      <c r="AZ52" s="1" t="str">
        <f>IFERROR(__xludf.DUMMYFUNCTION("""COMPUTED_VALUE"""),"At home")</f>
        <v>At home</v>
      </c>
      <c r="BB52" s="1" t="s">
        <v>74</v>
      </c>
      <c r="BC52" s="1" t="s">
        <v>54</v>
      </c>
      <c r="BD52" s="6" t="s">
        <v>194</v>
      </c>
      <c r="BE52" s="1" t="s">
        <v>104</v>
      </c>
      <c r="BF52" s="6" t="s">
        <v>195</v>
      </c>
      <c r="BG52" s="1" t="s">
        <v>36</v>
      </c>
      <c r="BH52" s="1" t="s">
        <v>37</v>
      </c>
      <c r="BI52" s="1">
        <v>5.0</v>
      </c>
      <c r="BJ52" s="1">
        <v>6.0</v>
      </c>
      <c r="BK52" s="1">
        <v>2.0</v>
      </c>
      <c r="BL52" s="1" t="s">
        <v>38</v>
      </c>
    </row>
    <row r="53">
      <c r="A53" s="1" t="str">
        <f>IFERROR(__xludf.DUMMYFUNCTION("""COMPUTED_VALUE"""),"dW7kDgN")</f>
        <v>dW7kDgN</v>
      </c>
      <c r="B53" s="1" t="str">
        <f>IFERROR(__xludf.DUMMYFUNCTION("""COMPUTED_VALUE"""),"5Bd6vqb")</f>
        <v>5Bd6vqb</v>
      </c>
      <c r="C53" s="5">
        <f>IFERROR(__xludf.DUMMYFUNCTION("""COMPUTED_VALUE"""),46062.14965277778)</f>
        <v>46062.14965</v>
      </c>
      <c r="D53" s="1" t="str">
        <f>IFERROR(__xludf.DUMMYFUNCTION("""COMPUTED_VALUE"""),"36〜45歳")</f>
        <v>36〜45歳</v>
      </c>
      <c r="E53" s="1" t="str">
        <f>IFERROR(__xludf.DUMMYFUNCTION("""COMPUTED_VALUE"""),"女性")</f>
        <v>女性</v>
      </c>
      <c r="F53" s="1" t="str">
        <f>IFERROR(__xludf.DUMMYFUNCTION("""COMPUTED_VALUE"""),"600万円〜899万9,999円")</f>
        <v>600万円〜899万9,999円</v>
      </c>
      <c r="G53" s="1" t="str">
        <f>IFERROR(__xludf.DUMMYFUNCTION("""COMPUTED_VALUE"""),"関東")</f>
        <v>関東</v>
      </c>
      <c r="H53" s="1" t="str">
        <f>IFERROR(__xludf.DUMMYFUNCTION("""COMPUTED_VALUE"""),"週に数回")</f>
        <v>週に数回</v>
      </c>
      <c r="I53" s="1" t="str">
        <f>IFERROR(__xludf.DUMMYFUNCTION("""COMPUTED_VALUE"""),"ラテ")</f>
        <v>ラテ</v>
      </c>
      <c r="J53" s="1"/>
      <c r="K53" s="1" t="str">
        <f>IFERROR(__xludf.DUMMYFUNCTION("""COMPUTED_VALUE"""),"ほとんど飲まない")</f>
        <v>ほとんど飲まない</v>
      </c>
      <c r="L53" s="1" t="str">
        <f>IFERROR(__xludf.DUMMYFUNCTION("""COMPUTED_VALUE"""),"抹茶ラテ")</f>
        <v>抹茶ラテ</v>
      </c>
      <c r="M53" s="1"/>
      <c r="N53" s="1" t="str">
        <f>IFERROR(__xludf.DUMMYFUNCTION("""COMPUTED_VALUE"""),"味・風味, 価格")</f>
        <v>味・風味, 価格</v>
      </c>
      <c r="O53" s="1"/>
      <c r="P53" s="1" t="str">
        <f>IFERROR(__xludf.DUMMYFUNCTION("""COMPUTED_VALUE"""),"カフェで, その他：")</f>
        <v>カフェで, その他：</v>
      </c>
      <c r="Q53" s="1" t="str">
        <f>IFERROR(__xludf.DUMMYFUNCTION("""COMPUTED_VALUE"""),"抹茶はイベントで飲むくらい")</f>
        <v>抹茶はイベントで飲むくらい</v>
      </c>
      <c r="R53" s="1" t="str">
        <f>IFERROR(__xludf.DUMMYFUNCTION("""COMPUTED_VALUE"""),"週に1回")</f>
        <v>週に1回</v>
      </c>
      <c r="S53" s="1" t="str">
        <f>IFERROR(__xludf.DUMMYFUNCTION("""COMPUTED_VALUE"""),"その他：")</f>
        <v>その他：</v>
      </c>
      <c r="T53" s="1" t="str">
        <f>IFERROR(__xludf.DUMMYFUNCTION("""COMPUTED_VALUE"""),"待ち時間")</f>
        <v>待ち時間</v>
      </c>
      <c r="U53" s="1" t="str">
        <f>IFERROR(__xludf.DUMMYFUNCTION("""COMPUTED_VALUE"""),"雰囲気・心地良さ")</f>
        <v>雰囲気・心地良さ</v>
      </c>
      <c r="V53" s="1"/>
      <c r="W53" s="1" t="str">
        <f>IFERROR(__xludf.DUMMYFUNCTION("""COMPUTED_VALUE"""),"いいえ")</f>
        <v>いいえ</v>
      </c>
      <c r="X53" s="1" t="str">
        <f>IFERROR(__xludf.DUMMYFUNCTION("""COMPUTED_VALUE"""),"はい（日本的）")</f>
        <v>はい（日本的）</v>
      </c>
      <c r="Y53" s="1">
        <f>IFERROR(__xludf.DUMMYFUNCTION("""COMPUTED_VALUE"""),4.0)</f>
        <v>4</v>
      </c>
      <c r="Z53" s="1">
        <f>IFERROR(__xludf.DUMMYFUNCTION("""COMPUTED_VALUE"""),7.0)</f>
        <v>7</v>
      </c>
      <c r="AA53" s="1">
        <f>IFERROR(__xludf.DUMMYFUNCTION("""COMPUTED_VALUE"""),5.0)</f>
        <v>5</v>
      </c>
      <c r="AB53" s="1" t="str">
        <f>IFERROR(__xludf.DUMMYFUNCTION("""COMPUTED_VALUE"""),"いいえ")</f>
        <v>いいえ</v>
      </c>
      <c r="AK53" s="1" t="s">
        <v>196</v>
      </c>
      <c r="AL53" s="1" t="s">
        <v>197</v>
      </c>
      <c r="AM53" s="5">
        <v>46062.14965277778</v>
      </c>
      <c r="AN53" s="1" t="s">
        <v>51</v>
      </c>
      <c r="AO53" s="1" t="s">
        <v>28</v>
      </c>
      <c r="AP53" s="1" t="s">
        <v>43</v>
      </c>
      <c r="AQ53" s="1" t="s">
        <v>30</v>
      </c>
      <c r="AR53" s="1" t="s">
        <v>31</v>
      </c>
      <c r="AS53" s="1" t="s">
        <v>65</v>
      </c>
      <c r="AU53" s="1" t="s">
        <v>74</v>
      </c>
      <c r="AV53" s="1" t="s">
        <v>59</v>
      </c>
      <c r="AX53" s="1" t="str">
        <f>IFERROR(__xludf.DUMMYFUNCTION("""COMPUTED_VALUE"""),"Taste/Flavor, Price")</f>
        <v>Taste/Flavor, Price</v>
      </c>
      <c r="AZ53" s="1" t="str">
        <f>IFERROR(__xludf.DUMMYFUNCTION("""COMPUTED_VALUE"""),"At cafés, Other:")</f>
        <v>At cafés, Other:</v>
      </c>
      <c r="BA53" s="6" t="s">
        <v>198</v>
      </c>
      <c r="BB53" s="1" t="s">
        <v>69</v>
      </c>
      <c r="BC53" s="1" t="s">
        <v>54</v>
      </c>
      <c r="BD53" s="6" t="s">
        <v>199</v>
      </c>
      <c r="BE53" s="1" t="s">
        <v>35</v>
      </c>
      <c r="BG53" s="1" t="s">
        <v>38</v>
      </c>
      <c r="BH53" s="1" t="s">
        <v>37</v>
      </c>
      <c r="BI53" s="1">
        <v>4.0</v>
      </c>
      <c r="BJ53" s="1">
        <v>7.0</v>
      </c>
      <c r="BK53" s="1">
        <v>5.0</v>
      </c>
      <c r="BL53" s="1" t="s">
        <v>38</v>
      </c>
    </row>
    <row r="54">
      <c r="A54" s="1" t="str">
        <f>IFERROR(__xludf.DUMMYFUNCTION("""COMPUTED_VALUE"""),"9qeoEKV")</f>
        <v>9qeoEKV</v>
      </c>
      <c r="B54" s="1" t="str">
        <f>IFERROR(__xludf.DUMMYFUNCTION("""COMPUTED_VALUE"""),"pbLjWk1")</f>
        <v>pbLjWk1</v>
      </c>
      <c r="C54" s="5">
        <f>IFERROR(__xludf.DUMMYFUNCTION("""COMPUTED_VALUE"""),46062.150925925926)</f>
        <v>46062.15093</v>
      </c>
      <c r="D54" s="1" t="str">
        <f>IFERROR(__xludf.DUMMYFUNCTION("""COMPUTED_VALUE"""),"46〜55歳")</f>
        <v>46〜55歳</v>
      </c>
      <c r="E54" s="1" t="str">
        <f>IFERROR(__xludf.DUMMYFUNCTION("""COMPUTED_VALUE"""),"女性")</f>
        <v>女性</v>
      </c>
      <c r="F54" s="1" t="str">
        <f>IFERROR(__xludf.DUMMYFUNCTION("""COMPUTED_VALUE"""),"1,200万円以上")</f>
        <v>1,200万円以上</v>
      </c>
      <c r="G54" s="1" t="str">
        <f>IFERROR(__xludf.DUMMYFUNCTION("""COMPUTED_VALUE"""),"関東")</f>
        <v>関東</v>
      </c>
      <c r="H54" s="1" t="str">
        <f>IFERROR(__xludf.DUMMYFUNCTION("""COMPUTED_VALUE"""),"週に数回")</f>
        <v>週に数回</v>
      </c>
      <c r="I54" s="1" t="str">
        <f>IFERROR(__xludf.DUMMYFUNCTION("""COMPUTED_VALUE"""),"ラテ")</f>
        <v>ラテ</v>
      </c>
      <c r="J54" s="1"/>
      <c r="K54" s="1" t="str">
        <f>IFERROR(__xludf.DUMMYFUNCTION("""COMPUTED_VALUE"""),"ほとんど飲まない")</f>
        <v>ほとんど飲まない</v>
      </c>
      <c r="L54" s="1" t="str">
        <f>IFERROR(__xludf.DUMMYFUNCTION("""COMPUTED_VALUE"""),"濃茶")</f>
        <v>濃茶</v>
      </c>
      <c r="M54" s="1"/>
      <c r="N54" s="1" t="str">
        <f>IFERROR(__xludf.DUMMYFUNCTION("""COMPUTED_VALUE"""),"味・風味")</f>
        <v>味・風味</v>
      </c>
      <c r="O54" s="1"/>
      <c r="P54" s="1" t="str">
        <f>IFERROR(__xludf.DUMMYFUNCTION("""COMPUTED_VALUE"""),"自宅で, カフェで, コンビニ（セブンイレブン、ローソンなど）")</f>
        <v>自宅で, カフェで, コンビニ（セブンイレブン、ローソンなど）</v>
      </c>
      <c r="Q54" s="1"/>
      <c r="R54" s="1" t="str">
        <f>IFERROR(__xludf.DUMMYFUNCTION("""COMPUTED_VALUE"""),"月に数回")</f>
        <v>月に数回</v>
      </c>
      <c r="S54" s="1" t="str">
        <f>IFERROR(__xludf.DUMMYFUNCTION("""COMPUTED_VALUE"""),"勉強・仕事をするため")</f>
        <v>勉強・仕事をするため</v>
      </c>
      <c r="T54" s="1"/>
      <c r="U54" s="1" t="str">
        <f>IFERROR(__xludf.DUMMYFUNCTION("""COMPUTED_VALUE"""),"雰囲気・心地良さ")</f>
        <v>雰囲気・心地良さ</v>
      </c>
      <c r="V54" s="1"/>
      <c r="W54" s="1" t="str">
        <f>IFERROR(__xludf.DUMMYFUNCTION("""COMPUTED_VALUE"""),"わからない")</f>
        <v>わからない</v>
      </c>
      <c r="X54" s="1" t="str">
        <f>IFERROR(__xludf.DUMMYFUNCTION("""COMPUTED_VALUE"""),"はい（日本的）")</f>
        <v>はい（日本的）</v>
      </c>
      <c r="Y54" s="1">
        <f>IFERROR(__xludf.DUMMYFUNCTION("""COMPUTED_VALUE"""),7.0)</f>
        <v>7</v>
      </c>
      <c r="Z54" s="1">
        <f>IFERROR(__xludf.DUMMYFUNCTION("""COMPUTED_VALUE"""),5.0)</f>
        <v>5</v>
      </c>
      <c r="AA54" s="1">
        <f>IFERROR(__xludf.DUMMYFUNCTION("""COMPUTED_VALUE"""),5.0)</f>
        <v>5</v>
      </c>
      <c r="AB54" s="1" t="str">
        <f>IFERROR(__xludf.DUMMYFUNCTION("""COMPUTED_VALUE"""),"いいえ")</f>
        <v>いいえ</v>
      </c>
      <c r="AK54" s="1" t="s">
        <v>200</v>
      </c>
      <c r="AL54" s="1" t="s">
        <v>201</v>
      </c>
      <c r="AM54" s="5">
        <v>46062.150925925926</v>
      </c>
      <c r="AN54" s="1" t="s">
        <v>95</v>
      </c>
      <c r="AO54" s="1" t="s">
        <v>28</v>
      </c>
      <c r="AP54" s="1" t="s">
        <v>89</v>
      </c>
      <c r="AQ54" s="1" t="s">
        <v>30</v>
      </c>
      <c r="AR54" s="1" t="s">
        <v>31</v>
      </c>
      <c r="AS54" s="1" t="s">
        <v>65</v>
      </c>
      <c r="AU54" s="1" t="s">
        <v>74</v>
      </c>
      <c r="AV54" s="1" t="s">
        <v>45</v>
      </c>
      <c r="AX54" s="1" t="str">
        <f>IFERROR(__xludf.DUMMYFUNCTION("""COMPUTED_VALUE"""),"Taste/Flavor")</f>
        <v>Taste/Flavor</v>
      </c>
      <c r="AZ54" s="1" t="str">
        <f>IFERROR(__xludf.DUMMYFUNCTION("""COMPUTED_VALUE"""),"At home, At cafés, From convenience stores (7-Eleven, Lawson, etc.)")</f>
        <v>At home, At cafés, From convenience stores (7-Eleven, Lawson, etc.)</v>
      </c>
      <c r="BB54" s="1" t="s">
        <v>60</v>
      </c>
      <c r="BC54" s="1" t="s">
        <v>75</v>
      </c>
      <c r="BE54" s="1" t="s">
        <v>35</v>
      </c>
      <c r="BG54" s="1" t="s">
        <v>66</v>
      </c>
      <c r="BH54" s="1" t="s">
        <v>37</v>
      </c>
      <c r="BI54" s="1">
        <v>7.0</v>
      </c>
      <c r="BJ54" s="1">
        <v>5.0</v>
      </c>
      <c r="BK54" s="1">
        <v>5.0</v>
      </c>
      <c r="BL54" s="1" t="s">
        <v>38</v>
      </c>
    </row>
    <row r="55">
      <c r="A55" s="1" t="str">
        <f>IFERROR(__xludf.DUMMYFUNCTION("""COMPUTED_VALUE"""),"2E2Dxjp")</f>
        <v>2E2Dxjp</v>
      </c>
      <c r="B55" s="1" t="str">
        <f>IFERROR(__xludf.DUMMYFUNCTION("""COMPUTED_VALUE"""),"rjlNLpR")</f>
        <v>rjlNLpR</v>
      </c>
      <c r="C55" s="5">
        <f>IFERROR(__xludf.DUMMYFUNCTION("""COMPUTED_VALUE"""),46062.15195601852)</f>
        <v>46062.15196</v>
      </c>
      <c r="D55" s="1" t="str">
        <f>IFERROR(__xludf.DUMMYFUNCTION("""COMPUTED_VALUE"""),"18〜25歳")</f>
        <v>18〜25歳</v>
      </c>
      <c r="E55" s="1" t="str">
        <f>IFERROR(__xludf.DUMMYFUNCTION("""COMPUTED_VALUE"""),"男性")</f>
        <v>男性</v>
      </c>
      <c r="F55" s="1" t="str">
        <f>IFERROR(__xludf.DUMMYFUNCTION("""COMPUTED_VALUE"""),"1,200万円以上")</f>
        <v>1,200万円以上</v>
      </c>
      <c r="G55" s="1" t="str">
        <f>IFERROR(__xludf.DUMMYFUNCTION("""COMPUTED_VALUE"""),"関東")</f>
        <v>関東</v>
      </c>
      <c r="H55" s="1" t="str">
        <f>IFERROR(__xludf.DUMMYFUNCTION("""COMPUTED_VALUE"""),"週に数回")</f>
        <v>週に数回</v>
      </c>
      <c r="I55" s="1" t="str">
        <f>IFERROR(__xludf.DUMMYFUNCTION("""COMPUTED_VALUE"""),"その他:")</f>
        <v>その他:</v>
      </c>
      <c r="J55" s="1" t="str">
        <f>IFERROR(__xludf.DUMMYFUNCTION("""COMPUTED_VALUE"""),"bottled")</f>
        <v>bottled</v>
      </c>
      <c r="K55" s="1" t="str">
        <f>IFERROR(__xludf.DUMMYFUNCTION("""COMPUTED_VALUE"""),"まったく飲まない")</f>
        <v>まったく飲まない</v>
      </c>
      <c r="L55" s="1"/>
      <c r="M55" s="1"/>
      <c r="N55" s="1" t="str">
        <f>IFERROR(__xludf.DUMMYFUNCTION("""COMPUTED_VALUE"""),"その他：")</f>
        <v>その他：</v>
      </c>
      <c r="O55" s="1" t="str">
        <f>IFERROR(__xludf.DUMMYFUNCTION("""COMPUTED_VALUE"""),"availability")</f>
        <v>availability</v>
      </c>
      <c r="P55" s="1" t="str">
        <f>IFERROR(__xludf.DUMMYFUNCTION("""COMPUTED_VALUE"""),"コンビニ（セブンイレブン、ローソンなど）")</f>
        <v>コンビニ（セブンイレブン、ローソンなど）</v>
      </c>
      <c r="Q55" s="1"/>
      <c r="R55" s="1" t="str">
        <f>IFERROR(__xludf.DUMMYFUNCTION("""COMPUTED_VALUE"""),"月に数回")</f>
        <v>月に数回</v>
      </c>
      <c r="S55" s="1" t="str">
        <f>IFERROR(__xludf.DUMMYFUNCTION("""COMPUTED_VALUE"""),"友人と会うため")</f>
        <v>友人と会うため</v>
      </c>
      <c r="T55" s="1"/>
      <c r="U55" s="1" t="str">
        <f>IFERROR(__xludf.DUMMYFUNCTION("""COMPUTED_VALUE"""),"雰囲気・心地良さ")</f>
        <v>雰囲気・心地良さ</v>
      </c>
      <c r="V55" s="1"/>
      <c r="W55" s="1" t="str">
        <f>IFERROR(__xludf.DUMMYFUNCTION("""COMPUTED_VALUE"""),"いいえ")</f>
        <v>いいえ</v>
      </c>
      <c r="X55" s="1" t="str">
        <f>IFERROR(__xludf.DUMMYFUNCTION("""COMPUTED_VALUE"""),"はい（日本的）")</f>
        <v>はい（日本的）</v>
      </c>
      <c r="Y55" s="1">
        <f>IFERROR(__xludf.DUMMYFUNCTION("""COMPUTED_VALUE"""),5.0)</f>
        <v>5</v>
      </c>
      <c r="Z55" s="1">
        <f>IFERROR(__xludf.DUMMYFUNCTION("""COMPUTED_VALUE"""),6.0)</f>
        <v>6</v>
      </c>
      <c r="AA55" s="1">
        <f>IFERROR(__xludf.DUMMYFUNCTION("""COMPUTED_VALUE"""),7.0)</f>
        <v>7</v>
      </c>
      <c r="AB55" s="1" t="str">
        <f>IFERROR(__xludf.DUMMYFUNCTION("""COMPUTED_VALUE"""),"いいえ")</f>
        <v>いいえ</v>
      </c>
      <c r="AK55" s="1" t="s">
        <v>202</v>
      </c>
      <c r="AL55" s="1" t="s">
        <v>203</v>
      </c>
      <c r="AM55" s="5">
        <v>46062.15195601852</v>
      </c>
      <c r="AN55" s="1" t="s">
        <v>41</v>
      </c>
      <c r="AO55" s="1" t="s">
        <v>42</v>
      </c>
      <c r="AP55" s="1" t="s">
        <v>89</v>
      </c>
      <c r="AQ55" s="1" t="s">
        <v>30</v>
      </c>
      <c r="AR55" s="1" t="s">
        <v>31</v>
      </c>
      <c r="AS55" s="1" t="s">
        <v>54</v>
      </c>
      <c r="AT55" s="6" t="s">
        <v>204</v>
      </c>
      <c r="AU55" s="1" t="s">
        <v>103</v>
      </c>
      <c r="AV55" s="1" t="s">
        <v>104</v>
      </c>
      <c r="AX55" s="1" t="str">
        <f>IFERROR(__xludf.DUMMYFUNCTION("""COMPUTED_VALUE"""),"Other:")</f>
        <v>Other:</v>
      </c>
      <c r="AY55" s="6" t="s">
        <v>205</v>
      </c>
      <c r="AZ55" s="1" t="str">
        <f>IFERROR(__xludf.DUMMYFUNCTION("""COMPUTED_VALUE"""),"From convenience stores (7-Eleven, Lawson, etc.)")</f>
        <v>From convenience stores (7-Eleven, Lawson, etc.)</v>
      </c>
      <c r="BB55" s="1" t="s">
        <v>60</v>
      </c>
      <c r="BC55" s="1" t="s">
        <v>34</v>
      </c>
      <c r="BE55" s="1" t="s">
        <v>35</v>
      </c>
      <c r="BG55" s="1" t="s">
        <v>38</v>
      </c>
      <c r="BH55" s="1" t="s">
        <v>37</v>
      </c>
      <c r="BI55" s="1">
        <v>5.0</v>
      </c>
      <c r="BJ55" s="1">
        <v>6.0</v>
      </c>
      <c r="BK55" s="1">
        <v>7.0</v>
      </c>
      <c r="BL55" s="1" t="s">
        <v>38</v>
      </c>
    </row>
    <row r="56">
      <c r="A56" s="1" t="str">
        <f>IFERROR(__xludf.DUMMYFUNCTION("""COMPUTED_VALUE"""),"VLr41e6")</f>
        <v>VLr41e6</v>
      </c>
      <c r="B56" s="1" t="str">
        <f>IFERROR(__xludf.DUMMYFUNCTION("""COMPUTED_VALUE"""),"xXdkPVk")</f>
        <v>xXdkPVk</v>
      </c>
      <c r="C56" s="5">
        <f>IFERROR(__xludf.DUMMYFUNCTION("""COMPUTED_VALUE"""),46062.15582175926)</f>
        <v>46062.15582</v>
      </c>
      <c r="D56" s="1" t="str">
        <f>IFERROR(__xludf.DUMMYFUNCTION("""COMPUTED_VALUE"""),"36〜45歳")</f>
        <v>36〜45歳</v>
      </c>
      <c r="E56" s="1" t="str">
        <f>IFERROR(__xludf.DUMMYFUNCTION("""COMPUTED_VALUE"""),"男性")</f>
        <v>男性</v>
      </c>
      <c r="F56" s="1" t="str">
        <f>IFERROR(__xludf.DUMMYFUNCTION("""COMPUTED_VALUE"""),"1,200万円以上")</f>
        <v>1,200万円以上</v>
      </c>
      <c r="G56" s="1" t="str">
        <f>IFERROR(__xludf.DUMMYFUNCTION("""COMPUTED_VALUE"""),"関西")</f>
        <v>関西</v>
      </c>
      <c r="H56" s="1" t="str">
        <f>IFERROR(__xludf.DUMMYFUNCTION("""COMPUTED_VALUE"""),"毎日")</f>
        <v>毎日</v>
      </c>
      <c r="I56" s="1" t="str">
        <f>IFERROR(__xludf.DUMMYFUNCTION("""COMPUTED_VALUE"""),"ドリップコーヒー")</f>
        <v>ドリップコーヒー</v>
      </c>
      <c r="J56" s="1"/>
      <c r="K56" s="1" t="str">
        <f>IFERROR(__xludf.DUMMYFUNCTION("""COMPUTED_VALUE"""),"まったく飲まない")</f>
        <v>まったく飲まない</v>
      </c>
      <c r="L56" s="1"/>
      <c r="M56" s="1"/>
      <c r="N56" s="1" t="str">
        <f>IFERROR(__xludf.DUMMYFUNCTION("""COMPUTED_VALUE"""),"エナジー／カフェイン, 味・風味")</f>
        <v>エナジー／カフェイン, 味・風味</v>
      </c>
      <c r="O56" s="1"/>
      <c r="P56" s="1" t="str">
        <f>IFERROR(__xludf.DUMMYFUNCTION("""COMPUTED_VALUE"""),"コンビニ（セブンイレブン、ローソンなど）, 自宅で, カフェで")</f>
        <v>コンビニ（セブンイレブン、ローソンなど）, 自宅で, カフェで</v>
      </c>
      <c r="Q56" s="1"/>
      <c r="R56" s="1" t="str">
        <f>IFERROR(__xludf.DUMMYFUNCTION("""COMPUTED_VALUE"""),"週に1回")</f>
        <v>週に1回</v>
      </c>
      <c r="S56" s="1" t="str">
        <f>IFERROR(__xludf.DUMMYFUNCTION("""COMPUTED_VALUE"""),"勉強・仕事をするため")</f>
        <v>勉強・仕事をするため</v>
      </c>
      <c r="T56" s="1"/>
      <c r="U56" s="1" t="str">
        <f>IFERROR(__xludf.DUMMYFUNCTION("""COMPUTED_VALUE"""),"雰囲気・心地良さ")</f>
        <v>雰囲気・心地良さ</v>
      </c>
      <c r="V56" s="1"/>
      <c r="W56" s="1" t="str">
        <f>IFERROR(__xludf.DUMMYFUNCTION("""COMPUTED_VALUE"""),"はい（グローバル）")</f>
        <v>はい（グローバル）</v>
      </c>
      <c r="X56" s="1" t="str">
        <f>IFERROR(__xludf.DUMMYFUNCTION("""COMPUTED_VALUE"""),"はい（日本的）")</f>
        <v>はい（日本的）</v>
      </c>
      <c r="Y56" s="1">
        <f>IFERROR(__xludf.DUMMYFUNCTION("""COMPUTED_VALUE"""),6.0)</f>
        <v>6</v>
      </c>
      <c r="Z56" s="1">
        <f>IFERROR(__xludf.DUMMYFUNCTION("""COMPUTED_VALUE"""),4.0)</f>
        <v>4</v>
      </c>
      <c r="AA56" s="1">
        <f>IFERROR(__xludf.DUMMYFUNCTION("""COMPUTED_VALUE"""),7.0)</f>
        <v>7</v>
      </c>
      <c r="AB56" s="1" t="str">
        <f>IFERROR(__xludf.DUMMYFUNCTION("""COMPUTED_VALUE"""),"いいえ")</f>
        <v>いいえ</v>
      </c>
      <c r="AK56" s="1" t="s">
        <v>206</v>
      </c>
      <c r="AL56" s="1" t="s">
        <v>207</v>
      </c>
      <c r="AM56" s="5">
        <v>46062.15582175926</v>
      </c>
      <c r="AN56" s="1" t="s">
        <v>51</v>
      </c>
      <c r="AO56" s="1" t="s">
        <v>42</v>
      </c>
      <c r="AP56" s="1" t="s">
        <v>89</v>
      </c>
      <c r="AQ56" s="1" t="s">
        <v>90</v>
      </c>
      <c r="AR56" s="1" t="s">
        <v>44</v>
      </c>
      <c r="AS56" s="1" t="s">
        <v>32</v>
      </c>
      <c r="AU56" s="1" t="s">
        <v>103</v>
      </c>
      <c r="AV56" s="1" t="s">
        <v>104</v>
      </c>
      <c r="AX56" s="1" t="str">
        <f>IFERROR(__xludf.DUMMYFUNCTION("""COMPUTED_VALUE"""),"Energy boost/Caffeine, Taste/Flavor")</f>
        <v>Energy boost/Caffeine, Taste/Flavor</v>
      </c>
      <c r="AZ56" s="1" t="str">
        <f>IFERROR(__xludf.DUMMYFUNCTION("""COMPUTED_VALUE"""),"From convenience stores (7-Eleven, Lawson, etc.), At home, At cafés")</f>
        <v>From convenience stores (7-Eleven, Lawson, etc.), At home, At cafés</v>
      </c>
      <c r="BB56" s="1" t="s">
        <v>69</v>
      </c>
      <c r="BC56" s="1" t="s">
        <v>75</v>
      </c>
      <c r="BE56" s="1" t="s">
        <v>35</v>
      </c>
      <c r="BG56" s="1" t="s">
        <v>48</v>
      </c>
      <c r="BH56" s="1" t="s">
        <v>37</v>
      </c>
      <c r="BI56" s="1">
        <v>6.0</v>
      </c>
      <c r="BJ56" s="1">
        <v>4.0</v>
      </c>
      <c r="BK56" s="1">
        <v>7.0</v>
      </c>
      <c r="BL56" s="1" t="s">
        <v>38</v>
      </c>
    </row>
    <row r="57">
      <c r="A57" s="1" t="str">
        <f>IFERROR(__xludf.DUMMYFUNCTION("""COMPUTED_VALUE"""),"QKGO82Y")</f>
        <v>QKGO82Y</v>
      </c>
      <c r="B57" s="1" t="str">
        <f>IFERROR(__xludf.DUMMYFUNCTION("""COMPUTED_VALUE"""),"2E4qJge")</f>
        <v>2E4qJge</v>
      </c>
      <c r="C57" s="5">
        <f>IFERROR(__xludf.DUMMYFUNCTION("""COMPUTED_VALUE"""),46062.16138888889)</f>
        <v>46062.16139</v>
      </c>
      <c r="D57" s="1" t="str">
        <f>IFERROR(__xludf.DUMMYFUNCTION("""COMPUTED_VALUE"""),"36〜45歳")</f>
        <v>36〜45歳</v>
      </c>
      <c r="E57" s="1" t="str">
        <f>IFERROR(__xludf.DUMMYFUNCTION("""COMPUTED_VALUE"""),"男性")</f>
        <v>男性</v>
      </c>
      <c r="F57" s="1" t="str">
        <f>IFERROR(__xludf.DUMMYFUNCTION("""COMPUTED_VALUE"""),"1,200万円以上")</f>
        <v>1,200万円以上</v>
      </c>
      <c r="G57" s="1" t="str">
        <f>IFERROR(__xludf.DUMMYFUNCTION("""COMPUTED_VALUE"""),"関東")</f>
        <v>関東</v>
      </c>
      <c r="H57" s="1" t="str">
        <f>IFERROR(__xludf.DUMMYFUNCTION("""COMPUTED_VALUE"""),"毎日")</f>
        <v>毎日</v>
      </c>
      <c r="I57" s="1" t="str">
        <f>IFERROR(__xludf.DUMMYFUNCTION("""COMPUTED_VALUE"""),"ドリップコーヒー")</f>
        <v>ドリップコーヒー</v>
      </c>
      <c r="J57" s="1"/>
      <c r="K57" s="1" t="str">
        <f>IFERROR(__xludf.DUMMYFUNCTION("""COMPUTED_VALUE"""),"まったく飲まない")</f>
        <v>まったく飲まない</v>
      </c>
      <c r="L57" s="1"/>
      <c r="M57" s="1"/>
      <c r="N57" s="1" t="str">
        <f>IFERROR(__xludf.DUMMYFUNCTION("""COMPUTED_VALUE"""),"味・風味")</f>
        <v>味・風味</v>
      </c>
      <c r="O57" s="1"/>
      <c r="P57" s="1" t="str">
        <f>IFERROR(__xludf.DUMMYFUNCTION("""COMPUTED_VALUE"""),"自宅で, コンビニ（セブンイレブン、ローソンなど）")</f>
        <v>自宅で, コンビニ（セブンイレブン、ローソンなど）</v>
      </c>
      <c r="Q57" s="1"/>
      <c r="R57" s="1" t="str">
        <f>IFERROR(__xludf.DUMMYFUNCTION("""COMPUTED_VALUE"""),"ほとんど行かない")</f>
        <v>ほとんど行かない</v>
      </c>
      <c r="S57" s="1" t="str">
        <f>IFERROR(__xludf.DUMMYFUNCTION("""COMPUTED_VALUE"""),"友人と会うため")</f>
        <v>友人と会うため</v>
      </c>
      <c r="T57" s="1"/>
      <c r="U57" s="1" t="str">
        <f>IFERROR(__xludf.DUMMYFUNCTION("""COMPUTED_VALUE"""),"雰囲気・心地良さ")</f>
        <v>雰囲気・心地良さ</v>
      </c>
      <c r="V57" s="1"/>
      <c r="W57" s="1" t="str">
        <f>IFERROR(__xludf.DUMMYFUNCTION("""COMPUTED_VALUE"""),"いいえ")</f>
        <v>いいえ</v>
      </c>
      <c r="X57" s="1" t="str">
        <f>IFERROR(__xludf.DUMMYFUNCTION("""COMPUTED_VALUE"""),"はい（日本的）")</f>
        <v>はい（日本的）</v>
      </c>
      <c r="Y57" s="1">
        <f>IFERROR(__xludf.DUMMYFUNCTION("""COMPUTED_VALUE"""),5.0)</f>
        <v>5</v>
      </c>
      <c r="Z57" s="1">
        <f>IFERROR(__xludf.DUMMYFUNCTION("""COMPUTED_VALUE"""),7.0)</f>
        <v>7</v>
      </c>
      <c r="AA57" s="1">
        <f>IFERROR(__xludf.DUMMYFUNCTION("""COMPUTED_VALUE"""),2.0)</f>
        <v>2</v>
      </c>
      <c r="AB57" s="1" t="str">
        <f>IFERROR(__xludf.DUMMYFUNCTION("""COMPUTED_VALUE"""),"いいえ")</f>
        <v>いいえ</v>
      </c>
      <c r="AK57" s="1" t="s">
        <v>208</v>
      </c>
      <c r="AL57" s="1" t="s">
        <v>209</v>
      </c>
      <c r="AM57" s="5">
        <v>46062.16138888889</v>
      </c>
      <c r="AN57" s="1" t="s">
        <v>51</v>
      </c>
      <c r="AO57" s="1" t="s">
        <v>42</v>
      </c>
      <c r="AP57" s="1" t="s">
        <v>89</v>
      </c>
      <c r="AQ57" s="1" t="s">
        <v>30</v>
      </c>
      <c r="AR57" s="1" t="s">
        <v>44</v>
      </c>
      <c r="AS57" s="1" t="s">
        <v>32</v>
      </c>
      <c r="AU57" s="1" t="s">
        <v>103</v>
      </c>
      <c r="AV57" s="1" t="s">
        <v>104</v>
      </c>
      <c r="AX57" s="1" t="str">
        <f>IFERROR(__xludf.DUMMYFUNCTION("""COMPUTED_VALUE"""),"Taste/Flavor")</f>
        <v>Taste/Flavor</v>
      </c>
      <c r="AZ57" s="1" t="str">
        <f>IFERROR(__xludf.DUMMYFUNCTION("""COMPUTED_VALUE"""),"At home, From convenience stores (7-Eleven, Lawson, etc.)")</f>
        <v>At home, From convenience stores (7-Eleven, Lawson, etc.)</v>
      </c>
      <c r="BB57" s="1" t="s">
        <v>74</v>
      </c>
      <c r="BC57" s="1" t="s">
        <v>34</v>
      </c>
      <c r="BE57" s="1" t="s">
        <v>35</v>
      </c>
      <c r="BG57" s="1" t="s">
        <v>38</v>
      </c>
      <c r="BH57" s="1" t="s">
        <v>37</v>
      </c>
      <c r="BI57" s="1">
        <v>5.0</v>
      </c>
      <c r="BJ57" s="1">
        <v>7.0</v>
      </c>
      <c r="BK57" s="1">
        <v>2.0</v>
      </c>
      <c r="BL57" s="1" t="s">
        <v>38</v>
      </c>
    </row>
    <row r="58">
      <c r="A58" s="1" t="str">
        <f>IFERROR(__xludf.DUMMYFUNCTION("""COMPUTED_VALUE"""),"D4LZPPp")</f>
        <v>D4LZPPp</v>
      </c>
      <c r="B58" s="1" t="str">
        <f>IFERROR(__xludf.DUMMYFUNCTION("""COMPUTED_VALUE"""),"ODApo5k")</f>
        <v>ODApo5k</v>
      </c>
      <c r="C58" s="5">
        <f>IFERROR(__xludf.DUMMYFUNCTION("""COMPUTED_VALUE"""),46062.21375)</f>
        <v>46062.21375</v>
      </c>
      <c r="D58" s="1" t="str">
        <f>IFERROR(__xludf.DUMMYFUNCTION("""COMPUTED_VALUE"""),"26〜35歳")</f>
        <v>26〜35歳</v>
      </c>
      <c r="E58" s="1" t="str">
        <f>IFERROR(__xludf.DUMMYFUNCTION("""COMPUTED_VALUE"""),"男性")</f>
        <v>男性</v>
      </c>
      <c r="F58" s="1" t="str">
        <f>IFERROR(__xludf.DUMMYFUNCTION("""COMPUTED_VALUE"""),"300万円〜599万9,999円")</f>
        <v>300万円〜599万9,999円</v>
      </c>
      <c r="G58" s="1" t="str">
        <f>IFERROR(__xludf.DUMMYFUNCTION("""COMPUTED_VALUE"""),"関東")</f>
        <v>関東</v>
      </c>
      <c r="H58" s="1" t="str">
        <f>IFERROR(__xludf.DUMMYFUNCTION("""COMPUTED_VALUE"""),"毎日")</f>
        <v>毎日</v>
      </c>
      <c r="I58" s="1" t="str">
        <f>IFERROR(__xludf.DUMMYFUNCTION("""COMPUTED_VALUE"""),"ドリップコーヒー")</f>
        <v>ドリップコーヒー</v>
      </c>
      <c r="J58" s="1"/>
      <c r="K58" s="1" t="str">
        <f>IFERROR(__xludf.DUMMYFUNCTION("""COMPUTED_VALUE"""),"まったく飲まない")</f>
        <v>まったく飲まない</v>
      </c>
      <c r="L58" s="1"/>
      <c r="M58" s="1"/>
      <c r="N58" s="1" t="str">
        <f>IFERROR(__xludf.DUMMYFUNCTION("""COMPUTED_VALUE"""),"習慣")</f>
        <v>習慣</v>
      </c>
      <c r="O58" s="1"/>
      <c r="P58" s="1" t="str">
        <f>IFERROR(__xludf.DUMMYFUNCTION("""COMPUTED_VALUE"""),"自宅で")</f>
        <v>自宅で</v>
      </c>
      <c r="Q58" s="1"/>
      <c r="R58" s="1" t="str">
        <f>IFERROR(__xludf.DUMMYFUNCTION("""COMPUTED_VALUE"""),"月に数回")</f>
        <v>月に数回</v>
      </c>
      <c r="S58" s="1" t="str">
        <f>IFERROR(__xludf.DUMMYFUNCTION("""COMPUTED_VALUE"""),"勉強・仕事をするため")</f>
        <v>勉強・仕事をするため</v>
      </c>
      <c r="T58" s="1"/>
      <c r="U58" s="1" t="str">
        <f>IFERROR(__xludf.DUMMYFUNCTION("""COMPUTED_VALUE"""),"雰囲気・心地良さ")</f>
        <v>雰囲気・心地良さ</v>
      </c>
      <c r="V58" s="1"/>
      <c r="W58" s="1" t="str">
        <f>IFERROR(__xludf.DUMMYFUNCTION("""COMPUTED_VALUE"""),"いいえ")</f>
        <v>いいえ</v>
      </c>
      <c r="X58" s="1" t="str">
        <f>IFERROR(__xludf.DUMMYFUNCTION("""COMPUTED_VALUE"""),"はい（日本的）")</f>
        <v>はい（日本的）</v>
      </c>
      <c r="Y58" s="1">
        <f>IFERROR(__xludf.DUMMYFUNCTION("""COMPUTED_VALUE"""),6.0)</f>
        <v>6</v>
      </c>
      <c r="Z58" s="1">
        <f>IFERROR(__xludf.DUMMYFUNCTION("""COMPUTED_VALUE"""),6.0)</f>
        <v>6</v>
      </c>
      <c r="AA58" s="1">
        <f>IFERROR(__xludf.DUMMYFUNCTION("""COMPUTED_VALUE"""),4.0)</f>
        <v>4</v>
      </c>
      <c r="AB58" s="1" t="str">
        <f>IFERROR(__xludf.DUMMYFUNCTION("""COMPUTED_VALUE"""),"いいえ")</f>
        <v>いいえ</v>
      </c>
      <c r="AK58" s="1" t="s">
        <v>210</v>
      </c>
      <c r="AL58" s="1" t="s">
        <v>211</v>
      </c>
      <c r="AM58" s="5">
        <v>46062.21375</v>
      </c>
      <c r="AN58" s="1" t="s">
        <v>27</v>
      </c>
      <c r="AO58" s="1" t="s">
        <v>42</v>
      </c>
      <c r="AP58" s="1" t="s">
        <v>64</v>
      </c>
      <c r="AQ58" s="1" t="s">
        <v>30</v>
      </c>
      <c r="AR58" s="1" t="s">
        <v>44</v>
      </c>
      <c r="AS58" s="1" t="s">
        <v>32</v>
      </c>
      <c r="AU58" s="1" t="s">
        <v>103</v>
      </c>
      <c r="AV58" s="1" t="s">
        <v>104</v>
      </c>
      <c r="AX58" s="1" t="str">
        <f>IFERROR(__xludf.DUMMYFUNCTION("""COMPUTED_VALUE"""),"Routine/Ritual")</f>
        <v>Routine/Ritual</v>
      </c>
      <c r="AZ58" s="1" t="str">
        <f>IFERROR(__xludf.DUMMYFUNCTION("""COMPUTED_VALUE"""),"At home")</f>
        <v>At home</v>
      </c>
      <c r="BB58" s="1" t="s">
        <v>60</v>
      </c>
      <c r="BC58" s="1" t="s">
        <v>75</v>
      </c>
      <c r="BE58" s="1" t="s">
        <v>35</v>
      </c>
      <c r="BG58" s="1" t="s">
        <v>38</v>
      </c>
      <c r="BH58" s="1" t="s">
        <v>37</v>
      </c>
      <c r="BI58" s="1">
        <v>6.0</v>
      </c>
      <c r="BJ58" s="1">
        <v>6.0</v>
      </c>
      <c r="BK58" s="1">
        <v>4.0</v>
      </c>
      <c r="BL58" s="1" t="s">
        <v>38</v>
      </c>
    </row>
    <row r="59">
      <c r="A59" s="1" t="str">
        <f>IFERROR(__xludf.DUMMYFUNCTION("""COMPUTED_VALUE"""),"obJkr8X")</f>
        <v>obJkr8X</v>
      </c>
      <c r="B59" s="1" t="str">
        <f>IFERROR(__xludf.DUMMYFUNCTION("""COMPUTED_VALUE"""),"gD5yxa1")</f>
        <v>gD5yxa1</v>
      </c>
      <c r="C59" s="5">
        <f>IFERROR(__xludf.DUMMYFUNCTION("""COMPUTED_VALUE"""),46062.278819444444)</f>
        <v>46062.27882</v>
      </c>
      <c r="D59" s="1" t="str">
        <f>IFERROR(__xludf.DUMMYFUNCTION("""COMPUTED_VALUE"""),"26〜35歳")</f>
        <v>26〜35歳</v>
      </c>
      <c r="E59" s="1" t="str">
        <f>IFERROR(__xludf.DUMMYFUNCTION("""COMPUTED_VALUE"""),"男性")</f>
        <v>男性</v>
      </c>
      <c r="F59" s="1" t="str">
        <f>IFERROR(__xludf.DUMMYFUNCTION("""COMPUTED_VALUE"""),"900万円〜1,199万9,999円")</f>
        <v>900万円〜1,199万9,999円</v>
      </c>
      <c r="G59" s="1" t="str">
        <f>IFERROR(__xludf.DUMMYFUNCTION("""COMPUTED_VALUE"""),"関東")</f>
        <v>関東</v>
      </c>
      <c r="H59" s="1" t="str">
        <f>IFERROR(__xludf.DUMMYFUNCTION("""COMPUTED_VALUE"""),"週に1回")</f>
        <v>週に1回</v>
      </c>
      <c r="I59" s="1" t="str">
        <f>IFERROR(__xludf.DUMMYFUNCTION("""COMPUTED_VALUE"""),"ラテ")</f>
        <v>ラテ</v>
      </c>
      <c r="J59" s="1"/>
      <c r="K59" s="1" t="str">
        <f>IFERROR(__xludf.DUMMYFUNCTION("""COMPUTED_VALUE"""),"週に1回")</f>
        <v>週に1回</v>
      </c>
      <c r="L59" s="1" t="str">
        <f>IFERROR(__xludf.DUMMYFUNCTION("""COMPUTED_VALUE"""),"薄茶")</f>
        <v>薄茶</v>
      </c>
      <c r="M59" s="1"/>
      <c r="N59" s="1" t="str">
        <f>IFERROR(__xludf.DUMMYFUNCTION("""COMPUTED_VALUE"""),"習慣, 味・風味")</f>
        <v>習慣, 味・風味</v>
      </c>
      <c r="O59" s="1"/>
      <c r="P59" s="1" t="str">
        <f>IFERROR(__xludf.DUMMYFUNCTION("""COMPUTED_VALUE"""),"自宅で, コンビニ（セブンイレブン、ローソンなど）")</f>
        <v>自宅で, コンビニ（セブンイレブン、ローソンなど）</v>
      </c>
      <c r="Q59" s="1"/>
      <c r="R59" s="1" t="str">
        <f>IFERROR(__xludf.DUMMYFUNCTION("""COMPUTED_VALUE"""),"月に数回")</f>
        <v>月に数回</v>
      </c>
      <c r="S59" s="1" t="str">
        <f>IFERROR(__xludf.DUMMYFUNCTION("""COMPUTED_VALUE"""),"その他：")</f>
        <v>その他：</v>
      </c>
      <c r="T59" s="1" t="str">
        <f>IFERROR(__xludf.DUMMYFUNCTION("""COMPUTED_VALUE"""),"次の予定までの時間調整のため")</f>
        <v>次の予定までの時間調整のため</v>
      </c>
      <c r="U59" s="1" t="str">
        <f>IFERROR(__xludf.DUMMYFUNCTION("""COMPUTED_VALUE"""),"雰囲気・心地良さ")</f>
        <v>雰囲気・心地良さ</v>
      </c>
      <c r="V59" s="1"/>
      <c r="W59" s="1" t="str">
        <f>IFERROR(__xludf.DUMMYFUNCTION("""COMPUTED_VALUE"""),"いいえ")</f>
        <v>いいえ</v>
      </c>
      <c r="X59" s="1" t="str">
        <f>IFERROR(__xludf.DUMMYFUNCTION("""COMPUTED_VALUE"""),"はい（日本的）")</f>
        <v>はい（日本的）</v>
      </c>
      <c r="Y59" s="1">
        <f>IFERROR(__xludf.DUMMYFUNCTION("""COMPUTED_VALUE"""),3.0)</f>
        <v>3</v>
      </c>
      <c r="Z59" s="1">
        <f>IFERROR(__xludf.DUMMYFUNCTION("""COMPUTED_VALUE"""),6.0)</f>
        <v>6</v>
      </c>
      <c r="AA59" s="1">
        <f>IFERROR(__xludf.DUMMYFUNCTION("""COMPUTED_VALUE"""),2.0)</f>
        <v>2</v>
      </c>
      <c r="AB59" s="1" t="str">
        <f>IFERROR(__xludf.DUMMYFUNCTION("""COMPUTED_VALUE"""),"はい")</f>
        <v>はい</v>
      </c>
      <c r="AK59" s="1" t="s">
        <v>212</v>
      </c>
      <c r="AL59" s="1" t="s">
        <v>213</v>
      </c>
      <c r="AM59" s="5">
        <v>46062.278819444444</v>
      </c>
      <c r="AN59" s="1" t="s">
        <v>27</v>
      </c>
      <c r="AO59" s="1" t="s">
        <v>42</v>
      </c>
      <c r="AP59" s="1" t="s">
        <v>121</v>
      </c>
      <c r="AQ59" s="1" t="s">
        <v>30</v>
      </c>
      <c r="AR59" s="1" t="s">
        <v>69</v>
      </c>
      <c r="AS59" s="1" t="s">
        <v>65</v>
      </c>
      <c r="AU59" s="1" t="s">
        <v>69</v>
      </c>
      <c r="AV59" s="1" t="s">
        <v>33</v>
      </c>
      <c r="AX59" s="1" t="str">
        <f>IFERROR(__xludf.DUMMYFUNCTION("""COMPUTED_VALUE"""),"Routine/Ritual, Taste/Flavor")</f>
        <v>Routine/Ritual, Taste/Flavor</v>
      </c>
      <c r="AZ59" s="1" t="str">
        <f>IFERROR(__xludf.DUMMYFUNCTION("""COMPUTED_VALUE"""),"At home, From convenience stores (7-Eleven, Lawson, etc.)")</f>
        <v>At home, From convenience stores (7-Eleven, Lawson, etc.)</v>
      </c>
      <c r="BB59" s="1" t="s">
        <v>60</v>
      </c>
      <c r="BC59" s="1" t="s">
        <v>54</v>
      </c>
      <c r="BD59" s="6" t="s">
        <v>214</v>
      </c>
      <c r="BE59" s="1" t="s">
        <v>35</v>
      </c>
      <c r="BG59" s="1" t="s">
        <v>38</v>
      </c>
      <c r="BH59" s="1" t="s">
        <v>37</v>
      </c>
      <c r="BI59" s="1">
        <v>3.0</v>
      </c>
      <c r="BJ59" s="1">
        <v>6.0</v>
      </c>
      <c r="BK59" s="1">
        <v>2.0</v>
      </c>
      <c r="BL59" s="1" t="s">
        <v>71</v>
      </c>
      <c r="BM59" s="7"/>
    </row>
    <row r="60">
      <c r="A60" s="1" t="str">
        <f>IFERROR(__xludf.DUMMYFUNCTION("""COMPUTED_VALUE"""),"rjXvy2L")</f>
        <v>rjXvy2L</v>
      </c>
      <c r="B60" s="1" t="str">
        <f>IFERROR(__xludf.DUMMYFUNCTION("""COMPUTED_VALUE"""),"9qdLg2Q")</f>
        <v>9qdLg2Q</v>
      </c>
      <c r="C60" s="5">
        <f>IFERROR(__xludf.DUMMYFUNCTION("""COMPUTED_VALUE"""),46062.281539351854)</f>
        <v>46062.28154</v>
      </c>
      <c r="D60" s="1" t="str">
        <f>IFERROR(__xludf.DUMMYFUNCTION("""COMPUTED_VALUE"""),"46〜55歳")</f>
        <v>46〜55歳</v>
      </c>
      <c r="E60" s="1" t="str">
        <f>IFERROR(__xludf.DUMMYFUNCTION("""COMPUTED_VALUE"""),"女性")</f>
        <v>女性</v>
      </c>
      <c r="F60" s="1" t="str">
        <f>IFERROR(__xludf.DUMMYFUNCTION("""COMPUTED_VALUE"""),"1,200万円以上")</f>
        <v>1,200万円以上</v>
      </c>
      <c r="G60" s="1" t="str">
        <f>IFERROR(__xludf.DUMMYFUNCTION("""COMPUTED_VALUE"""),"関東")</f>
        <v>関東</v>
      </c>
      <c r="H60" s="1" t="str">
        <f>IFERROR(__xludf.DUMMYFUNCTION("""COMPUTED_VALUE"""),"毎日")</f>
        <v>毎日</v>
      </c>
      <c r="I60" s="1" t="str">
        <f>IFERROR(__xludf.DUMMYFUNCTION("""COMPUTED_VALUE"""),"ドリップコーヒー")</f>
        <v>ドリップコーヒー</v>
      </c>
      <c r="J60" s="1"/>
      <c r="K60" s="1" t="str">
        <f>IFERROR(__xludf.DUMMYFUNCTION("""COMPUTED_VALUE"""),"ほとんど飲まない")</f>
        <v>ほとんど飲まない</v>
      </c>
      <c r="L60" s="1" t="str">
        <f>IFERROR(__xludf.DUMMYFUNCTION("""COMPUTED_VALUE"""),"抹茶は飲まない")</f>
        <v>抹茶は飲まない</v>
      </c>
      <c r="M60" s="1"/>
      <c r="N60" s="1" t="str">
        <f>IFERROR(__xludf.DUMMYFUNCTION("""COMPUTED_VALUE"""),"味・風味, 社交的な場や雰囲気の考慮")</f>
        <v>味・風味, 社交的な場や雰囲気の考慮</v>
      </c>
      <c r="O60" s="1"/>
      <c r="P60" s="1" t="str">
        <f>IFERROR(__xludf.DUMMYFUNCTION("""COMPUTED_VALUE"""),"自宅で, カフェで, コンビニ（セブンイレブン、ローソンなど）")</f>
        <v>自宅で, カフェで, コンビニ（セブンイレブン、ローソンなど）</v>
      </c>
      <c r="Q60" s="1"/>
      <c r="R60" s="1" t="str">
        <f>IFERROR(__xludf.DUMMYFUNCTION("""COMPUTED_VALUE"""),"月に数回")</f>
        <v>月に数回</v>
      </c>
      <c r="S60" s="1" t="str">
        <f>IFERROR(__xludf.DUMMYFUNCTION("""COMPUTED_VALUE"""),"友人と会うため")</f>
        <v>友人と会うため</v>
      </c>
      <c r="T60" s="1"/>
      <c r="U60" s="1" t="str">
        <f>IFERROR(__xludf.DUMMYFUNCTION("""COMPUTED_VALUE"""),"雰囲気・心地良さ")</f>
        <v>雰囲気・心地良さ</v>
      </c>
      <c r="V60" s="1"/>
      <c r="W60" s="1" t="str">
        <f>IFERROR(__xludf.DUMMYFUNCTION("""COMPUTED_VALUE"""),"いいえ")</f>
        <v>いいえ</v>
      </c>
      <c r="X60" s="1" t="str">
        <f>IFERROR(__xludf.DUMMYFUNCTION("""COMPUTED_VALUE"""),"はい（日本的）")</f>
        <v>はい（日本的）</v>
      </c>
      <c r="Y60" s="1">
        <f>IFERROR(__xludf.DUMMYFUNCTION("""COMPUTED_VALUE"""),6.0)</f>
        <v>6</v>
      </c>
      <c r="Z60" s="1">
        <f>IFERROR(__xludf.DUMMYFUNCTION("""COMPUTED_VALUE"""),6.0)</f>
        <v>6</v>
      </c>
      <c r="AA60" s="1">
        <f>IFERROR(__xludf.DUMMYFUNCTION("""COMPUTED_VALUE"""),3.0)</f>
        <v>3</v>
      </c>
      <c r="AB60" s="1" t="str">
        <f>IFERROR(__xludf.DUMMYFUNCTION("""COMPUTED_VALUE"""),"いいえ")</f>
        <v>いいえ</v>
      </c>
      <c r="AK60" s="1" t="s">
        <v>215</v>
      </c>
      <c r="AL60" s="1" t="s">
        <v>216</v>
      </c>
      <c r="AM60" s="5">
        <v>46062.281539351854</v>
      </c>
      <c r="AN60" s="1" t="s">
        <v>95</v>
      </c>
      <c r="AO60" s="1" t="s">
        <v>28</v>
      </c>
      <c r="AP60" s="1" t="s">
        <v>89</v>
      </c>
      <c r="AQ60" s="1" t="s">
        <v>30</v>
      </c>
      <c r="AR60" s="1" t="s">
        <v>44</v>
      </c>
      <c r="AS60" s="1" t="s">
        <v>32</v>
      </c>
      <c r="AU60" s="1" t="s">
        <v>74</v>
      </c>
      <c r="AV60" s="1" t="s">
        <v>91</v>
      </c>
      <c r="AX60" s="1" t="str">
        <f>IFERROR(__xludf.DUMMYFUNCTION("""COMPUTED_VALUE"""),"Taste/Flavor, Social atmosphere")</f>
        <v>Taste/Flavor, Social atmosphere</v>
      </c>
      <c r="AZ60" s="1" t="str">
        <f>IFERROR(__xludf.DUMMYFUNCTION("""COMPUTED_VALUE"""),"At home, At cafés, From convenience stores (7-Eleven, Lawson, etc.)")</f>
        <v>At home, At cafés, From convenience stores (7-Eleven, Lawson, etc.)</v>
      </c>
      <c r="BB60" s="1" t="s">
        <v>60</v>
      </c>
      <c r="BC60" s="1" t="s">
        <v>34</v>
      </c>
      <c r="BE60" s="1" t="s">
        <v>35</v>
      </c>
      <c r="BG60" s="1" t="s">
        <v>38</v>
      </c>
      <c r="BH60" s="1" t="s">
        <v>37</v>
      </c>
      <c r="BI60" s="1">
        <v>6.0</v>
      </c>
      <c r="BJ60" s="1">
        <v>6.0</v>
      </c>
      <c r="BK60" s="1">
        <v>3.0</v>
      </c>
      <c r="BL60" s="1" t="s">
        <v>38</v>
      </c>
    </row>
    <row r="61">
      <c r="A61" s="1" t="str">
        <f>IFERROR(__xludf.DUMMYFUNCTION("""COMPUTED_VALUE"""),"0Q4a71P")</f>
        <v>0Q4a71P</v>
      </c>
      <c r="B61" s="1" t="str">
        <f>IFERROR(__xludf.DUMMYFUNCTION("""COMPUTED_VALUE"""),"obArZ1x")</f>
        <v>obArZ1x</v>
      </c>
      <c r="C61" s="5">
        <f>IFERROR(__xludf.DUMMYFUNCTION("""COMPUTED_VALUE"""),46062.29765046296)</f>
        <v>46062.29765</v>
      </c>
      <c r="D61" s="1" t="str">
        <f>IFERROR(__xludf.DUMMYFUNCTION("""COMPUTED_VALUE"""),"36〜45歳")</f>
        <v>36〜45歳</v>
      </c>
      <c r="E61" s="1" t="str">
        <f>IFERROR(__xludf.DUMMYFUNCTION("""COMPUTED_VALUE"""),"男性")</f>
        <v>男性</v>
      </c>
      <c r="F61" s="1" t="str">
        <f>IFERROR(__xludf.DUMMYFUNCTION("""COMPUTED_VALUE"""),"1,200万円以上")</f>
        <v>1,200万円以上</v>
      </c>
      <c r="G61" s="1" t="str">
        <f>IFERROR(__xludf.DUMMYFUNCTION("""COMPUTED_VALUE"""),"関東")</f>
        <v>関東</v>
      </c>
      <c r="H61" s="1" t="str">
        <f>IFERROR(__xludf.DUMMYFUNCTION("""COMPUTED_VALUE"""),"毎日")</f>
        <v>毎日</v>
      </c>
      <c r="I61" s="1" t="str">
        <f>IFERROR(__xludf.DUMMYFUNCTION("""COMPUTED_VALUE"""),"ドリップコーヒー")</f>
        <v>ドリップコーヒー</v>
      </c>
      <c r="J61" s="1"/>
      <c r="K61" s="1" t="str">
        <f>IFERROR(__xludf.DUMMYFUNCTION("""COMPUTED_VALUE"""),"まったく飲まない")</f>
        <v>まったく飲まない</v>
      </c>
      <c r="L61" s="1"/>
      <c r="M61" s="1"/>
      <c r="N61" s="1" t="str">
        <f>IFERROR(__xludf.DUMMYFUNCTION("""COMPUTED_VALUE"""),"習慣, エナジー／カフェイン")</f>
        <v>習慣, エナジー／カフェイン</v>
      </c>
      <c r="O61" s="1" t="str">
        <f>IFERROR(__xludf.DUMMYFUNCTION("""COMPUTED_VALUE"""),"抹茶は作り方が分かりません。")</f>
        <v>抹茶は作り方が分かりません。</v>
      </c>
      <c r="P61" s="1" t="str">
        <f>IFERROR(__xludf.DUMMYFUNCTION("""COMPUTED_VALUE"""),"自宅で")</f>
        <v>自宅で</v>
      </c>
      <c r="Q61" s="1"/>
      <c r="R61" s="1" t="str">
        <f>IFERROR(__xludf.DUMMYFUNCTION("""COMPUTED_VALUE"""),"ほとんど行かない")</f>
        <v>ほとんど行かない</v>
      </c>
      <c r="S61" s="1" t="str">
        <f>IFERROR(__xludf.DUMMYFUNCTION("""COMPUTED_VALUE"""),"その他：")</f>
        <v>その他：</v>
      </c>
      <c r="T61" s="1" t="str">
        <f>IFERROR(__xludf.DUMMYFUNCTION("""COMPUTED_VALUE"""),"外出時に次の用事まで時間があって作業をしたい時の居場所")</f>
        <v>外出時に次の用事まで時間があって作業をしたい時の居場所</v>
      </c>
      <c r="U61" s="1" t="str">
        <f>IFERROR(__xludf.DUMMYFUNCTION("""COMPUTED_VALUE"""),"雰囲気・心地良さ")</f>
        <v>雰囲気・心地良さ</v>
      </c>
      <c r="V61" s="1"/>
      <c r="W61" s="1" t="str">
        <f>IFERROR(__xludf.DUMMYFUNCTION("""COMPUTED_VALUE"""),"いいえ")</f>
        <v>いいえ</v>
      </c>
      <c r="X61" s="1" t="str">
        <f>IFERROR(__xludf.DUMMYFUNCTION("""COMPUTED_VALUE"""),"はい（日本的）")</f>
        <v>はい（日本的）</v>
      </c>
      <c r="Y61" s="1">
        <f>IFERROR(__xludf.DUMMYFUNCTION("""COMPUTED_VALUE"""),7.0)</f>
        <v>7</v>
      </c>
      <c r="Z61" s="1">
        <f>IFERROR(__xludf.DUMMYFUNCTION("""COMPUTED_VALUE"""),7.0)</f>
        <v>7</v>
      </c>
      <c r="AA61" s="1">
        <f>IFERROR(__xludf.DUMMYFUNCTION("""COMPUTED_VALUE"""),2.0)</f>
        <v>2</v>
      </c>
      <c r="AB61" s="1" t="str">
        <f>IFERROR(__xludf.DUMMYFUNCTION("""COMPUTED_VALUE"""),"いいえ")</f>
        <v>いいえ</v>
      </c>
      <c r="AK61" s="1" t="s">
        <v>217</v>
      </c>
      <c r="AL61" s="1" t="s">
        <v>218</v>
      </c>
      <c r="AM61" s="5">
        <v>46062.29765046296</v>
      </c>
      <c r="AN61" s="1" t="s">
        <v>51</v>
      </c>
      <c r="AO61" s="1" t="s">
        <v>42</v>
      </c>
      <c r="AP61" s="1" t="s">
        <v>89</v>
      </c>
      <c r="AQ61" s="1" t="s">
        <v>30</v>
      </c>
      <c r="AR61" s="1" t="s">
        <v>44</v>
      </c>
      <c r="AS61" s="1" t="s">
        <v>32</v>
      </c>
      <c r="AU61" s="1" t="s">
        <v>103</v>
      </c>
      <c r="AV61" s="1" t="s">
        <v>104</v>
      </c>
      <c r="AX61" s="1" t="str">
        <f>IFERROR(__xludf.DUMMYFUNCTION("""COMPUTED_VALUE"""),"Routine/Ritual, Energy boost/Caffeine")</f>
        <v>Routine/Ritual, Energy boost/Caffeine</v>
      </c>
      <c r="AY61" s="6" t="s">
        <v>219</v>
      </c>
      <c r="AZ61" s="1" t="str">
        <f>IFERROR(__xludf.DUMMYFUNCTION("""COMPUTED_VALUE"""),"At home")</f>
        <v>At home</v>
      </c>
      <c r="BB61" s="1" t="s">
        <v>74</v>
      </c>
      <c r="BC61" s="1" t="s">
        <v>54</v>
      </c>
      <c r="BD61" s="6" t="s">
        <v>220</v>
      </c>
      <c r="BE61" s="1" t="s">
        <v>35</v>
      </c>
      <c r="BG61" s="1" t="s">
        <v>38</v>
      </c>
      <c r="BH61" s="1" t="s">
        <v>37</v>
      </c>
      <c r="BI61" s="1">
        <v>7.0</v>
      </c>
      <c r="BJ61" s="1">
        <v>7.0</v>
      </c>
      <c r="BK61" s="1">
        <v>2.0</v>
      </c>
      <c r="BL61" s="1" t="s">
        <v>38</v>
      </c>
    </row>
    <row r="62">
      <c r="A62" s="1" t="str">
        <f>IFERROR(__xludf.DUMMYFUNCTION("""COMPUTED_VALUE"""),"ODRy7pR")</f>
        <v>ODRy7pR</v>
      </c>
      <c r="B62" s="1" t="str">
        <f>IFERROR(__xludf.DUMMYFUNCTION("""COMPUTED_VALUE"""),"5BkXJlP")</f>
        <v>5BkXJlP</v>
      </c>
      <c r="C62" s="5">
        <f>IFERROR(__xludf.DUMMYFUNCTION("""COMPUTED_VALUE"""),46063.04516203704)</f>
        <v>46063.04516</v>
      </c>
      <c r="D62" s="1" t="str">
        <f>IFERROR(__xludf.DUMMYFUNCTION("""COMPUTED_VALUE"""),"36〜45歳")</f>
        <v>36〜45歳</v>
      </c>
      <c r="E62" s="1" t="str">
        <f>IFERROR(__xludf.DUMMYFUNCTION("""COMPUTED_VALUE"""),"女性")</f>
        <v>女性</v>
      </c>
      <c r="F62" s="1" t="str">
        <f>IFERROR(__xludf.DUMMYFUNCTION("""COMPUTED_VALUE"""),"1,200万円以上")</f>
        <v>1,200万円以上</v>
      </c>
      <c r="G62" s="1" t="str">
        <f>IFERROR(__xludf.DUMMYFUNCTION("""COMPUTED_VALUE"""),"関東")</f>
        <v>関東</v>
      </c>
      <c r="H62" s="1" t="str">
        <f>IFERROR(__xludf.DUMMYFUNCTION("""COMPUTED_VALUE"""),"毎日")</f>
        <v>毎日</v>
      </c>
      <c r="I62" s="1" t="str">
        <f>IFERROR(__xludf.DUMMYFUNCTION("""COMPUTED_VALUE"""),"プアオーバー（ハンドドリップ）")</f>
        <v>プアオーバー（ハンドドリップ）</v>
      </c>
      <c r="J62" s="1"/>
      <c r="K62" s="1" t="str">
        <f>IFERROR(__xludf.DUMMYFUNCTION("""COMPUTED_VALUE"""),"まったく飲まない")</f>
        <v>まったく飲まない</v>
      </c>
      <c r="L62" s="1"/>
      <c r="M62" s="1"/>
      <c r="N62" s="1" t="str">
        <f>IFERROR(__xludf.DUMMYFUNCTION("""COMPUTED_VALUE"""),"味・風味")</f>
        <v>味・風味</v>
      </c>
      <c r="O62" s="1"/>
      <c r="P62" s="1" t="str">
        <f>IFERROR(__xludf.DUMMYFUNCTION("""COMPUTED_VALUE"""),"自宅で, コンビニ（セブンイレブン、ローソンなど）")</f>
        <v>自宅で, コンビニ（セブンイレブン、ローソンなど）</v>
      </c>
      <c r="Q62" s="1"/>
      <c r="R62" s="1" t="str">
        <f>IFERROR(__xludf.DUMMYFUNCTION("""COMPUTED_VALUE"""),"月に数回")</f>
        <v>月に数回</v>
      </c>
      <c r="S62" s="1" t="str">
        <f>IFERROR(__xludf.DUMMYFUNCTION("""COMPUTED_VALUE"""),"休憩・リラックスするため")</f>
        <v>休憩・リラックスするため</v>
      </c>
      <c r="T62" s="1"/>
      <c r="U62" s="1" t="str">
        <f>IFERROR(__xludf.DUMMYFUNCTION("""COMPUTED_VALUE"""),"雰囲気・心地良さ")</f>
        <v>雰囲気・心地良さ</v>
      </c>
      <c r="V62" s="1"/>
      <c r="W62" s="1" t="str">
        <f>IFERROR(__xludf.DUMMYFUNCTION("""COMPUTED_VALUE"""),"わからない")</f>
        <v>わからない</v>
      </c>
      <c r="X62" s="1" t="str">
        <f>IFERROR(__xludf.DUMMYFUNCTION("""COMPUTED_VALUE"""),"はい（日本的）")</f>
        <v>はい（日本的）</v>
      </c>
      <c r="Y62" s="1">
        <f>IFERROR(__xludf.DUMMYFUNCTION("""COMPUTED_VALUE"""),4.0)</f>
        <v>4</v>
      </c>
      <c r="Z62" s="1">
        <f>IFERROR(__xludf.DUMMYFUNCTION("""COMPUTED_VALUE"""),6.0)</f>
        <v>6</v>
      </c>
      <c r="AA62" s="1">
        <f>IFERROR(__xludf.DUMMYFUNCTION("""COMPUTED_VALUE"""),5.0)</f>
        <v>5</v>
      </c>
      <c r="AB62" s="1" t="str">
        <f>IFERROR(__xludf.DUMMYFUNCTION("""COMPUTED_VALUE"""),"いいえ")</f>
        <v>いいえ</v>
      </c>
      <c r="AK62" s="1" t="s">
        <v>221</v>
      </c>
      <c r="AL62" s="1" t="s">
        <v>222</v>
      </c>
      <c r="AM62" s="5">
        <v>46063.04516203704</v>
      </c>
      <c r="AN62" s="1" t="s">
        <v>51</v>
      </c>
      <c r="AO62" s="1" t="s">
        <v>28</v>
      </c>
      <c r="AP62" s="1" t="s">
        <v>89</v>
      </c>
      <c r="AQ62" s="1" t="s">
        <v>30</v>
      </c>
      <c r="AR62" s="1" t="s">
        <v>44</v>
      </c>
      <c r="AS62" s="1" t="s">
        <v>53</v>
      </c>
      <c r="AU62" s="1" t="s">
        <v>103</v>
      </c>
      <c r="AV62" s="1" t="s">
        <v>104</v>
      </c>
      <c r="AX62" s="1" t="str">
        <f>IFERROR(__xludf.DUMMYFUNCTION("""COMPUTED_VALUE"""),"Taste/Flavor")</f>
        <v>Taste/Flavor</v>
      </c>
      <c r="AZ62" s="1" t="str">
        <f>IFERROR(__xludf.DUMMYFUNCTION("""COMPUTED_VALUE"""),"At home, From convenience stores (7-Eleven, Lawson, etc.)")</f>
        <v>At home, From convenience stores (7-Eleven, Lawson, etc.)</v>
      </c>
      <c r="BB62" s="1" t="s">
        <v>60</v>
      </c>
      <c r="BC62" s="1" t="s">
        <v>61</v>
      </c>
      <c r="BE62" s="1" t="s">
        <v>35</v>
      </c>
      <c r="BG62" s="1" t="s">
        <v>66</v>
      </c>
      <c r="BH62" s="1" t="s">
        <v>37</v>
      </c>
      <c r="BI62" s="1">
        <v>4.0</v>
      </c>
      <c r="BJ62" s="1">
        <v>6.0</v>
      </c>
      <c r="BK62" s="1">
        <v>5.0</v>
      </c>
      <c r="BL62" s="1" t="s">
        <v>38</v>
      </c>
    </row>
    <row r="63">
      <c r="A63" s="1" t="str">
        <f>IFERROR(__xludf.DUMMYFUNCTION("""COMPUTED_VALUE"""),"dW7VyRz")</f>
        <v>dW7VyRz</v>
      </c>
      <c r="B63" s="1" t="str">
        <f>IFERROR(__xludf.DUMMYFUNCTION("""COMPUTED_VALUE"""),"b5kqxyo")</f>
        <v>b5kqxyo</v>
      </c>
      <c r="C63" s="5">
        <f>IFERROR(__xludf.DUMMYFUNCTION("""COMPUTED_VALUE"""),46063.15777777778)</f>
        <v>46063.15778</v>
      </c>
      <c r="D63" s="1" t="str">
        <f>IFERROR(__xludf.DUMMYFUNCTION("""COMPUTED_VALUE"""),"18〜25歳")</f>
        <v>18〜25歳</v>
      </c>
      <c r="E63" s="1" t="str">
        <f>IFERROR(__xludf.DUMMYFUNCTION("""COMPUTED_VALUE"""),"男性")</f>
        <v>男性</v>
      </c>
      <c r="F63" s="1" t="str">
        <f>IFERROR(__xludf.DUMMYFUNCTION("""COMPUTED_VALUE"""),"600万円〜899万9,999円")</f>
        <v>600万円〜899万9,999円</v>
      </c>
      <c r="G63" s="1" t="str">
        <f>IFERROR(__xludf.DUMMYFUNCTION("""COMPUTED_VALUE"""),"関東")</f>
        <v>関東</v>
      </c>
      <c r="H63" s="1" t="str">
        <f>IFERROR(__xludf.DUMMYFUNCTION("""COMPUTED_VALUE"""),"毎日")</f>
        <v>毎日</v>
      </c>
      <c r="I63" s="1" t="str">
        <f>IFERROR(__xludf.DUMMYFUNCTION("""COMPUTED_VALUE"""),"ドリップコーヒー")</f>
        <v>ドリップコーヒー</v>
      </c>
      <c r="J63" s="1"/>
      <c r="K63" s="1" t="str">
        <f>IFERROR(__xludf.DUMMYFUNCTION("""COMPUTED_VALUE"""),"ほとんど飲まない")</f>
        <v>ほとんど飲まない</v>
      </c>
      <c r="L63" s="1" t="str">
        <f>IFERROR(__xludf.DUMMYFUNCTION("""COMPUTED_VALUE"""),"抹茶は飲まない")</f>
        <v>抹茶は飲まない</v>
      </c>
      <c r="M63" s="1"/>
      <c r="N63" s="1" t="str">
        <f>IFERROR(__xludf.DUMMYFUNCTION("""COMPUTED_VALUE"""),"その他：")</f>
        <v>その他：</v>
      </c>
      <c r="O63" s="1"/>
      <c r="P63" s="1"/>
      <c r="Q63" s="1"/>
      <c r="R63" s="1" t="str">
        <f>IFERROR(__xludf.DUMMYFUNCTION("""COMPUTED_VALUE"""),"月に数回")</f>
        <v>月に数回</v>
      </c>
      <c r="S63" s="1" t="str">
        <f>IFERROR(__xludf.DUMMYFUNCTION("""COMPUTED_VALUE"""),"友人と会うため")</f>
        <v>友人と会うため</v>
      </c>
      <c r="T63" s="1"/>
      <c r="U63" s="1" t="str">
        <f>IFERROR(__xludf.DUMMYFUNCTION("""COMPUTED_VALUE"""),"雰囲気・心地良さ")</f>
        <v>雰囲気・心地良さ</v>
      </c>
      <c r="V63" s="1"/>
      <c r="W63" s="1" t="str">
        <f>IFERROR(__xludf.DUMMYFUNCTION("""COMPUTED_VALUE"""),"いいえ")</f>
        <v>いいえ</v>
      </c>
      <c r="X63" s="1" t="str">
        <f>IFERROR(__xludf.DUMMYFUNCTION("""COMPUTED_VALUE"""),"はい（日本的）")</f>
        <v>はい（日本的）</v>
      </c>
      <c r="Y63" s="1">
        <f>IFERROR(__xludf.DUMMYFUNCTION("""COMPUTED_VALUE"""),6.0)</f>
        <v>6</v>
      </c>
      <c r="Z63" s="1">
        <f>IFERROR(__xludf.DUMMYFUNCTION("""COMPUTED_VALUE"""),6.0)</f>
        <v>6</v>
      </c>
      <c r="AA63" s="1">
        <f>IFERROR(__xludf.DUMMYFUNCTION("""COMPUTED_VALUE"""),4.0)</f>
        <v>4</v>
      </c>
      <c r="AB63" s="1" t="str">
        <f>IFERROR(__xludf.DUMMYFUNCTION("""COMPUTED_VALUE"""),"いいえ")</f>
        <v>いいえ</v>
      </c>
      <c r="AK63" s="1" t="s">
        <v>223</v>
      </c>
      <c r="AL63" s="1" t="s">
        <v>224</v>
      </c>
      <c r="AM63" s="5">
        <v>46063.15777777778</v>
      </c>
      <c r="AN63" s="1" t="s">
        <v>41</v>
      </c>
      <c r="AO63" s="1" t="s">
        <v>42</v>
      </c>
      <c r="AP63" s="1" t="s">
        <v>43</v>
      </c>
      <c r="AQ63" s="1" t="s">
        <v>30</v>
      </c>
      <c r="AR63" s="1" t="s">
        <v>44</v>
      </c>
      <c r="AS63" s="1" t="s">
        <v>32</v>
      </c>
      <c r="AU63" s="1" t="s">
        <v>74</v>
      </c>
      <c r="AV63" s="1" t="s">
        <v>91</v>
      </c>
      <c r="AX63" s="1" t="str">
        <f>IFERROR(__xludf.DUMMYFUNCTION("""COMPUTED_VALUE"""),"Other:")</f>
        <v>Other:</v>
      </c>
      <c r="AZ63" s="1" t="str">
        <f>IFERROR(__xludf.DUMMYFUNCTION("""COMPUTED_VALUE"""),"")</f>
        <v/>
      </c>
      <c r="BB63" s="1" t="s">
        <v>60</v>
      </c>
      <c r="BC63" s="1" t="s">
        <v>34</v>
      </c>
      <c r="BE63" s="1" t="s">
        <v>35</v>
      </c>
      <c r="BG63" s="1" t="s">
        <v>38</v>
      </c>
      <c r="BH63" s="1" t="s">
        <v>37</v>
      </c>
      <c r="BI63" s="1">
        <v>6.0</v>
      </c>
      <c r="BJ63" s="1">
        <v>6.0</v>
      </c>
      <c r="BK63" s="1">
        <v>4.0</v>
      </c>
      <c r="BL63" s="1" t="s">
        <v>38</v>
      </c>
    </row>
    <row r="64">
      <c r="A64" s="1" t="str">
        <f>IFERROR(__xludf.DUMMYFUNCTION("""COMPUTED_VALUE"""),"Ekpr5r4")</f>
        <v>Ekpr5r4</v>
      </c>
      <c r="B64" s="1" t="str">
        <f>IFERROR(__xludf.DUMMYFUNCTION("""COMPUTED_VALUE"""),"D41BQOZ")</f>
        <v>D41BQOZ</v>
      </c>
      <c r="C64" s="5">
        <f>IFERROR(__xludf.DUMMYFUNCTION("""COMPUTED_VALUE"""),46063.376122685186)</f>
        <v>46063.37612</v>
      </c>
      <c r="D64" s="1" t="str">
        <f>IFERROR(__xludf.DUMMYFUNCTION("""COMPUTED_VALUE"""),"65歳以上")</f>
        <v>65歳以上</v>
      </c>
      <c r="E64" s="1" t="str">
        <f>IFERROR(__xludf.DUMMYFUNCTION("""COMPUTED_VALUE"""),"男性")</f>
        <v>男性</v>
      </c>
      <c r="F64" s="1" t="str">
        <f>IFERROR(__xludf.DUMMYFUNCTION("""COMPUTED_VALUE"""),"1,200万円以上")</f>
        <v>1,200万円以上</v>
      </c>
      <c r="G64" s="1" t="str">
        <f>IFERROR(__xludf.DUMMYFUNCTION("""COMPUTED_VALUE"""),"関東")</f>
        <v>関東</v>
      </c>
      <c r="H64" s="1" t="str">
        <f>IFERROR(__xludf.DUMMYFUNCTION("""COMPUTED_VALUE"""),"ほとんど飲まない")</f>
        <v>ほとんど飲まない</v>
      </c>
      <c r="I64" s="1" t="str">
        <f>IFERROR(__xludf.DUMMYFUNCTION("""COMPUTED_VALUE"""),"コーヒーは飲まない")</f>
        <v>コーヒーは飲まない</v>
      </c>
      <c r="J64" s="1"/>
      <c r="K64" s="1" t="str">
        <f>IFERROR(__xludf.DUMMYFUNCTION("""COMPUTED_VALUE"""),"ほとんど飲まない")</f>
        <v>ほとんど飲まない</v>
      </c>
      <c r="L64" s="1" t="str">
        <f>IFERROR(__xludf.DUMMYFUNCTION("""COMPUTED_VALUE"""),"抹茶は飲まない")</f>
        <v>抹茶は飲まない</v>
      </c>
      <c r="M64" s="1"/>
      <c r="N64" s="1" t="str">
        <f>IFERROR(__xludf.DUMMYFUNCTION("""COMPUTED_VALUE"""),"味・風味")</f>
        <v>味・風味</v>
      </c>
      <c r="O64" s="1"/>
      <c r="P64" s="1" t="str">
        <f>IFERROR(__xludf.DUMMYFUNCTION("""COMPUTED_VALUE"""),"自宅で")</f>
        <v>自宅で</v>
      </c>
      <c r="Q64" s="1"/>
      <c r="R64" s="1" t="str">
        <f>IFERROR(__xludf.DUMMYFUNCTION("""COMPUTED_VALUE"""),"ほとんど行かない")</f>
        <v>ほとんど行かない</v>
      </c>
      <c r="S64" s="1"/>
      <c r="T64" s="1"/>
      <c r="U64" s="1" t="str">
        <f>IFERROR(__xludf.DUMMYFUNCTION("""COMPUTED_VALUE"""),"飲み物の味・品質")</f>
        <v>飲み物の味・品質</v>
      </c>
      <c r="V64" s="1"/>
      <c r="W64" s="1" t="str">
        <f>IFERROR(__xludf.DUMMYFUNCTION("""COMPUTED_VALUE"""),"いいえ")</f>
        <v>いいえ</v>
      </c>
      <c r="X64" s="1" t="str">
        <f>IFERROR(__xludf.DUMMYFUNCTION("""COMPUTED_VALUE"""),"はい（日本的）")</f>
        <v>はい（日本的）</v>
      </c>
      <c r="Y64" s="1">
        <f>IFERROR(__xludf.DUMMYFUNCTION("""COMPUTED_VALUE"""),7.0)</f>
        <v>7</v>
      </c>
      <c r="Z64" s="1">
        <f>IFERROR(__xludf.DUMMYFUNCTION("""COMPUTED_VALUE"""),2.0)</f>
        <v>2</v>
      </c>
      <c r="AA64" s="1">
        <f>IFERROR(__xludf.DUMMYFUNCTION("""COMPUTED_VALUE"""),5.0)</f>
        <v>5</v>
      </c>
      <c r="AB64" s="1" t="str">
        <f>IFERROR(__xludf.DUMMYFUNCTION("""COMPUTED_VALUE"""),"いいえ")</f>
        <v>いいえ</v>
      </c>
      <c r="AK64" s="1" t="s">
        <v>225</v>
      </c>
      <c r="AL64" s="1" t="s">
        <v>226</v>
      </c>
      <c r="AM64" s="5">
        <v>46063.376122685186</v>
      </c>
      <c r="AN64" s="1" t="s">
        <v>85</v>
      </c>
      <c r="AO64" s="1" t="s">
        <v>42</v>
      </c>
      <c r="AP64" s="1" t="s">
        <v>89</v>
      </c>
      <c r="AQ64" s="1" t="s">
        <v>30</v>
      </c>
      <c r="AR64" s="1" t="s">
        <v>74</v>
      </c>
      <c r="AS64" s="1" t="s">
        <v>172</v>
      </c>
      <c r="AU64" s="1" t="s">
        <v>74</v>
      </c>
      <c r="AV64" s="1" t="s">
        <v>91</v>
      </c>
      <c r="AX64" s="1" t="str">
        <f>IFERROR(__xludf.DUMMYFUNCTION("""COMPUTED_VALUE"""),"Taste/Flavor")</f>
        <v>Taste/Flavor</v>
      </c>
      <c r="AZ64" s="1" t="str">
        <f>IFERROR(__xludf.DUMMYFUNCTION("""COMPUTED_VALUE"""),"At home")</f>
        <v>At home</v>
      </c>
      <c r="BB64" s="1" t="s">
        <v>74</v>
      </c>
      <c r="BC64" s="1" t="s">
        <v>104</v>
      </c>
      <c r="BE64" s="1" t="s">
        <v>47</v>
      </c>
      <c r="BG64" s="1" t="s">
        <v>38</v>
      </c>
      <c r="BH64" s="1" t="s">
        <v>37</v>
      </c>
      <c r="BI64" s="1">
        <v>7.0</v>
      </c>
      <c r="BJ64" s="1">
        <v>2.0</v>
      </c>
      <c r="BK64" s="1">
        <v>5.0</v>
      </c>
      <c r="BL64" s="1" t="s">
        <v>38</v>
      </c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N65" s="1" t="s">
        <v>104</v>
      </c>
      <c r="AO65" s="1" t="s">
        <v>104</v>
      </c>
      <c r="AP65" s="1" t="s">
        <v>104</v>
      </c>
      <c r="AQ65" s="1" t="s">
        <v>104</v>
      </c>
      <c r="AR65" s="1" t="s">
        <v>104</v>
      </c>
      <c r="AS65" s="1" t="s">
        <v>104</v>
      </c>
      <c r="AU65" s="1" t="s">
        <v>104</v>
      </c>
      <c r="AV65" s="1" t="s">
        <v>104</v>
      </c>
      <c r="AX65" s="1" t="str">
        <f>IFERROR(__xludf.DUMMYFUNCTION("""COMPUTED_VALUE"""),"")</f>
        <v/>
      </c>
      <c r="AZ65" s="1" t="str">
        <f>IFERROR(__xludf.DUMMYFUNCTION("""COMPUTED_VALUE"""),"")</f>
        <v/>
      </c>
      <c r="BB65" s="1" t="s">
        <v>104</v>
      </c>
      <c r="BC65" s="1" t="s">
        <v>104</v>
      </c>
      <c r="BE65" s="1" t="s">
        <v>104</v>
      </c>
      <c r="BG65" s="1" t="s">
        <v>104</v>
      </c>
      <c r="BH65" s="1" t="s">
        <v>104</v>
      </c>
      <c r="BI65" s="1" t="s">
        <v>104</v>
      </c>
      <c r="BJ65" s="1" t="s">
        <v>104</v>
      </c>
      <c r="BK65" s="1" t="s">
        <v>104</v>
      </c>
      <c r="BL65" s="1" t="s">
        <v>104</v>
      </c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N66" s="1" t="s">
        <v>104</v>
      </c>
      <c r="AO66" s="1" t="s">
        <v>104</v>
      </c>
      <c r="AP66" s="1" t="s">
        <v>104</v>
      </c>
      <c r="AQ66" s="1" t="s">
        <v>104</v>
      </c>
      <c r="AR66" s="1" t="s">
        <v>104</v>
      </c>
      <c r="AS66" s="1" t="s">
        <v>104</v>
      </c>
      <c r="AU66" s="1" t="s">
        <v>104</v>
      </c>
      <c r="AV66" s="1" t="s">
        <v>104</v>
      </c>
      <c r="AX66" s="1" t="str">
        <f>IFERROR(__xludf.DUMMYFUNCTION("""COMPUTED_VALUE"""),"")</f>
        <v/>
      </c>
      <c r="AZ66" s="1" t="str">
        <f>IFERROR(__xludf.DUMMYFUNCTION("""COMPUTED_VALUE"""),"")</f>
        <v/>
      </c>
      <c r="BB66" s="1" t="s">
        <v>104</v>
      </c>
      <c r="BC66" s="1" t="s">
        <v>104</v>
      </c>
      <c r="BE66" s="1" t="s">
        <v>104</v>
      </c>
      <c r="BG66" s="1" t="s">
        <v>104</v>
      </c>
      <c r="BH66" s="1" t="s">
        <v>104</v>
      </c>
      <c r="BI66" s="1" t="s">
        <v>104</v>
      </c>
      <c r="BJ66" s="1" t="s">
        <v>104</v>
      </c>
      <c r="BK66" s="1" t="s">
        <v>104</v>
      </c>
      <c r="BL66" s="1" t="s">
        <v>104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N67" s="1" t="s">
        <v>104</v>
      </c>
      <c r="AO67" s="1" t="s">
        <v>104</v>
      </c>
      <c r="AP67" s="1" t="s">
        <v>104</v>
      </c>
      <c r="AQ67" s="1" t="s">
        <v>104</v>
      </c>
      <c r="AR67" s="1" t="s">
        <v>104</v>
      </c>
      <c r="AS67" s="1" t="s">
        <v>104</v>
      </c>
      <c r="AU67" s="1" t="s">
        <v>104</v>
      </c>
      <c r="AV67" s="1" t="s">
        <v>104</v>
      </c>
      <c r="AX67" s="1" t="str">
        <f>IFERROR(__xludf.DUMMYFUNCTION("""COMPUTED_VALUE"""),"")</f>
        <v/>
      </c>
      <c r="AZ67" s="1" t="str">
        <f>IFERROR(__xludf.DUMMYFUNCTION("""COMPUTED_VALUE"""),"")</f>
        <v/>
      </c>
      <c r="BB67" s="1" t="s">
        <v>104</v>
      </c>
      <c r="BC67" s="1" t="s">
        <v>104</v>
      </c>
      <c r="BE67" s="1" t="s">
        <v>104</v>
      </c>
      <c r="BG67" s="1" t="s">
        <v>104</v>
      </c>
      <c r="BH67" s="1" t="s">
        <v>104</v>
      </c>
      <c r="BI67" s="1" t="s">
        <v>104</v>
      </c>
      <c r="BJ67" s="1" t="s">
        <v>104</v>
      </c>
      <c r="BK67" s="1" t="s">
        <v>104</v>
      </c>
      <c r="BL67" s="1" t="s">
        <v>104</v>
      </c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N68" s="1" t="s">
        <v>104</v>
      </c>
      <c r="AO68" s="1" t="s">
        <v>104</v>
      </c>
      <c r="AP68" s="1" t="s">
        <v>104</v>
      </c>
      <c r="AQ68" s="1" t="s">
        <v>104</v>
      </c>
      <c r="AR68" s="1" t="s">
        <v>104</v>
      </c>
      <c r="AS68" s="1" t="s">
        <v>104</v>
      </c>
      <c r="AU68" s="1" t="s">
        <v>104</v>
      </c>
      <c r="AV68" s="1" t="s">
        <v>104</v>
      </c>
      <c r="AX68" s="1" t="str">
        <f>IFERROR(__xludf.DUMMYFUNCTION("""COMPUTED_VALUE"""),"")</f>
        <v/>
      </c>
      <c r="AZ68" s="1" t="str">
        <f>IFERROR(__xludf.DUMMYFUNCTION("""COMPUTED_VALUE"""),"")</f>
        <v/>
      </c>
      <c r="BB68" s="1" t="s">
        <v>104</v>
      </c>
      <c r="BC68" s="1" t="s">
        <v>104</v>
      </c>
      <c r="BE68" s="1" t="s">
        <v>104</v>
      </c>
      <c r="BG68" s="1" t="s">
        <v>104</v>
      </c>
      <c r="BH68" s="1" t="s">
        <v>104</v>
      </c>
      <c r="BI68" s="1" t="s">
        <v>104</v>
      </c>
      <c r="BJ68" s="1" t="s">
        <v>104</v>
      </c>
      <c r="BK68" s="1" t="s">
        <v>104</v>
      </c>
      <c r="BL68" s="1" t="s">
        <v>104</v>
      </c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N69" s="1" t="s">
        <v>104</v>
      </c>
      <c r="AO69" s="1" t="s">
        <v>104</v>
      </c>
      <c r="AP69" s="1" t="s">
        <v>104</v>
      </c>
      <c r="AQ69" s="1" t="s">
        <v>104</v>
      </c>
      <c r="AR69" s="1" t="s">
        <v>104</v>
      </c>
      <c r="AS69" s="1" t="s">
        <v>104</v>
      </c>
      <c r="AU69" s="1" t="s">
        <v>104</v>
      </c>
      <c r="AV69" s="1" t="s">
        <v>104</v>
      </c>
      <c r="AX69" s="1" t="str">
        <f>IFERROR(__xludf.DUMMYFUNCTION("""COMPUTED_VALUE"""),"")</f>
        <v/>
      </c>
      <c r="AZ69" s="1" t="str">
        <f>IFERROR(__xludf.DUMMYFUNCTION("""COMPUTED_VALUE"""),"")</f>
        <v/>
      </c>
      <c r="BB69" s="1" t="s">
        <v>104</v>
      </c>
      <c r="BC69" s="1" t="s">
        <v>104</v>
      </c>
      <c r="BE69" s="1" t="s">
        <v>104</v>
      </c>
      <c r="BG69" s="1" t="s">
        <v>104</v>
      </c>
      <c r="BH69" s="1" t="s">
        <v>104</v>
      </c>
      <c r="BI69" s="1" t="s">
        <v>104</v>
      </c>
      <c r="BJ69" s="1" t="s">
        <v>104</v>
      </c>
      <c r="BK69" s="1" t="s">
        <v>104</v>
      </c>
      <c r="BL69" s="1" t="s">
        <v>104</v>
      </c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N70" s="1" t="s">
        <v>104</v>
      </c>
      <c r="AO70" s="1" t="s">
        <v>104</v>
      </c>
      <c r="AP70" s="1" t="s">
        <v>104</v>
      </c>
      <c r="AQ70" s="1" t="s">
        <v>104</v>
      </c>
      <c r="AR70" s="1" t="s">
        <v>104</v>
      </c>
      <c r="AS70" s="1" t="s">
        <v>104</v>
      </c>
      <c r="AU70" s="1" t="s">
        <v>104</v>
      </c>
      <c r="AV70" s="1" t="s">
        <v>104</v>
      </c>
      <c r="AX70" s="1" t="str">
        <f>IFERROR(__xludf.DUMMYFUNCTION("""COMPUTED_VALUE"""),"")</f>
        <v/>
      </c>
      <c r="AZ70" s="1" t="str">
        <f>IFERROR(__xludf.DUMMYFUNCTION("""COMPUTED_VALUE"""),"")</f>
        <v/>
      </c>
      <c r="BB70" s="1" t="s">
        <v>104</v>
      </c>
      <c r="BC70" s="1" t="s">
        <v>104</v>
      </c>
      <c r="BE70" s="1" t="s">
        <v>104</v>
      </c>
      <c r="BG70" s="1" t="s">
        <v>104</v>
      </c>
      <c r="BH70" s="1" t="s">
        <v>104</v>
      </c>
      <c r="BI70" s="1" t="s">
        <v>104</v>
      </c>
      <c r="BJ70" s="1" t="s">
        <v>104</v>
      </c>
      <c r="BK70" s="1" t="s">
        <v>104</v>
      </c>
      <c r="BL70" s="1" t="s">
        <v>104</v>
      </c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N71" s="1" t="s">
        <v>104</v>
      </c>
      <c r="AO71" s="1" t="s">
        <v>104</v>
      </c>
      <c r="AP71" s="1" t="s">
        <v>104</v>
      </c>
      <c r="AQ71" s="1" t="s">
        <v>104</v>
      </c>
      <c r="AR71" s="1" t="s">
        <v>104</v>
      </c>
      <c r="AS71" s="1" t="s">
        <v>104</v>
      </c>
      <c r="AU71" s="1" t="s">
        <v>104</v>
      </c>
      <c r="AV71" s="1" t="s">
        <v>104</v>
      </c>
      <c r="AX71" s="1" t="str">
        <f>IFERROR(__xludf.DUMMYFUNCTION("""COMPUTED_VALUE"""),"")</f>
        <v/>
      </c>
      <c r="AZ71" s="1" t="str">
        <f>IFERROR(__xludf.DUMMYFUNCTION("""COMPUTED_VALUE"""),"")</f>
        <v/>
      </c>
      <c r="BB71" s="1" t="s">
        <v>104</v>
      </c>
      <c r="BC71" s="1" t="s">
        <v>104</v>
      </c>
      <c r="BE71" s="1" t="s">
        <v>104</v>
      </c>
      <c r="BG71" s="1" t="s">
        <v>104</v>
      </c>
      <c r="BH71" s="1" t="s">
        <v>104</v>
      </c>
      <c r="BI71" s="1" t="s">
        <v>104</v>
      </c>
      <c r="BJ71" s="1" t="s">
        <v>104</v>
      </c>
      <c r="BK71" s="1" t="s">
        <v>104</v>
      </c>
      <c r="BL71" s="1" t="s">
        <v>104</v>
      </c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N72" s="1" t="s">
        <v>104</v>
      </c>
      <c r="AO72" s="1" t="s">
        <v>104</v>
      </c>
      <c r="AP72" s="1" t="s">
        <v>104</v>
      </c>
      <c r="AQ72" s="1" t="s">
        <v>104</v>
      </c>
      <c r="AR72" s="1" t="s">
        <v>104</v>
      </c>
      <c r="AS72" s="1" t="s">
        <v>104</v>
      </c>
      <c r="AU72" s="1" t="s">
        <v>104</v>
      </c>
      <c r="AV72" s="1" t="s">
        <v>104</v>
      </c>
      <c r="AX72" s="1" t="str">
        <f>IFERROR(__xludf.DUMMYFUNCTION("""COMPUTED_VALUE"""),"")</f>
        <v/>
      </c>
      <c r="AZ72" s="1" t="str">
        <f>IFERROR(__xludf.DUMMYFUNCTION("""COMPUTED_VALUE"""),"")</f>
        <v/>
      </c>
      <c r="BB72" s="1" t="s">
        <v>104</v>
      </c>
      <c r="BC72" s="1" t="s">
        <v>104</v>
      </c>
      <c r="BE72" s="1" t="s">
        <v>104</v>
      </c>
      <c r="BG72" s="1" t="s">
        <v>104</v>
      </c>
      <c r="BH72" s="1" t="s">
        <v>104</v>
      </c>
      <c r="BI72" s="1" t="s">
        <v>104</v>
      </c>
      <c r="BJ72" s="1" t="s">
        <v>104</v>
      </c>
      <c r="BK72" s="1" t="s">
        <v>104</v>
      </c>
      <c r="BL72" s="1" t="s">
        <v>104</v>
      </c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N73" s="1" t="s">
        <v>104</v>
      </c>
      <c r="AO73" s="1" t="s">
        <v>104</v>
      </c>
      <c r="AP73" s="1" t="s">
        <v>104</v>
      </c>
      <c r="AQ73" s="1" t="s">
        <v>104</v>
      </c>
      <c r="AR73" s="1" t="s">
        <v>104</v>
      </c>
      <c r="AS73" s="1" t="s">
        <v>104</v>
      </c>
      <c r="AU73" s="1" t="s">
        <v>104</v>
      </c>
      <c r="AV73" s="1" t="s">
        <v>104</v>
      </c>
      <c r="AX73" s="1" t="str">
        <f>IFERROR(__xludf.DUMMYFUNCTION("""COMPUTED_VALUE"""),"")</f>
        <v/>
      </c>
      <c r="AZ73" s="1" t="str">
        <f>IFERROR(__xludf.DUMMYFUNCTION("""COMPUTED_VALUE"""),"")</f>
        <v/>
      </c>
      <c r="BB73" s="1" t="s">
        <v>104</v>
      </c>
      <c r="BC73" s="1" t="s">
        <v>104</v>
      </c>
      <c r="BE73" s="1" t="s">
        <v>104</v>
      </c>
      <c r="BG73" s="1" t="s">
        <v>104</v>
      </c>
      <c r="BH73" s="1" t="s">
        <v>104</v>
      </c>
      <c r="BI73" s="1" t="s">
        <v>104</v>
      </c>
      <c r="BJ73" s="1" t="s">
        <v>104</v>
      </c>
      <c r="BK73" s="1" t="s">
        <v>104</v>
      </c>
      <c r="BL73" s="1" t="s">
        <v>104</v>
      </c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N74" s="1" t="s">
        <v>104</v>
      </c>
      <c r="AO74" s="1" t="s">
        <v>104</v>
      </c>
      <c r="AP74" s="1" t="s">
        <v>104</v>
      </c>
      <c r="AQ74" s="1" t="s">
        <v>104</v>
      </c>
      <c r="AR74" s="1" t="s">
        <v>104</v>
      </c>
      <c r="AS74" s="1" t="s">
        <v>104</v>
      </c>
      <c r="AU74" s="1" t="s">
        <v>104</v>
      </c>
      <c r="AV74" s="1" t="s">
        <v>104</v>
      </c>
      <c r="AX74" s="1" t="str">
        <f>IFERROR(__xludf.DUMMYFUNCTION("""COMPUTED_VALUE"""),"")</f>
        <v/>
      </c>
      <c r="AZ74" s="1" t="str">
        <f>IFERROR(__xludf.DUMMYFUNCTION("""COMPUTED_VALUE"""),"")</f>
        <v/>
      </c>
      <c r="BB74" s="1" t="s">
        <v>104</v>
      </c>
      <c r="BC74" s="1" t="s">
        <v>104</v>
      </c>
      <c r="BE74" s="1" t="s">
        <v>104</v>
      </c>
      <c r="BG74" s="1" t="s">
        <v>104</v>
      </c>
      <c r="BH74" s="1" t="s">
        <v>104</v>
      </c>
      <c r="BI74" s="1" t="s">
        <v>104</v>
      </c>
      <c r="BJ74" s="1" t="s">
        <v>104</v>
      </c>
      <c r="BK74" s="1" t="s">
        <v>104</v>
      </c>
      <c r="BL74" s="1" t="s">
        <v>104</v>
      </c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N75" s="1" t="s">
        <v>104</v>
      </c>
      <c r="AO75" s="1" t="s">
        <v>104</v>
      </c>
      <c r="AP75" s="1" t="s">
        <v>104</v>
      </c>
      <c r="AQ75" s="1" t="s">
        <v>104</v>
      </c>
      <c r="AR75" s="1" t="s">
        <v>104</v>
      </c>
      <c r="AS75" s="1" t="s">
        <v>104</v>
      </c>
      <c r="AU75" s="1" t="s">
        <v>104</v>
      </c>
      <c r="AV75" s="1" t="s">
        <v>104</v>
      </c>
      <c r="AX75" s="1" t="str">
        <f>IFERROR(__xludf.DUMMYFUNCTION("""COMPUTED_VALUE"""),"")</f>
        <v/>
      </c>
      <c r="AZ75" s="1" t="str">
        <f>IFERROR(__xludf.DUMMYFUNCTION("""COMPUTED_VALUE"""),"")</f>
        <v/>
      </c>
      <c r="BB75" s="1" t="s">
        <v>104</v>
      </c>
      <c r="BC75" s="1" t="s">
        <v>104</v>
      </c>
      <c r="BE75" s="1" t="s">
        <v>104</v>
      </c>
      <c r="BG75" s="1" t="s">
        <v>104</v>
      </c>
      <c r="BH75" s="1" t="s">
        <v>104</v>
      </c>
      <c r="BI75" s="1" t="s">
        <v>104</v>
      </c>
      <c r="BJ75" s="1" t="s">
        <v>104</v>
      </c>
      <c r="BK75" s="1" t="s">
        <v>104</v>
      </c>
      <c r="BL75" s="1" t="s">
        <v>104</v>
      </c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N76" s="1" t="s">
        <v>104</v>
      </c>
      <c r="AO76" s="1" t="s">
        <v>104</v>
      </c>
      <c r="AP76" s="1" t="s">
        <v>104</v>
      </c>
      <c r="AQ76" s="1" t="s">
        <v>104</v>
      </c>
      <c r="AR76" s="1" t="s">
        <v>104</v>
      </c>
      <c r="AS76" s="1" t="s">
        <v>104</v>
      </c>
      <c r="AU76" s="1" t="s">
        <v>104</v>
      </c>
      <c r="AV76" s="1" t="s">
        <v>104</v>
      </c>
      <c r="AX76" s="1" t="str">
        <f>IFERROR(__xludf.DUMMYFUNCTION("""COMPUTED_VALUE"""),"")</f>
        <v/>
      </c>
      <c r="AZ76" s="1" t="str">
        <f>IFERROR(__xludf.DUMMYFUNCTION("""COMPUTED_VALUE"""),"")</f>
        <v/>
      </c>
      <c r="BB76" s="1" t="s">
        <v>104</v>
      </c>
      <c r="BC76" s="1" t="s">
        <v>104</v>
      </c>
      <c r="BE76" s="1" t="s">
        <v>104</v>
      </c>
      <c r="BG76" s="1" t="s">
        <v>104</v>
      </c>
      <c r="BH76" s="1" t="s">
        <v>104</v>
      </c>
      <c r="BI76" s="1" t="s">
        <v>104</v>
      </c>
      <c r="BJ76" s="1" t="s">
        <v>104</v>
      </c>
      <c r="BK76" s="1" t="s">
        <v>104</v>
      </c>
      <c r="BL76" s="1" t="s">
        <v>104</v>
      </c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N77" s="1" t="s">
        <v>104</v>
      </c>
      <c r="AO77" s="1" t="s">
        <v>104</v>
      </c>
      <c r="AP77" s="1" t="s">
        <v>104</v>
      </c>
      <c r="AQ77" s="1" t="s">
        <v>104</v>
      </c>
      <c r="AR77" s="1" t="s">
        <v>104</v>
      </c>
      <c r="AS77" s="1" t="s">
        <v>104</v>
      </c>
      <c r="AU77" s="1" t="s">
        <v>104</v>
      </c>
      <c r="AV77" s="1" t="s">
        <v>104</v>
      </c>
      <c r="AX77" s="1" t="str">
        <f>IFERROR(__xludf.DUMMYFUNCTION("""COMPUTED_VALUE"""),"")</f>
        <v/>
      </c>
      <c r="AZ77" s="1" t="str">
        <f>IFERROR(__xludf.DUMMYFUNCTION("""COMPUTED_VALUE"""),"")</f>
        <v/>
      </c>
      <c r="BB77" s="1" t="s">
        <v>104</v>
      </c>
      <c r="BC77" s="1" t="s">
        <v>104</v>
      </c>
      <c r="BE77" s="1" t="s">
        <v>104</v>
      </c>
      <c r="BG77" s="1" t="s">
        <v>104</v>
      </c>
      <c r="BH77" s="1" t="s">
        <v>104</v>
      </c>
      <c r="BI77" s="1" t="s">
        <v>104</v>
      </c>
      <c r="BJ77" s="1" t="s">
        <v>104</v>
      </c>
      <c r="BK77" s="1" t="s">
        <v>104</v>
      </c>
      <c r="BL77" s="1" t="s">
        <v>104</v>
      </c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N78" s="1" t="s">
        <v>104</v>
      </c>
      <c r="AO78" s="1" t="s">
        <v>104</v>
      </c>
      <c r="AP78" s="1" t="s">
        <v>104</v>
      </c>
      <c r="AQ78" s="1" t="s">
        <v>104</v>
      </c>
      <c r="AR78" s="1" t="s">
        <v>104</v>
      </c>
      <c r="AS78" s="1" t="s">
        <v>104</v>
      </c>
      <c r="AU78" s="1" t="s">
        <v>104</v>
      </c>
      <c r="AV78" s="1" t="s">
        <v>104</v>
      </c>
      <c r="AX78" s="1" t="str">
        <f>IFERROR(__xludf.DUMMYFUNCTION("""COMPUTED_VALUE"""),"")</f>
        <v/>
      </c>
      <c r="AZ78" s="1" t="str">
        <f>IFERROR(__xludf.DUMMYFUNCTION("""COMPUTED_VALUE"""),"")</f>
        <v/>
      </c>
      <c r="BB78" s="1" t="s">
        <v>104</v>
      </c>
      <c r="BC78" s="1" t="s">
        <v>104</v>
      </c>
      <c r="BE78" s="1" t="s">
        <v>104</v>
      </c>
      <c r="BG78" s="1" t="s">
        <v>104</v>
      </c>
      <c r="BH78" s="1" t="s">
        <v>104</v>
      </c>
      <c r="BI78" s="1" t="s">
        <v>104</v>
      </c>
      <c r="BJ78" s="1" t="s">
        <v>104</v>
      </c>
      <c r="BK78" s="1" t="s">
        <v>104</v>
      </c>
      <c r="BL78" s="1" t="s">
        <v>104</v>
      </c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N79" s="1" t="s">
        <v>104</v>
      </c>
      <c r="AO79" s="1" t="s">
        <v>104</v>
      </c>
      <c r="AP79" s="1" t="s">
        <v>104</v>
      </c>
      <c r="AQ79" s="1" t="s">
        <v>104</v>
      </c>
      <c r="AR79" s="1" t="s">
        <v>104</v>
      </c>
      <c r="AS79" s="1" t="s">
        <v>104</v>
      </c>
      <c r="AU79" s="1" t="s">
        <v>104</v>
      </c>
      <c r="AV79" s="1" t="s">
        <v>104</v>
      </c>
      <c r="AX79" s="1" t="str">
        <f>IFERROR(__xludf.DUMMYFUNCTION("""COMPUTED_VALUE"""),"")</f>
        <v/>
      </c>
      <c r="AZ79" s="1" t="str">
        <f>IFERROR(__xludf.DUMMYFUNCTION("""COMPUTED_VALUE"""),"")</f>
        <v/>
      </c>
      <c r="BB79" s="1" t="s">
        <v>104</v>
      </c>
      <c r="BC79" s="1" t="s">
        <v>104</v>
      </c>
      <c r="BE79" s="1" t="s">
        <v>104</v>
      </c>
      <c r="BG79" s="1" t="s">
        <v>104</v>
      </c>
      <c r="BH79" s="1" t="s">
        <v>104</v>
      </c>
      <c r="BI79" s="1" t="s">
        <v>104</v>
      </c>
      <c r="BJ79" s="1" t="s">
        <v>104</v>
      </c>
      <c r="BK79" s="1" t="s">
        <v>104</v>
      </c>
      <c r="BL79" s="1" t="s">
        <v>104</v>
      </c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N80" s="1" t="s">
        <v>104</v>
      </c>
      <c r="AO80" s="1" t="s">
        <v>104</v>
      </c>
      <c r="AP80" s="1" t="s">
        <v>104</v>
      </c>
      <c r="AQ80" s="1" t="s">
        <v>104</v>
      </c>
      <c r="AR80" s="1" t="s">
        <v>104</v>
      </c>
      <c r="AS80" s="1" t="s">
        <v>104</v>
      </c>
      <c r="AU80" s="1" t="s">
        <v>104</v>
      </c>
      <c r="AV80" s="1" t="s">
        <v>104</v>
      </c>
      <c r="AX80" s="1" t="str">
        <f>IFERROR(__xludf.DUMMYFUNCTION("""COMPUTED_VALUE"""),"")</f>
        <v/>
      </c>
      <c r="AZ80" s="1" t="str">
        <f>IFERROR(__xludf.DUMMYFUNCTION("""COMPUTED_VALUE"""),"")</f>
        <v/>
      </c>
      <c r="BB80" s="1" t="s">
        <v>104</v>
      </c>
      <c r="BC80" s="1" t="s">
        <v>104</v>
      </c>
      <c r="BE80" s="1" t="s">
        <v>104</v>
      </c>
      <c r="BG80" s="1" t="s">
        <v>104</v>
      </c>
      <c r="BH80" s="1" t="s">
        <v>104</v>
      </c>
      <c r="BI80" s="1" t="s">
        <v>104</v>
      </c>
      <c r="BJ80" s="1" t="s">
        <v>104</v>
      </c>
      <c r="BK80" s="1" t="s">
        <v>104</v>
      </c>
      <c r="BL80" s="1" t="s">
        <v>104</v>
      </c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N81" s="1" t="s">
        <v>104</v>
      </c>
      <c r="AO81" s="1" t="s">
        <v>104</v>
      </c>
      <c r="AP81" s="1" t="s">
        <v>104</v>
      </c>
      <c r="AQ81" s="1" t="s">
        <v>104</v>
      </c>
      <c r="AR81" s="1" t="s">
        <v>104</v>
      </c>
      <c r="AS81" s="1" t="s">
        <v>104</v>
      </c>
      <c r="AU81" s="1" t="s">
        <v>104</v>
      </c>
      <c r="AV81" s="1" t="s">
        <v>104</v>
      </c>
      <c r="AX81" s="1" t="str">
        <f>IFERROR(__xludf.DUMMYFUNCTION("""COMPUTED_VALUE"""),"")</f>
        <v/>
      </c>
      <c r="AZ81" s="1" t="str">
        <f>IFERROR(__xludf.DUMMYFUNCTION("""COMPUTED_VALUE"""),"")</f>
        <v/>
      </c>
      <c r="BB81" s="1" t="s">
        <v>104</v>
      </c>
      <c r="BC81" s="1" t="s">
        <v>104</v>
      </c>
      <c r="BE81" s="1" t="s">
        <v>104</v>
      </c>
      <c r="BG81" s="1" t="s">
        <v>104</v>
      </c>
      <c r="BH81" s="1" t="s">
        <v>104</v>
      </c>
      <c r="BI81" s="1" t="s">
        <v>104</v>
      </c>
      <c r="BJ81" s="1" t="s">
        <v>104</v>
      </c>
      <c r="BK81" s="1" t="s">
        <v>104</v>
      </c>
      <c r="BL81" s="1" t="s">
        <v>104</v>
      </c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N82" s="1" t="s">
        <v>104</v>
      </c>
      <c r="AO82" s="1" t="s">
        <v>104</v>
      </c>
      <c r="AP82" s="1" t="s">
        <v>104</v>
      </c>
      <c r="AQ82" s="1" t="s">
        <v>104</v>
      </c>
      <c r="AR82" s="1" t="s">
        <v>104</v>
      </c>
      <c r="AS82" s="1" t="s">
        <v>104</v>
      </c>
      <c r="AU82" s="1" t="s">
        <v>104</v>
      </c>
      <c r="AV82" s="1" t="s">
        <v>104</v>
      </c>
      <c r="AX82" s="1" t="str">
        <f>IFERROR(__xludf.DUMMYFUNCTION("""COMPUTED_VALUE"""),"")</f>
        <v/>
      </c>
      <c r="AZ82" s="1" t="str">
        <f>IFERROR(__xludf.DUMMYFUNCTION("""COMPUTED_VALUE"""),"")</f>
        <v/>
      </c>
      <c r="BB82" s="1" t="s">
        <v>104</v>
      </c>
      <c r="BC82" s="1" t="s">
        <v>104</v>
      </c>
      <c r="BE82" s="1" t="s">
        <v>104</v>
      </c>
      <c r="BG82" s="1" t="s">
        <v>104</v>
      </c>
      <c r="BH82" s="1" t="s">
        <v>104</v>
      </c>
      <c r="BI82" s="1" t="s">
        <v>104</v>
      </c>
      <c r="BJ82" s="1" t="s">
        <v>104</v>
      </c>
      <c r="BK82" s="1" t="s">
        <v>104</v>
      </c>
      <c r="BL82" s="1" t="s">
        <v>104</v>
      </c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N83" s="1" t="s">
        <v>104</v>
      </c>
      <c r="AO83" s="1" t="s">
        <v>104</v>
      </c>
      <c r="AP83" s="1" t="s">
        <v>104</v>
      </c>
      <c r="AQ83" s="1" t="s">
        <v>104</v>
      </c>
      <c r="AR83" s="1" t="s">
        <v>104</v>
      </c>
      <c r="AS83" s="1" t="s">
        <v>104</v>
      </c>
      <c r="AU83" s="1" t="s">
        <v>104</v>
      </c>
      <c r="AV83" s="1" t="s">
        <v>104</v>
      </c>
      <c r="AX83" s="1" t="str">
        <f>IFERROR(__xludf.DUMMYFUNCTION("""COMPUTED_VALUE"""),"")</f>
        <v/>
      </c>
      <c r="AZ83" s="1" t="str">
        <f>IFERROR(__xludf.DUMMYFUNCTION("""COMPUTED_VALUE"""),"")</f>
        <v/>
      </c>
      <c r="BB83" s="1" t="s">
        <v>104</v>
      </c>
      <c r="BC83" s="1" t="s">
        <v>104</v>
      </c>
      <c r="BE83" s="1" t="s">
        <v>104</v>
      </c>
      <c r="BG83" s="1" t="s">
        <v>104</v>
      </c>
      <c r="BH83" s="1" t="s">
        <v>104</v>
      </c>
      <c r="BI83" s="1" t="s">
        <v>104</v>
      </c>
      <c r="BJ83" s="1" t="s">
        <v>104</v>
      </c>
      <c r="BK83" s="1" t="s">
        <v>104</v>
      </c>
      <c r="BL83" s="1" t="s">
        <v>104</v>
      </c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N84" s="1" t="s">
        <v>104</v>
      </c>
      <c r="AO84" s="1" t="s">
        <v>104</v>
      </c>
      <c r="AP84" s="1" t="s">
        <v>104</v>
      </c>
      <c r="AQ84" s="1" t="s">
        <v>104</v>
      </c>
      <c r="AR84" s="1" t="s">
        <v>104</v>
      </c>
      <c r="AS84" s="1" t="s">
        <v>104</v>
      </c>
      <c r="AU84" s="1" t="s">
        <v>104</v>
      </c>
      <c r="AV84" s="1" t="s">
        <v>104</v>
      </c>
      <c r="AX84" s="1" t="str">
        <f>IFERROR(__xludf.DUMMYFUNCTION("""COMPUTED_VALUE"""),"")</f>
        <v/>
      </c>
      <c r="AZ84" s="1" t="str">
        <f>IFERROR(__xludf.DUMMYFUNCTION("""COMPUTED_VALUE"""),"")</f>
        <v/>
      </c>
      <c r="BB84" s="1" t="s">
        <v>104</v>
      </c>
      <c r="BC84" s="1" t="s">
        <v>104</v>
      </c>
      <c r="BE84" s="1" t="s">
        <v>104</v>
      </c>
      <c r="BG84" s="1" t="s">
        <v>104</v>
      </c>
      <c r="BH84" s="1" t="s">
        <v>104</v>
      </c>
      <c r="BI84" s="1" t="s">
        <v>104</v>
      </c>
      <c r="BJ84" s="1" t="s">
        <v>104</v>
      </c>
      <c r="BK84" s="1" t="s">
        <v>104</v>
      </c>
      <c r="BL84" s="1" t="s">
        <v>104</v>
      </c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N85" s="1" t="s">
        <v>104</v>
      </c>
      <c r="AO85" s="1" t="s">
        <v>104</v>
      </c>
      <c r="AP85" s="1" t="s">
        <v>104</v>
      </c>
      <c r="AQ85" s="1" t="s">
        <v>104</v>
      </c>
      <c r="AR85" s="1" t="s">
        <v>104</v>
      </c>
      <c r="AS85" s="1" t="s">
        <v>104</v>
      </c>
      <c r="AU85" s="1" t="s">
        <v>104</v>
      </c>
      <c r="AV85" s="1" t="s">
        <v>104</v>
      </c>
      <c r="AX85" s="1" t="str">
        <f>IFERROR(__xludf.DUMMYFUNCTION("""COMPUTED_VALUE"""),"")</f>
        <v/>
      </c>
      <c r="AZ85" s="1" t="str">
        <f>IFERROR(__xludf.DUMMYFUNCTION("""COMPUTED_VALUE"""),"")</f>
        <v/>
      </c>
      <c r="BB85" s="1" t="s">
        <v>104</v>
      </c>
      <c r="BC85" s="1" t="s">
        <v>104</v>
      </c>
      <c r="BE85" s="1" t="s">
        <v>104</v>
      </c>
      <c r="BG85" s="1" t="s">
        <v>104</v>
      </c>
      <c r="BH85" s="1" t="s">
        <v>104</v>
      </c>
      <c r="BI85" s="1" t="s">
        <v>104</v>
      </c>
      <c r="BJ85" s="1" t="s">
        <v>104</v>
      </c>
      <c r="BK85" s="1" t="s">
        <v>104</v>
      </c>
      <c r="BL85" s="1" t="s">
        <v>104</v>
      </c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N86" s="1" t="s">
        <v>104</v>
      </c>
      <c r="AO86" s="1" t="s">
        <v>104</v>
      </c>
      <c r="AP86" s="1" t="s">
        <v>104</v>
      </c>
      <c r="AQ86" s="1" t="s">
        <v>104</v>
      </c>
      <c r="AR86" s="1" t="s">
        <v>104</v>
      </c>
      <c r="AS86" s="1" t="s">
        <v>104</v>
      </c>
      <c r="AU86" s="1" t="s">
        <v>104</v>
      </c>
      <c r="AV86" s="1" t="s">
        <v>104</v>
      </c>
      <c r="AX86" s="1" t="str">
        <f>IFERROR(__xludf.DUMMYFUNCTION("""COMPUTED_VALUE"""),"")</f>
        <v/>
      </c>
      <c r="AZ86" s="1" t="str">
        <f>IFERROR(__xludf.DUMMYFUNCTION("""COMPUTED_VALUE"""),"")</f>
        <v/>
      </c>
      <c r="BB86" s="1" t="s">
        <v>104</v>
      </c>
      <c r="BC86" s="1" t="s">
        <v>104</v>
      </c>
      <c r="BE86" s="1" t="s">
        <v>104</v>
      </c>
      <c r="BG86" s="1" t="s">
        <v>104</v>
      </c>
      <c r="BH86" s="1" t="s">
        <v>104</v>
      </c>
      <c r="BI86" s="1" t="s">
        <v>104</v>
      </c>
      <c r="BJ86" s="1" t="s">
        <v>104</v>
      </c>
      <c r="BK86" s="1" t="s">
        <v>104</v>
      </c>
      <c r="BL86" s="1" t="s">
        <v>104</v>
      </c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N87" s="1" t="s">
        <v>104</v>
      </c>
      <c r="AO87" s="1" t="s">
        <v>104</v>
      </c>
      <c r="AP87" s="1" t="s">
        <v>104</v>
      </c>
      <c r="AQ87" s="1" t="s">
        <v>104</v>
      </c>
      <c r="AR87" s="1" t="s">
        <v>104</v>
      </c>
      <c r="AS87" s="1" t="s">
        <v>104</v>
      </c>
      <c r="AU87" s="1" t="s">
        <v>104</v>
      </c>
      <c r="AV87" s="1" t="s">
        <v>104</v>
      </c>
      <c r="AX87" s="1" t="str">
        <f>IFERROR(__xludf.DUMMYFUNCTION("""COMPUTED_VALUE"""),"")</f>
        <v/>
      </c>
      <c r="AZ87" s="1" t="str">
        <f>IFERROR(__xludf.DUMMYFUNCTION("""COMPUTED_VALUE"""),"")</f>
        <v/>
      </c>
      <c r="BB87" s="1" t="s">
        <v>104</v>
      </c>
      <c r="BC87" s="1" t="s">
        <v>104</v>
      </c>
      <c r="BE87" s="1" t="s">
        <v>104</v>
      </c>
      <c r="BG87" s="1" t="s">
        <v>104</v>
      </c>
      <c r="BH87" s="1" t="s">
        <v>104</v>
      </c>
      <c r="BI87" s="1" t="s">
        <v>104</v>
      </c>
      <c r="BJ87" s="1" t="s">
        <v>104</v>
      </c>
      <c r="BK87" s="1" t="s">
        <v>104</v>
      </c>
      <c r="BL87" s="1" t="s">
        <v>104</v>
      </c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N88" s="1" t="s">
        <v>104</v>
      </c>
      <c r="AO88" s="1" t="s">
        <v>104</v>
      </c>
      <c r="AP88" s="1" t="s">
        <v>104</v>
      </c>
      <c r="AQ88" s="1" t="s">
        <v>104</v>
      </c>
      <c r="AR88" s="1" t="s">
        <v>104</v>
      </c>
      <c r="AS88" s="1" t="s">
        <v>104</v>
      </c>
      <c r="AU88" s="1" t="s">
        <v>104</v>
      </c>
      <c r="AV88" s="1" t="s">
        <v>104</v>
      </c>
      <c r="AX88" s="1" t="str">
        <f>IFERROR(__xludf.DUMMYFUNCTION("""COMPUTED_VALUE"""),"")</f>
        <v/>
      </c>
      <c r="AZ88" s="1" t="str">
        <f>IFERROR(__xludf.DUMMYFUNCTION("""COMPUTED_VALUE"""),"")</f>
        <v/>
      </c>
      <c r="BB88" s="1" t="s">
        <v>104</v>
      </c>
      <c r="BC88" s="1" t="s">
        <v>104</v>
      </c>
      <c r="BE88" s="1" t="s">
        <v>104</v>
      </c>
      <c r="BG88" s="1" t="s">
        <v>104</v>
      </c>
      <c r="BH88" s="1" t="s">
        <v>104</v>
      </c>
      <c r="BI88" s="1" t="s">
        <v>104</v>
      </c>
      <c r="BJ88" s="1" t="s">
        <v>104</v>
      </c>
      <c r="BK88" s="1" t="s">
        <v>104</v>
      </c>
      <c r="BL88" s="1" t="s">
        <v>104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N89" s="1" t="s">
        <v>104</v>
      </c>
      <c r="AO89" s="1" t="s">
        <v>104</v>
      </c>
      <c r="AP89" s="1" t="s">
        <v>104</v>
      </c>
      <c r="AQ89" s="1" t="s">
        <v>104</v>
      </c>
      <c r="AR89" s="1" t="s">
        <v>104</v>
      </c>
      <c r="AS89" s="1" t="s">
        <v>104</v>
      </c>
      <c r="AU89" s="1" t="s">
        <v>104</v>
      </c>
      <c r="AV89" s="1" t="s">
        <v>104</v>
      </c>
      <c r="AX89" s="1" t="str">
        <f>IFERROR(__xludf.DUMMYFUNCTION("""COMPUTED_VALUE"""),"")</f>
        <v/>
      </c>
      <c r="AZ89" s="1" t="str">
        <f>IFERROR(__xludf.DUMMYFUNCTION("""COMPUTED_VALUE"""),"")</f>
        <v/>
      </c>
      <c r="BB89" s="1" t="s">
        <v>104</v>
      </c>
      <c r="BC89" s="1" t="s">
        <v>104</v>
      </c>
      <c r="BE89" s="1" t="s">
        <v>104</v>
      </c>
      <c r="BG89" s="1" t="s">
        <v>104</v>
      </c>
      <c r="BH89" s="1" t="s">
        <v>104</v>
      </c>
      <c r="BI89" s="1" t="s">
        <v>104</v>
      </c>
      <c r="BJ89" s="1" t="s">
        <v>104</v>
      </c>
      <c r="BK89" s="1" t="s">
        <v>104</v>
      </c>
      <c r="BL89" s="1" t="s">
        <v>104</v>
      </c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N90" s="1" t="s">
        <v>104</v>
      </c>
      <c r="AO90" s="1" t="s">
        <v>104</v>
      </c>
      <c r="AP90" s="1" t="s">
        <v>104</v>
      </c>
      <c r="AQ90" s="1" t="s">
        <v>104</v>
      </c>
      <c r="AR90" s="1" t="s">
        <v>104</v>
      </c>
      <c r="AS90" s="1" t="s">
        <v>104</v>
      </c>
      <c r="AU90" s="1" t="s">
        <v>104</v>
      </c>
      <c r="AV90" s="1" t="s">
        <v>104</v>
      </c>
      <c r="AX90" s="1" t="str">
        <f>IFERROR(__xludf.DUMMYFUNCTION("""COMPUTED_VALUE"""),"")</f>
        <v/>
      </c>
      <c r="AZ90" s="1" t="str">
        <f>IFERROR(__xludf.DUMMYFUNCTION("""COMPUTED_VALUE"""),"")</f>
        <v/>
      </c>
      <c r="BB90" s="1" t="s">
        <v>104</v>
      </c>
      <c r="BC90" s="1" t="s">
        <v>104</v>
      </c>
      <c r="BE90" s="1" t="s">
        <v>104</v>
      </c>
      <c r="BG90" s="1" t="s">
        <v>104</v>
      </c>
      <c r="BH90" s="1" t="s">
        <v>104</v>
      </c>
      <c r="BI90" s="1" t="s">
        <v>104</v>
      </c>
      <c r="BJ90" s="1" t="s">
        <v>104</v>
      </c>
      <c r="BK90" s="1" t="s">
        <v>104</v>
      </c>
      <c r="BL90" s="1" t="s">
        <v>104</v>
      </c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N91" s="1" t="s">
        <v>104</v>
      </c>
      <c r="AO91" s="1" t="s">
        <v>104</v>
      </c>
      <c r="AP91" s="1" t="s">
        <v>104</v>
      </c>
      <c r="AQ91" s="1" t="s">
        <v>104</v>
      </c>
      <c r="AR91" s="1" t="s">
        <v>104</v>
      </c>
      <c r="AS91" s="1" t="s">
        <v>104</v>
      </c>
      <c r="AU91" s="1" t="s">
        <v>104</v>
      </c>
      <c r="AV91" s="1" t="s">
        <v>104</v>
      </c>
      <c r="AX91" s="1" t="str">
        <f>IFERROR(__xludf.DUMMYFUNCTION("""COMPUTED_VALUE"""),"")</f>
        <v/>
      </c>
      <c r="AZ91" s="1" t="str">
        <f>IFERROR(__xludf.DUMMYFUNCTION("""COMPUTED_VALUE"""),"")</f>
        <v/>
      </c>
      <c r="BB91" s="1" t="s">
        <v>104</v>
      </c>
      <c r="BC91" s="1" t="s">
        <v>104</v>
      </c>
      <c r="BE91" s="1" t="s">
        <v>104</v>
      </c>
      <c r="BG91" s="1" t="s">
        <v>104</v>
      </c>
      <c r="BH91" s="1" t="s">
        <v>104</v>
      </c>
      <c r="BI91" s="1" t="s">
        <v>104</v>
      </c>
      <c r="BJ91" s="1" t="s">
        <v>104</v>
      </c>
      <c r="BK91" s="1" t="s">
        <v>104</v>
      </c>
      <c r="BL91" s="1" t="s">
        <v>104</v>
      </c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N92" s="1" t="s">
        <v>104</v>
      </c>
      <c r="AO92" s="1" t="s">
        <v>104</v>
      </c>
      <c r="AP92" s="1" t="s">
        <v>104</v>
      </c>
      <c r="AQ92" s="1" t="s">
        <v>104</v>
      </c>
      <c r="AR92" s="1" t="s">
        <v>104</v>
      </c>
      <c r="AS92" s="1" t="s">
        <v>104</v>
      </c>
      <c r="AU92" s="1" t="s">
        <v>104</v>
      </c>
      <c r="AV92" s="1" t="s">
        <v>104</v>
      </c>
      <c r="AX92" s="1" t="str">
        <f>IFERROR(__xludf.DUMMYFUNCTION("""COMPUTED_VALUE"""),"")</f>
        <v/>
      </c>
      <c r="AZ92" s="1" t="str">
        <f>IFERROR(__xludf.DUMMYFUNCTION("""COMPUTED_VALUE"""),"")</f>
        <v/>
      </c>
      <c r="BB92" s="1" t="s">
        <v>104</v>
      </c>
      <c r="BC92" s="1" t="s">
        <v>104</v>
      </c>
      <c r="BE92" s="1" t="s">
        <v>104</v>
      </c>
      <c r="BG92" s="1" t="s">
        <v>104</v>
      </c>
      <c r="BH92" s="1" t="s">
        <v>104</v>
      </c>
      <c r="BI92" s="1" t="s">
        <v>104</v>
      </c>
      <c r="BJ92" s="1" t="s">
        <v>104</v>
      </c>
      <c r="BK92" s="1" t="s">
        <v>104</v>
      </c>
      <c r="BL92" s="1" t="s">
        <v>104</v>
      </c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N93" s="1" t="s">
        <v>104</v>
      </c>
      <c r="AO93" s="1" t="s">
        <v>104</v>
      </c>
      <c r="AP93" s="1" t="s">
        <v>104</v>
      </c>
      <c r="AQ93" s="1" t="s">
        <v>104</v>
      </c>
      <c r="AR93" s="1" t="s">
        <v>104</v>
      </c>
      <c r="AS93" s="1" t="s">
        <v>104</v>
      </c>
      <c r="AU93" s="1" t="s">
        <v>104</v>
      </c>
      <c r="AV93" s="1" t="s">
        <v>104</v>
      </c>
      <c r="AX93" s="1" t="str">
        <f>IFERROR(__xludf.DUMMYFUNCTION("""COMPUTED_VALUE"""),"")</f>
        <v/>
      </c>
      <c r="AZ93" s="1" t="str">
        <f>IFERROR(__xludf.DUMMYFUNCTION("""COMPUTED_VALUE"""),"")</f>
        <v/>
      </c>
      <c r="BB93" s="1" t="s">
        <v>104</v>
      </c>
      <c r="BC93" s="1" t="s">
        <v>104</v>
      </c>
      <c r="BE93" s="1" t="s">
        <v>104</v>
      </c>
      <c r="BG93" s="1" t="s">
        <v>104</v>
      </c>
      <c r="BH93" s="1" t="s">
        <v>104</v>
      </c>
      <c r="BI93" s="1" t="s">
        <v>104</v>
      </c>
      <c r="BJ93" s="1" t="s">
        <v>104</v>
      </c>
      <c r="BK93" s="1" t="s">
        <v>104</v>
      </c>
      <c r="BL93" s="1" t="s">
        <v>104</v>
      </c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N94" s="1" t="s">
        <v>104</v>
      </c>
      <c r="AO94" s="1" t="s">
        <v>104</v>
      </c>
      <c r="AP94" s="1" t="s">
        <v>104</v>
      </c>
      <c r="AQ94" s="1" t="s">
        <v>104</v>
      </c>
      <c r="AR94" s="1" t="s">
        <v>104</v>
      </c>
      <c r="AS94" s="1" t="s">
        <v>104</v>
      </c>
      <c r="AU94" s="1" t="s">
        <v>104</v>
      </c>
      <c r="AV94" s="1" t="s">
        <v>104</v>
      </c>
      <c r="AX94" s="1" t="str">
        <f>IFERROR(__xludf.DUMMYFUNCTION("""COMPUTED_VALUE"""),"")</f>
        <v/>
      </c>
      <c r="AZ94" s="1" t="str">
        <f>IFERROR(__xludf.DUMMYFUNCTION("""COMPUTED_VALUE"""),"")</f>
        <v/>
      </c>
      <c r="BB94" s="1" t="s">
        <v>104</v>
      </c>
      <c r="BC94" s="1" t="s">
        <v>104</v>
      </c>
      <c r="BE94" s="1" t="s">
        <v>104</v>
      </c>
      <c r="BG94" s="1" t="s">
        <v>104</v>
      </c>
      <c r="BH94" s="1" t="s">
        <v>104</v>
      </c>
      <c r="BI94" s="1" t="s">
        <v>104</v>
      </c>
      <c r="BJ94" s="1" t="s">
        <v>104</v>
      </c>
      <c r="BK94" s="1" t="s">
        <v>104</v>
      </c>
      <c r="BL94" s="1" t="s">
        <v>104</v>
      </c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N95" s="1" t="s">
        <v>104</v>
      </c>
      <c r="AO95" s="1" t="s">
        <v>104</v>
      </c>
      <c r="AP95" s="1" t="s">
        <v>104</v>
      </c>
      <c r="AQ95" s="1" t="s">
        <v>104</v>
      </c>
      <c r="AR95" s="1" t="s">
        <v>104</v>
      </c>
      <c r="AS95" s="1" t="s">
        <v>104</v>
      </c>
      <c r="AU95" s="1" t="s">
        <v>104</v>
      </c>
      <c r="AV95" s="1" t="s">
        <v>104</v>
      </c>
      <c r="AX95" s="1" t="str">
        <f>IFERROR(__xludf.DUMMYFUNCTION("""COMPUTED_VALUE"""),"")</f>
        <v/>
      </c>
      <c r="AZ95" s="1" t="str">
        <f>IFERROR(__xludf.DUMMYFUNCTION("""COMPUTED_VALUE"""),"")</f>
        <v/>
      </c>
      <c r="BB95" s="1" t="s">
        <v>104</v>
      </c>
      <c r="BC95" s="1" t="s">
        <v>104</v>
      </c>
      <c r="BE95" s="1" t="s">
        <v>104</v>
      </c>
      <c r="BG95" s="1" t="s">
        <v>104</v>
      </c>
      <c r="BH95" s="1" t="s">
        <v>104</v>
      </c>
      <c r="BI95" s="1" t="s">
        <v>104</v>
      </c>
      <c r="BJ95" s="1" t="s">
        <v>104</v>
      </c>
      <c r="BK95" s="1" t="s">
        <v>104</v>
      </c>
      <c r="BL95" s="1" t="s">
        <v>104</v>
      </c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N96" s="1" t="s">
        <v>104</v>
      </c>
      <c r="AO96" s="1" t="s">
        <v>104</v>
      </c>
      <c r="AP96" s="1" t="s">
        <v>104</v>
      </c>
      <c r="AQ96" s="1" t="s">
        <v>104</v>
      </c>
      <c r="AR96" s="1" t="s">
        <v>104</v>
      </c>
      <c r="AS96" s="1" t="s">
        <v>104</v>
      </c>
      <c r="AU96" s="1" t="s">
        <v>104</v>
      </c>
      <c r="AV96" s="1" t="s">
        <v>104</v>
      </c>
      <c r="AX96" s="1" t="str">
        <f>IFERROR(__xludf.DUMMYFUNCTION("""COMPUTED_VALUE"""),"")</f>
        <v/>
      </c>
      <c r="AZ96" s="1" t="str">
        <f>IFERROR(__xludf.DUMMYFUNCTION("""COMPUTED_VALUE"""),"")</f>
        <v/>
      </c>
      <c r="BB96" s="1" t="s">
        <v>104</v>
      </c>
      <c r="BC96" s="1" t="s">
        <v>104</v>
      </c>
      <c r="BE96" s="1" t="s">
        <v>104</v>
      </c>
      <c r="BG96" s="1" t="s">
        <v>104</v>
      </c>
      <c r="BH96" s="1" t="s">
        <v>104</v>
      </c>
      <c r="BI96" s="1" t="s">
        <v>104</v>
      </c>
      <c r="BJ96" s="1" t="s">
        <v>104</v>
      </c>
      <c r="BK96" s="1" t="s">
        <v>104</v>
      </c>
      <c r="BL96" s="1" t="s">
        <v>104</v>
      </c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N97" s="1" t="s">
        <v>104</v>
      </c>
      <c r="AO97" s="1" t="s">
        <v>104</v>
      </c>
      <c r="AP97" s="1" t="s">
        <v>104</v>
      </c>
      <c r="AQ97" s="1" t="s">
        <v>104</v>
      </c>
      <c r="AR97" s="1" t="s">
        <v>104</v>
      </c>
      <c r="AS97" s="1" t="s">
        <v>104</v>
      </c>
      <c r="AU97" s="1" t="s">
        <v>104</v>
      </c>
      <c r="AV97" s="1" t="s">
        <v>104</v>
      </c>
      <c r="AX97" s="1" t="str">
        <f>IFERROR(__xludf.DUMMYFUNCTION("""COMPUTED_VALUE"""),"")</f>
        <v/>
      </c>
      <c r="AZ97" s="1" t="str">
        <f>IFERROR(__xludf.DUMMYFUNCTION("""COMPUTED_VALUE"""),"")</f>
        <v/>
      </c>
      <c r="BB97" s="1" t="s">
        <v>104</v>
      </c>
      <c r="BC97" s="1" t="s">
        <v>104</v>
      </c>
      <c r="BE97" s="1" t="s">
        <v>104</v>
      </c>
      <c r="BG97" s="1" t="s">
        <v>104</v>
      </c>
      <c r="BH97" s="1" t="s">
        <v>104</v>
      </c>
      <c r="BI97" s="1" t="s">
        <v>104</v>
      </c>
      <c r="BJ97" s="1" t="s">
        <v>104</v>
      </c>
      <c r="BK97" s="1" t="s">
        <v>104</v>
      </c>
      <c r="BL97" s="1" t="s">
        <v>104</v>
      </c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N98" s="1" t="s">
        <v>104</v>
      </c>
      <c r="AO98" s="1" t="s">
        <v>104</v>
      </c>
      <c r="AP98" s="1" t="s">
        <v>104</v>
      </c>
      <c r="AQ98" s="1" t="s">
        <v>104</v>
      </c>
      <c r="AR98" s="1" t="s">
        <v>104</v>
      </c>
      <c r="AS98" s="1" t="s">
        <v>104</v>
      </c>
      <c r="AU98" s="1" t="s">
        <v>104</v>
      </c>
      <c r="AV98" s="1" t="s">
        <v>104</v>
      </c>
      <c r="AX98" s="1" t="str">
        <f>IFERROR(__xludf.DUMMYFUNCTION("""COMPUTED_VALUE"""),"")</f>
        <v/>
      </c>
      <c r="AZ98" s="1" t="str">
        <f>IFERROR(__xludf.DUMMYFUNCTION("""COMPUTED_VALUE"""),"")</f>
        <v/>
      </c>
      <c r="BB98" s="1" t="s">
        <v>104</v>
      </c>
      <c r="BC98" s="1" t="s">
        <v>104</v>
      </c>
      <c r="BE98" s="1" t="s">
        <v>104</v>
      </c>
      <c r="BG98" s="1" t="s">
        <v>104</v>
      </c>
      <c r="BH98" s="1" t="s">
        <v>104</v>
      </c>
      <c r="BI98" s="1" t="s">
        <v>104</v>
      </c>
      <c r="BJ98" s="1" t="s">
        <v>104</v>
      </c>
      <c r="BK98" s="1" t="s">
        <v>104</v>
      </c>
      <c r="BL98" s="1" t="s">
        <v>104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N99" s="1" t="s">
        <v>104</v>
      </c>
      <c r="AO99" s="1" t="s">
        <v>104</v>
      </c>
      <c r="AP99" s="1" t="s">
        <v>104</v>
      </c>
      <c r="AQ99" s="1" t="s">
        <v>104</v>
      </c>
      <c r="AR99" s="1" t="s">
        <v>104</v>
      </c>
      <c r="AS99" s="1" t="s">
        <v>104</v>
      </c>
      <c r="AU99" s="1" t="s">
        <v>104</v>
      </c>
      <c r="AV99" s="1" t="s">
        <v>104</v>
      </c>
      <c r="AX99" s="1" t="str">
        <f>IFERROR(__xludf.DUMMYFUNCTION("""COMPUTED_VALUE"""),"")</f>
        <v/>
      </c>
      <c r="AZ99" s="1" t="str">
        <f>IFERROR(__xludf.DUMMYFUNCTION("""COMPUTED_VALUE"""),"")</f>
        <v/>
      </c>
      <c r="BB99" s="1" t="s">
        <v>104</v>
      </c>
      <c r="BC99" s="1" t="s">
        <v>104</v>
      </c>
      <c r="BE99" s="1" t="s">
        <v>104</v>
      </c>
      <c r="BG99" s="1" t="s">
        <v>104</v>
      </c>
      <c r="BH99" s="1" t="s">
        <v>104</v>
      </c>
      <c r="BI99" s="1" t="s">
        <v>104</v>
      </c>
      <c r="BJ99" s="1" t="s">
        <v>104</v>
      </c>
      <c r="BK99" s="1" t="s">
        <v>104</v>
      </c>
      <c r="BL99" s="1" t="s">
        <v>104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N100" s="1" t="s">
        <v>104</v>
      </c>
      <c r="AO100" s="1" t="s">
        <v>104</v>
      </c>
      <c r="AP100" s="1" t="s">
        <v>104</v>
      </c>
      <c r="AQ100" s="1" t="s">
        <v>104</v>
      </c>
      <c r="AR100" s="1" t="s">
        <v>104</v>
      </c>
      <c r="AS100" s="1" t="s">
        <v>104</v>
      </c>
      <c r="AU100" s="1" t="s">
        <v>104</v>
      </c>
      <c r="AV100" s="1" t="s">
        <v>104</v>
      </c>
      <c r="AX100" s="1" t="str">
        <f>IFERROR(__xludf.DUMMYFUNCTION("""COMPUTED_VALUE"""),"")</f>
        <v/>
      </c>
      <c r="AZ100" s="1" t="str">
        <f>IFERROR(__xludf.DUMMYFUNCTION("""COMPUTED_VALUE"""),"")</f>
        <v/>
      </c>
      <c r="BB100" s="1" t="s">
        <v>104</v>
      </c>
      <c r="BC100" s="1" t="s">
        <v>104</v>
      </c>
      <c r="BE100" s="1" t="s">
        <v>104</v>
      </c>
      <c r="BG100" s="1" t="s">
        <v>104</v>
      </c>
      <c r="BH100" s="1" t="s">
        <v>104</v>
      </c>
      <c r="BI100" s="1" t="s">
        <v>104</v>
      </c>
      <c r="BJ100" s="1" t="s">
        <v>104</v>
      </c>
      <c r="BK100" s="1" t="s">
        <v>104</v>
      </c>
      <c r="BL100" s="1" t="s">
        <v>104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N101" s="1" t="s">
        <v>104</v>
      </c>
      <c r="AO101" s="1" t="s">
        <v>104</v>
      </c>
      <c r="AP101" s="1" t="s">
        <v>104</v>
      </c>
      <c r="AQ101" s="1" t="s">
        <v>104</v>
      </c>
      <c r="AR101" s="1" t="s">
        <v>104</v>
      </c>
      <c r="AS101" s="1" t="s">
        <v>104</v>
      </c>
      <c r="AU101" s="1" t="s">
        <v>104</v>
      </c>
      <c r="AV101" s="1" t="s">
        <v>104</v>
      </c>
      <c r="AX101" s="1" t="str">
        <f>IFERROR(__xludf.DUMMYFUNCTION("""COMPUTED_VALUE"""),"")</f>
        <v/>
      </c>
      <c r="AZ101" s="1" t="str">
        <f>IFERROR(__xludf.DUMMYFUNCTION("""COMPUTED_VALUE"""),"")</f>
        <v/>
      </c>
      <c r="BB101" s="1" t="s">
        <v>104</v>
      </c>
      <c r="BC101" s="1" t="s">
        <v>104</v>
      </c>
      <c r="BE101" s="1" t="s">
        <v>104</v>
      </c>
      <c r="BG101" s="1" t="s">
        <v>104</v>
      </c>
      <c r="BH101" s="1" t="s">
        <v>104</v>
      </c>
      <c r="BI101" s="1" t="s">
        <v>104</v>
      </c>
      <c r="BJ101" s="1" t="s">
        <v>104</v>
      </c>
      <c r="BK101" s="1" t="s">
        <v>104</v>
      </c>
      <c r="BL101" s="1" t="s">
        <v>104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N102" s="1" t="s">
        <v>104</v>
      </c>
      <c r="AO102" s="1" t="s">
        <v>104</v>
      </c>
      <c r="AP102" s="1" t="s">
        <v>104</v>
      </c>
      <c r="AQ102" s="1" t="s">
        <v>104</v>
      </c>
      <c r="AR102" s="1" t="s">
        <v>104</v>
      </c>
      <c r="AS102" s="1" t="s">
        <v>104</v>
      </c>
      <c r="AU102" s="1" t="s">
        <v>104</v>
      </c>
      <c r="AV102" s="1" t="s">
        <v>104</v>
      </c>
      <c r="AX102" s="1" t="str">
        <f>IFERROR(__xludf.DUMMYFUNCTION("""COMPUTED_VALUE"""),"")</f>
        <v/>
      </c>
      <c r="AZ102" s="1" t="str">
        <f>IFERROR(__xludf.DUMMYFUNCTION("""COMPUTED_VALUE"""),"")</f>
        <v/>
      </c>
      <c r="BB102" s="1" t="s">
        <v>104</v>
      </c>
      <c r="BC102" s="1" t="s">
        <v>104</v>
      </c>
      <c r="BE102" s="1" t="s">
        <v>104</v>
      </c>
      <c r="BG102" s="1" t="s">
        <v>104</v>
      </c>
      <c r="BH102" s="1" t="s">
        <v>104</v>
      </c>
      <c r="BI102" s="1" t="s">
        <v>104</v>
      </c>
      <c r="BJ102" s="1" t="s">
        <v>104</v>
      </c>
      <c r="BK102" s="1" t="s">
        <v>104</v>
      </c>
      <c r="BL102" s="1" t="s">
        <v>104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N103" s="1" t="s">
        <v>104</v>
      </c>
      <c r="AO103" s="1" t="s">
        <v>104</v>
      </c>
      <c r="AP103" s="1" t="s">
        <v>104</v>
      </c>
      <c r="AQ103" s="1" t="s">
        <v>104</v>
      </c>
      <c r="AR103" s="1" t="s">
        <v>104</v>
      </c>
      <c r="AS103" s="1" t="s">
        <v>104</v>
      </c>
      <c r="AU103" s="1" t="s">
        <v>104</v>
      </c>
      <c r="AV103" s="1" t="s">
        <v>104</v>
      </c>
      <c r="AX103" s="1" t="str">
        <f>IFERROR(__xludf.DUMMYFUNCTION("""COMPUTED_VALUE"""),"")</f>
        <v/>
      </c>
      <c r="AZ103" s="1" t="str">
        <f>IFERROR(__xludf.DUMMYFUNCTION("""COMPUTED_VALUE"""),"")</f>
        <v/>
      </c>
      <c r="BB103" s="1" t="s">
        <v>104</v>
      </c>
      <c r="BC103" s="1" t="s">
        <v>104</v>
      </c>
      <c r="BE103" s="1" t="s">
        <v>104</v>
      </c>
      <c r="BG103" s="1" t="s">
        <v>104</v>
      </c>
      <c r="BH103" s="1" t="s">
        <v>104</v>
      </c>
      <c r="BI103" s="1" t="s">
        <v>104</v>
      </c>
      <c r="BJ103" s="1" t="s">
        <v>104</v>
      </c>
      <c r="BK103" s="1" t="s">
        <v>104</v>
      </c>
      <c r="BL103" s="1" t="s">
        <v>104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N104" s="1" t="s">
        <v>104</v>
      </c>
      <c r="AO104" s="1" t="s">
        <v>104</v>
      </c>
      <c r="AP104" s="1" t="s">
        <v>104</v>
      </c>
      <c r="AQ104" s="1" t="s">
        <v>104</v>
      </c>
      <c r="AR104" s="1" t="s">
        <v>104</v>
      </c>
      <c r="AS104" s="1" t="s">
        <v>104</v>
      </c>
      <c r="AU104" s="1" t="s">
        <v>104</v>
      </c>
      <c r="AV104" s="1" t="s">
        <v>104</v>
      </c>
      <c r="AX104" s="1" t="str">
        <f>IFERROR(__xludf.DUMMYFUNCTION("""COMPUTED_VALUE"""),"")</f>
        <v/>
      </c>
      <c r="AZ104" s="1" t="str">
        <f>IFERROR(__xludf.DUMMYFUNCTION("""COMPUTED_VALUE"""),"")</f>
        <v/>
      </c>
      <c r="BB104" s="1" t="s">
        <v>104</v>
      </c>
      <c r="BC104" s="1" t="s">
        <v>104</v>
      </c>
      <c r="BE104" s="1" t="s">
        <v>104</v>
      </c>
      <c r="BG104" s="1" t="s">
        <v>104</v>
      </c>
      <c r="BH104" s="1" t="s">
        <v>104</v>
      </c>
      <c r="BI104" s="1" t="s">
        <v>104</v>
      </c>
      <c r="BJ104" s="1" t="s">
        <v>104</v>
      </c>
      <c r="BK104" s="1" t="s">
        <v>104</v>
      </c>
      <c r="BL104" s="1" t="s">
        <v>104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N105" s="1" t="s">
        <v>104</v>
      </c>
      <c r="AO105" s="1" t="s">
        <v>104</v>
      </c>
      <c r="AP105" s="1" t="s">
        <v>104</v>
      </c>
      <c r="AQ105" s="1" t="s">
        <v>104</v>
      </c>
      <c r="AR105" s="1" t="s">
        <v>104</v>
      </c>
      <c r="AS105" s="1" t="s">
        <v>104</v>
      </c>
      <c r="AU105" s="1" t="s">
        <v>104</v>
      </c>
      <c r="AV105" s="1" t="s">
        <v>104</v>
      </c>
      <c r="AX105" s="1" t="str">
        <f>IFERROR(__xludf.DUMMYFUNCTION("""COMPUTED_VALUE"""),"")</f>
        <v/>
      </c>
      <c r="AZ105" s="1" t="str">
        <f>IFERROR(__xludf.DUMMYFUNCTION("""COMPUTED_VALUE"""),"")</f>
        <v/>
      </c>
      <c r="BB105" s="1" t="s">
        <v>104</v>
      </c>
      <c r="BC105" s="1" t="s">
        <v>104</v>
      </c>
      <c r="BE105" s="1" t="s">
        <v>104</v>
      </c>
      <c r="BG105" s="1" t="s">
        <v>104</v>
      </c>
      <c r="BH105" s="1" t="s">
        <v>104</v>
      </c>
      <c r="BI105" s="1" t="s">
        <v>104</v>
      </c>
      <c r="BJ105" s="1" t="s">
        <v>104</v>
      </c>
      <c r="BK105" s="1" t="s">
        <v>104</v>
      </c>
      <c r="BL105" s="1" t="s">
        <v>104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N106" s="1" t="s">
        <v>104</v>
      </c>
      <c r="AO106" s="1" t="s">
        <v>104</v>
      </c>
      <c r="AP106" s="1" t="s">
        <v>104</v>
      </c>
      <c r="AQ106" s="1" t="s">
        <v>104</v>
      </c>
      <c r="AR106" s="1" t="s">
        <v>104</v>
      </c>
      <c r="AS106" s="1" t="s">
        <v>104</v>
      </c>
      <c r="AU106" s="1" t="s">
        <v>104</v>
      </c>
      <c r="AV106" s="1" t="s">
        <v>104</v>
      </c>
      <c r="AX106" s="1" t="str">
        <f>IFERROR(__xludf.DUMMYFUNCTION("""COMPUTED_VALUE"""),"")</f>
        <v/>
      </c>
      <c r="AZ106" s="1" t="str">
        <f>IFERROR(__xludf.DUMMYFUNCTION("""COMPUTED_VALUE"""),"")</f>
        <v/>
      </c>
      <c r="BB106" s="1" t="s">
        <v>104</v>
      </c>
      <c r="BC106" s="1" t="s">
        <v>104</v>
      </c>
      <c r="BE106" s="1" t="s">
        <v>104</v>
      </c>
      <c r="BG106" s="1" t="s">
        <v>104</v>
      </c>
      <c r="BH106" s="1" t="s">
        <v>104</v>
      </c>
      <c r="BI106" s="1" t="s">
        <v>104</v>
      </c>
      <c r="BJ106" s="1" t="s">
        <v>104</v>
      </c>
      <c r="BK106" s="1" t="s">
        <v>104</v>
      </c>
      <c r="BL106" s="1" t="s">
        <v>104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N107" s="1" t="s">
        <v>104</v>
      </c>
      <c r="AO107" s="1" t="s">
        <v>104</v>
      </c>
      <c r="AP107" s="1" t="s">
        <v>104</v>
      </c>
      <c r="AQ107" s="1" t="s">
        <v>104</v>
      </c>
      <c r="AR107" s="1" t="s">
        <v>104</v>
      </c>
      <c r="AS107" s="1" t="s">
        <v>104</v>
      </c>
      <c r="AU107" s="1" t="s">
        <v>104</v>
      </c>
      <c r="AV107" s="1" t="s">
        <v>104</v>
      </c>
      <c r="AX107" s="1" t="str">
        <f>IFERROR(__xludf.DUMMYFUNCTION("""COMPUTED_VALUE"""),"")</f>
        <v/>
      </c>
      <c r="AZ107" s="1" t="str">
        <f>IFERROR(__xludf.DUMMYFUNCTION("""COMPUTED_VALUE"""),"")</f>
        <v/>
      </c>
      <c r="BB107" s="1" t="s">
        <v>104</v>
      </c>
      <c r="BC107" s="1" t="s">
        <v>104</v>
      </c>
      <c r="BE107" s="1" t="s">
        <v>104</v>
      </c>
      <c r="BG107" s="1" t="s">
        <v>104</v>
      </c>
      <c r="BH107" s="1" t="s">
        <v>104</v>
      </c>
      <c r="BI107" s="1" t="s">
        <v>104</v>
      </c>
      <c r="BJ107" s="1" t="s">
        <v>104</v>
      </c>
      <c r="BK107" s="1" t="s">
        <v>104</v>
      </c>
      <c r="BL107" s="1" t="s">
        <v>104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N108" s="1" t="s">
        <v>104</v>
      </c>
      <c r="AO108" s="1" t="s">
        <v>104</v>
      </c>
      <c r="AP108" s="1" t="s">
        <v>104</v>
      </c>
      <c r="AQ108" s="1" t="s">
        <v>104</v>
      </c>
      <c r="AR108" s="1" t="s">
        <v>104</v>
      </c>
      <c r="AS108" s="1" t="s">
        <v>104</v>
      </c>
      <c r="AU108" s="1" t="s">
        <v>104</v>
      </c>
      <c r="AV108" s="1" t="s">
        <v>104</v>
      </c>
      <c r="AX108" s="1" t="str">
        <f>IFERROR(__xludf.DUMMYFUNCTION("""COMPUTED_VALUE"""),"")</f>
        <v/>
      </c>
      <c r="AZ108" s="1" t="str">
        <f>IFERROR(__xludf.DUMMYFUNCTION("""COMPUTED_VALUE"""),"")</f>
        <v/>
      </c>
      <c r="BB108" s="1" t="s">
        <v>104</v>
      </c>
      <c r="BC108" s="1" t="s">
        <v>104</v>
      </c>
      <c r="BE108" s="1" t="s">
        <v>104</v>
      </c>
      <c r="BG108" s="1" t="s">
        <v>104</v>
      </c>
      <c r="BH108" s="1" t="s">
        <v>104</v>
      </c>
      <c r="BI108" s="1" t="s">
        <v>104</v>
      </c>
      <c r="BJ108" s="1" t="s">
        <v>104</v>
      </c>
      <c r="BK108" s="1" t="s">
        <v>104</v>
      </c>
      <c r="BL108" s="1" t="s">
        <v>104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N109" s="1" t="s">
        <v>104</v>
      </c>
      <c r="AO109" s="1" t="s">
        <v>104</v>
      </c>
      <c r="AP109" s="1" t="s">
        <v>104</v>
      </c>
      <c r="AQ109" s="1" t="s">
        <v>104</v>
      </c>
      <c r="AR109" s="1" t="s">
        <v>104</v>
      </c>
      <c r="AS109" s="1" t="s">
        <v>104</v>
      </c>
      <c r="AU109" s="1" t="s">
        <v>104</v>
      </c>
      <c r="AV109" s="1" t="s">
        <v>104</v>
      </c>
      <c r="AX109" s="1" t="str">
        <f>IFERROR(__xludf.DUMMYFUNCTION("""COMPUTED_VALUE"""),"")</f>
        <v/>
      </c>
      <c r="AZ109" s="1" t="str">
        <f>IFERROR(__xludf.DUMMYFUNCTION("""COMPUTED_VALUE"""),"")</f>
        <v/>
      </c>
      <c r="BB109" s="1" t="s">
        <v>104</v>
      </c>
      <c r="BC109" s="1" t="s">
        <v>104</v>
      </c>
      <c r="BE109" s="1" t="s">
        <v>104</v>
      </c>
      <c r="BG109" s="1" t="s">
        <v>104</v>
      </c>
      <c r="BH109" s="1" t="s">
        <v>104</v>
      </c>
      <c r="BI109" s="1" t="s">
        <v>104</v>
      </c>
      <c r="BJ109" s="1" t="s">
        <v>104</v>
      </c>
      <c r="BK109" s="1" t="s">
        <v>104</v>
      </c>
      <c r="BL109" s="1" t="s">
        <v>104</v>
      </c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N110" s="1" t="s">
        <v>104</v>
      </c>
      <c r="AO110" s="1" t="s">
        <v>104</v>
      </c>
      <c r="AP110" s="1" t="s">
        <v>104</v>
      </c>
      <c r="AQ110" s="1" t="s">
        <v>104</v>
      </c>
      <c r="AR110" s="1" t="s">
        <v>104</v>
      </c>
      <c r="AS110" s="1" t="s">
        <v>104</v>
      </c>
      <c r="AU110" s="1" t="s">
        <v>104</v>
      </c>
      <c r="AV110" s="1" t="s">
        <v>104</v>
      </c>
      <c r="AX110" s="1" t="str">
        <f>IFERROR(__xludf.DUMMYFUNCTION("""COMPUTED_VALUE"""),"")</f>
        <v/>
      </c>
      <c r="AZ110" s="1" t="str">
        <f>IFERROR(__xludf.DUMMYFUNCTION("""COMPUTED_VALUE"""),"")</f>
        <v/>
      </c>
      <c r="BB110" s="1" t="s">
        <v>104</v>
      </c>
      <c r="BC110" s="1" t="s">
        <v>104</v>
      </c>
      <c r="BE110" s="1" t="s">
        <v>104</v>
      </c>
      <c r="BG110" s="1" t="s">
        <v>104</v>
      </c>
      <c r="BH110" s="1" t="s">
        <v>104</v>
      </c>
      <c r="BI110" s="1" t="s">
        <v>104</v>
      </c>
      <c r="BJ110" s="1" t="s">
        <v>104</v>
      </c>
      <c r="BK110" s="1" t="s">
        <v>104</v>
      </c>
      <c r="BL110" s="1" t="s">
        <v>104</v>
      </c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N111" s="1" t="s">
        <v>104</v>
      </c>
      <c r="AO111" s="1" t="s">
        <v>104</v>
      </c>
      <c r="AP111" s="1" t="s">
        <v>104</v>
      </c>
      <c r="AQ111" s="1" t="s">
        <v>104</v>
      </c>
      <c r="AR111" s="1" t="s">
        <v>104</v>
      </c>
      <c r="AS111" s="1" t="s">
        <v>104</v>
      </c>
      <c r="AU111" s="1" t="s">
        <v>104</v>
      </c>
      <c r="AV111" s="1" t="s">
        <v>104</v>
      </c>
      <c r="AX111" s="1" t="str">
        <f>IFERROR(__xludf.DUMMYFUNCTION("""COMPUTED_VALUE"""),"")</f>
        <v/>
      </c>
      <c r="AZ111" s="1" t="str">
        <f>IFERROR(__xludf.DUMMYFUNCTION("""COMPUTED_VALUE"""),"")</f>
        <v/>
      </c>
      <c r="BB111" s="1" t="s">
        <v>104</v>
      </c>
      <c r="BC111" s="1" t="s">
        <v>104</v>
      </c>
      <c r="BE111" s="1" t="s">
        <v>104</v>
      </c>
      <c r="BG111" s="1" t="s">
        <v>104</v>
      </c>
      <c r="BH111" s="1" t="s">
        <v>104</v>
      </c>
      <c r="BI111" s="1" t="s">
        <v>104</v>
      </c>
      <c r="BJ111" s="1" t="s">
        <v>104</v>
      </c>
      <c r="BK111" s="1" t="s">
        <v>104</v>
      </c>
      <c r="BL111" s="1" t="s">
        <v>104</v>
      </c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N112" s="1" t="s">
        <v>104</v>
      </c>
      <c r="AO112" s="1" t="s">
        <v>104</v>
      </c>
      <c r="AP112" s="1" t="s">
        <v>104</v>
      </c>
      <c r="AQ112" s="1" t="s">
        <v>104</v>
      </c>
      <c r="AR112" s="1" t="s">
        <v>104</v>
      </c>
      <c r="AS112" s="1" t="s">
        <v>104</v>
      </c>
      <c r="AU112" s="1" t="s">
        <v>104</v>
      </c>
      <c r="AV112" s="1" t="s">
        <v>104</v>
      </c>
      <c r="AX112" s="1" t="str">
        <f>IFERROR(__xludf.DUMMYFUNCTION("""COMPUTED_VALUE"""),"")</f>
        <v/>
      </c>
      <c r="AZ112" s="1" t="str">
        <f>IFERROR(__xludf.DUMMYFUNCTION("""COMPUTED_VALUE"""),"")</f>
        <v/>
      </c>
      <c r="BB112" s="1" t="s">
        <v>104</v>
      </c>
      <c r="BC112" s="1" t="s">
        <v>104</v>
      </c>
      <c r="BE112" s="1" t="s">
        <v>104</v>
      </c>
      <c r="BG112" s="1" t="s">
        <v>104</v>
      </c>
      <c r="BH112" s="1" t="s">
        <v>104</v>
      </c>
      <c r="BI112" s="1" t="s">
        <v>104</v>
      </c>
      <c r="BJ112" s="1" t="s">
        <v>104</v>
      </c>
      <c r="BK112" s="1" t="s">
        <v>104</v>
      </c>
      <c r="BL112" s="1" t="s">
        <v>104</v>
      </c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N113" s="1" t="s">
        <v>104</v>
      </c>
      <c r="AO113" s="1" t="s">
        <v>104</v>
      </c>
      <c r="AP113" s="1" t="s">
        <v>104</v>
      </c>
      <c r="AQ113" s="1" t="s">
        <v>104</v>
      </c>
      <c r="AR113" s="1" t="s">
        <v>104</v>
      </c>
      <c r="AS113" s="1" t="s">
        <v>104</v>
      </c>
      <c r="AU113" s="1" t="s">
        <v>104</v>
      </c>
      <c r="AV113" s="1" t="s">
        <v>104</v>
      </c>
      <c r="AX113" s="1" t="str">
        <f>IFERROR(__xludf.DUMMYFUNCTION("""COMPUTED_VALUE"""),"")</f>
        <v/>
      </c>
      <c r="AZ113" s="1" t="str">
        <f>IFERROR(__xludf.DUMMYFUNCTION("""COMPUTED_VALUE"""),"")</f>
        <v/>
      </c>
      <c r="BB113" s="1" t="s">
        <v>104</v>
      </c>
      <c r="BC113" s="1" t="s">
        <v>104</v>
      </c>
      <c r="BE113" s="1" t="s">
        <v>104</v>
      </c>
      <c r="BG113" s="1" t="s">
        <v>104</v>
      </c>
      <c r="BH113" s="1" t="s">
        <v>104</v>
      </c>
      <c r="BI113" s="1" t="s">
        <v>104</v>
      </c>
      <c r="BJ113" s="1" t="s">
        <v>104</v>
      </c>
      <c r="BK113" s="1" t="s">
        <v>104</v>
      </c>
      <c r="BL113" s="1" t="s">
        <v>104</v>
      </c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N114" s="1" t="s">
        <v>104</v>
      </c>
      <c r="AO114" s="1" t="s">
        <v>104</v>
      </c>
      <c r="AP114" s="1" t="s">
        <v>104</v>
      </c>
      <c r="AQ114" s="1" t="s">
        <v>104</v>
      </c>
      <c r="AR114" s="1" t="s">
        <v>104</v>
      </c>
      <c r="AS114" s="1" t="s">
        <v>104</v>
      </c>
      <c r="AU114" s="1" t="s">
        <v>104</v>
      </c>
      <c r="AV114" s="1" t="s">
        <v>104</v>
      </c>
      <c r="AX114" s="1" t="str">
        <f>IFERROR(__xludf.DUMMYFUNCTION("""COMPUTED_VALUE"""),"")</f>
        <v/>
      </c>
      <c r="AZ114" s="1" t="str">
        <f>IFERROR(__xludf.DUMMYFUNCTION("""COMPUTED_VALUE"""),"")</f>
        <v/>
      </c>
      <c r="BB114" s="1" t="s">
        <v>104</v>
      </c>
      <c r="BC114" s="1" t="s">
        <v>104</v>
      </c>
      <c r="BE114" s="1" t="s">
        <v>104</v>
      </c>
      <c r="BG114" s="1" t="s">
        <v>104</v>
      </c>
      <c r="BH114" s="1" t="s">
        <v>104</v>
      </c>
      <c r="BI114" s="1" t="s">
        <v>104</v>
      </c>
      <c r="BJ114" s="1" t="s">
        <v>104</v>
      </c>
      <c r="BK114" s="1" t="s">
        <v>104</v>
      </c>
      <c r="BL114" s="1" t="s">
        <v>104</v>
      </c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N115" s="1" t="s">
        <v>104</v>
      </c>
      <c r="AO115" s="1" t="s">
        <v>104</v>
      </c>
      <c r="AP115" s="1" t="s">
        <v>104</v>
      </c>
      <c r="AQ115" s="1" t="s">
        <v>104</v>
      </c>
      <c r="AR115" s="1" t="s">
        <v>104</v>
      </c>
      <c r="AS115" s="1" t="s">
        <v>104</v>
      </c>
      <c r="AU115" s="1" t="s">
        <v>104</v>
      </c>
      <c r="AV115" s="1" t="s">
        <v>104</v>
      </c>
      <c r="AX115" s="1" t="str">
        <f>IFERROR(__xludf.DUMMYFUNCTION("""COMPUTED_VALUE"""),"")</f>
        <v/>
      </c>
      <c r="AZ115" s="1" t="str">
        <f>IFERROR(__xludf.DUMMYFUNCTION("""COMPUTED_VALUE"""),"")</f>
        <v/>
      </c>
      <c r="BB115" s="1" t="s">
        <v>104</v>
      </c>
      <c r="BC115" s="1" t="s">
        <v>104</v>
      </c>
      <c r="BE115" s="1" t="s">
        <v>104</v>
      </c>
      <c r="BG115" s="1" t="s">
        <v>104</v>
      </c>
      <c r="BH115" s="1" t="s">
        <v>104</v>
      </c>
      <c r="BI115" s="1" t="s">
        <v>104</v>
      </c>
      <c r="BJ115" s="1" t="s">
        <v>104</v>
      </c>
      <c r="BK115" s="1" t="s">
        <v>104</v>
      </c>
      <c r="BL115" s="1" t="s">
        <v>104</v>
      </c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N116" s="1" t="s">
        <v>104</v>
      </c>
      <c r="AO116" s="1" t="s">
        <v>104</v>
      </c>
      <c r="AP116" s="1" t="s">
        <v>104</v>
      </c>
      <c r="AQ116" s="1" t="s">
        <v>104</v>
      </c>
      <c r="AR116" s="1" t="s">
        <v>104</v>
      </c>
      <c r="AS116" s="1" t="s">
        <v>104</v>
      </c>
      <c r="AU116" s="1" t="s">
        <v>104</v>
      </c>
      <c r="AV116" s="1" t="s">
        <v>104</v>
      </c>
      <c r="AX116" s="1" t="str">
        <f>IFERROR(__xludf.DUMMYFUNCTION("""COMPUTED_VALUE"""),"")</f>
        <v/>
      </c>
      <c r="AZ116" s="1" t="str">
        <f>IFERROR(__xludf.DUMMYFUNCTION("""COMPUTED_VALUE"""),"")</f>
        <v/>
      </c>
      <c r="BB116" s="1" t="s">
        <v>104</v>
      </c>
      <c r="BC116" s="1" t="s">
        <v>104</v>
      </c>
      <c r="BE116" s="1" t="s">
        <v>104</v>
      </c>
      <c r="BG116" s="1" t="s">
        <v>104</v>
      </c>
      <c r="BH116" s="1" t="s">
        <v>104</v>
      </c>
      <c r="BI116" s="1" t="s">
        <v>104</v>
      </c>
      <c r="BJ116" s="1" t="s">
        <v>104</v>
      </c>
      <c r="BK116" s="1" t="s">
        <v>104</v>
      </c>
      <c r="BL116" s="1" t="s">
        <v>104</v>
      </c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N117" s="1" t="s">
        <v>104</v>
      </c>
      <c r="AO117" s="1" t="s">
        <v>104</v>
      </c>
      <c r="AP117" s="1" t="s">
        <v>104</v>
      </c>
      <c r="AQ117" s="1" t="s">
        <v>104</v>
      </c>
      <c r="AR117" s="1" t="s">
        <v>104</v>
      </c>
      <c r="AS117" s="1" t="s">
        <v>104</v>
      </c>
      <c r="AU117" s="1" t="s">
        <v>104</v>
      </c>
      <c r="AV117" s="1" t="s">
        <v>104</v>
      </c>
      <c r="AX117" s="1" t="str">
        <f>IFERROR(__xludf.DUMMYFUNCTION("""COMPUTED_VALUE"""),"")</f>
        <v/>
      </c>
      <c r="AZ117" s="1" t="str">
        <f>IFERROR(__xludf.DUMMYFUNCTION("""COMPUTED_VALUE"""),"")</f>
        <v/>
      </c>
      <c r="BB117" s="1" t="s">
        <v>104</v>
      </c>
      <c r="BC117" s="1" t="s">
        <v>104</v>
      </c>
      <c r="BE117" s="1" t="s">
        <v>104</v>
      </c>
      <c r="BG117" s="1" t="s">
        <v>104</v>
      </c>
      <c r="BH117" s="1" t="s">
        <v>104</v>
      </c>
      <c r="BI117" s="1" t="s">
        <v>104</v>
      </c>
      <c r="BJ117" s="1" t="s">
        <v>104</v>
      </c>
      <c r="BK117" s="1" t="s">
        <v>104</v>
      </c>
      <c r="BL117" s="1" t="s">
        <v>104</v>
      </c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N118" s="1" t="s">
        <v>104</v>
      </c>
      <c r="AO118" s="1" t="s">
        <v>104</v>
      </c>
      <c r="AP118" s="1" t="s">
        <v>104</v>
      </c>
      <c r="AQ118" s="1" t="s">
        <v>104</v>
      </c>
      <c r="AR118" s="1" t="s">
        <v>104</v>
      </c>
      <c r="AS118" s="1" t="s">
        <v>104</v>
      </c>
      <c r="AU118" s="1" t="s">
        <v>104</v>
      </c>
      <c r="AV118" s="1" t="s">
        <v>104</v>
      </c>
      <c r="AX118" s="1" t="str">
        <f>IFERROR(__xludf.DUMMYFUNCTION("""COMPUTED_VALUE"""),"")</f>
        <v/>
      </c>
      <c r="AZ118" s="1" t="str">
        <f>IFERROR(__xludf.DUMMYFUNCTION("""COMPUTED_VALUE"""),"")</f>
        <v/>
      </c>
      <c r="BB118" s="1" t="s">
        <v>104</v>
      </c>
      <c r="BC118" s="1" t="s">
        <v>104</v>
      </c>
      <c r="BE118" s="1" t="s">
        <v>104</v>
      </c>
      <c r="BG118" s="1" t="s">
        <v>104</v>
      </c>
      <c r="BH118" s="1" t="s">
        <v>104</v>
      </c>
      <c r="BI118" s="1" t="s">
        <v>104</v>
      </c>
      <c r="BJ118" s="1" t="s">
        <v>104</v>
      </c>
      <c r="BK118" s="1" t="s">
        <v>104</v>
      </c>
      <c r="BL118" s="1" t="s">
        <v>104</v>
      </c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N119" s="1" t="s">
        <v>104</v>
      </c>
      <c r="AO119" s="1" t="s">
        <v>104</v>
      </c>
      <c r="AP119" s="1" t="s">
        <v>104</v>
      </c>
      <c r="AQ119" s="1" t="s">
        <v>104</v>
      </c>
      <c r="AR119" s="1" t="s">
        <v>104</v>
      </c>
      <c r="AS119" s="1" t="s">
        <v>104</v>
      </c>
      <c r="AU119" s="1" t="s">
        <v>104</v>
      </c>
      <c r="AV119" s="1" t="s">
        <v>104</v>
      </c>
      <c r="AX119" s="1" t="str">
        <f>IFERROR(__xludf.DUMMYFUNCTION("""COMPUTED_VALUE"""),"")</f>
        <v/>
      </c>
      <c r="AZ119" s="1" t="str">
        <f>IFERROR(__xludf.DUMMYFUNCTION("""COMPUTED_VALUE"""),"")</f>
        <v/>
      </c>
      <c r="BB119" s="1" t="s">
        <v>104</v>
      </c>
      <c r="BC119" s="1" t="s">
        <v>104</v>
      </c>
      <c r="BE119" s="1" t="s">
        <v>104</v>
      </c>
      <c r="BG119" s="1" t="s">
        <v>104</v>
      </c>
      <c r="BH119" s="1" t="s">
        <v>104</v>
      </c>
      <c r="BI119" s="1" t="s">
        <v>104</v>
      </c>
      <c r="BJ119" s="1" t="s">
        <v>104</v>
      </c>
      <c r="BK119" s="1" t="s">
        <v>104</v>
      </c>
      <c r="BL119" s="1" t="s">
        <v>104</v>
      </c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N120" s="1" t="s">
        <v>104</v>
      </c>
      <c r="AO120" s="1" t="s">
        <v>104</v>
      </c>
      <c r="AP120" s="1" t="s">
        <v>104</v>
      </c>
      <c r="AQ120" s="1" t="s">
        <v>104</v>
      </c>
      <c r="AR120" s="1" t="s">
        <v>104</v>
      </c>
      <c r="AS120" s="1" t="s">
        <v>104</v>
      </c>
      <c r="AU120" s="1" t="s">
        <v>104</v>
      </c>
      <c r="AV120" s="1" t="s">
        <v>104</v>
      </c>
      <c r="AX120" s="1" t="str">
        <f>IFERROR(__xludf.DUMMYFUNCTION("""COMPUTED_VALUE"""),"")</f>
        <v/>
      </c>
      <c r="AZ120" s="1" t="str">
        <f>IFERROR(__xludf.DUMMYFUNCTION("""COMPUTED_VALUE"""),"")</f>
        <v/>
      </c>
      <c r="BB120" s="1" t="s">
        <v>104</v>
      </c>
      <c r="BC120" s="1" t="s">
        <v>104</v>
      </c>
      <c r="BE120" s="1" t="s">
        <v>104</v>
      </c>
      <c r="BG120" s="1" t="s">
        <v>104</v>
      </c>
      <c r="BH120" s="1" t="s">
        <v>104</v>
      </c>
      <c r="BI120" s="1" t="s">
        <v>104</v>
      </c>
      <c r="BJ120" s="1" t="s">
        <v>104</v>
      </c>
      <c r="BK120" s="1" t="s">
        <v>104</v>
      </c>
      <c r="BL120" s="1" t="s">
        <v>104</v>
      </c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N121" s="1" t="s">
        <v>104</v>
      </c>
      <c r="AO121" s="1" t="s">
        <v>104</v>
      </c>
      <c r="AP121" s="1" t="s">
        <v>104</v>
      </c>
      <c r="AQ121" s="1" t="s">
        <v>104</v>
      </c>
      <c r="AR121" s="1" t="s">
        <v>104</v>
      </c>
      <c r="AS121" s="1" t="s">
        <v>104</v>
      </c>
      <c r="AU121" s="1" t="s">
        <v>104</v>
      </c>
      <c r="AV121" s="1" t="s">
        <v>104</v>
      </c>
      <c r="AX121" s="1" t="str">
        <f>IFERROR(__xludf.DUMMYFUNCTION("""COMPUTED_VALUE"""),"")</f>
        <v/>
      </c>
      <c r="AZ121" s="1" t="str">
        <f>IFERROR(__xludf.DUMMYFUNCTION("""COMPUTED_VALUE"""),"")</f>
        <v/>
      </c>
      <c r="BB121" s="1" t="s">
        <v>104</v>
      </c>
      <c r="BC121" s="1" t="s">
        <v>104</v>
      </c>
      <c r="BE121" s="1" t="s">
        <v>104</v>
      </c>
      <c r="BG121" s="1" t="s">
        <v>104</v>
      </c>
      <c r="BH121" s="1" t="s">
        <v>104</v>
      </c>
      <c r="BI121" s="1" t="s">
        <v>104</v>
      </c>
      <c r="BJ121" s="1" t="s">
        <v>104</v>
      </c>
      <c r="BK121" s="1" t="s">
        <v>104</v>
      </c>
      <c r="BL121" s="1" t="s">
        <v>104</v>
      </c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N122" s="1" t="s">
        <v>104</v>
      </c>
      <c r="AO122" s="1" t="s">
        <v>104</v>
      </c>
      <c r="AP122" s="1" t="s">
        <v>104</v>
      </c>
      <c r="AQ122" s="1" t="s">
        <v>104</v>
      </c>
      <c r="AR122" s="1" t="s">
        <v>104</v>
      </c>
      <c r="AS122" s="1" t="s">
        <v>104</v>
      </c>
      <c r="AU122" s="1" t="s">
        <v>104</v>
      </c>
      <c r="AV122" s="1" t="s">
        <v>104</v>
      </c>
      <c r="AX122" s="1" t="str">
        <f>IFERROR(__xludf.DUMMYFUNCTION("""COMPUTED_VALUE"""),"")</f>
        <v/>
      </c>
      <c r="AZ122" s="1" t="str">
        <f>IFERROR(__xludf.DUMMYFUNCTION("""COMPUTED_VALUE"""),"")</f>
        <v/>
      </c>
      <c r="BB122" s="1" t="s">
        <v>104</v>
      </c>
      <c r="BC122" s="1" t="s">
        <v>104</v>
      </c>
      <c r="BE122" s="1" t="s">
        <v>104</v>
      </c>
      <c r="BG122" s="1" t="s">
        <v>104</v>
      </c>
      <c r="BH122" s="1" t="s">
        <v>104</v>
      </c>
      <c r="BI122" s="1" t="s">
        <v>104</v>
      </c>
      <c r="BJ122" s="1" t="s">
        <v>104</v>
      </c>
      <c r="BK122" s="1" t="s">
        <v>104</v>
      </c>
      <c r="BL122" s="1" t="s">
        <v>104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N123" s="1" t="s">
        <v>104</v>
      </c>
      <c r="AO123" s="1" t="s">
        <v>104</v>
      </c>
      <c r="AP123" s="1" t="s">
        <v>104</v>
      </c>
      <c r="AQ123" s="1" t="s">
        <v>104</v>
      </c>
      <c r="AR123" s="1" t="s">
        <v>104</v>
      </c>
      <c r="AS123" s="1" t="s">
        <v>104</v>
      </c>
      <c r="AU123" s="1" t="s">
        <v>104</v>
      </c>
      <c r="AV123" s="1" t="s">
        <v>104</v>
      </c>
      <c r="AX123" s="1" t="str">
        <f>IFERROR(__xludf.DUMMYFUNCTION("""COMPUTED_VALUE"""),"")</f>
        <v/>
      </c>
      <c r="AZ123" s="1" t="str">
        <f>IFERROR(__xludf.DUMMYFUNCTION("""COMPUTED_VALUE"""),"")</f>
        <v/>
      </c>
      <c r="BB123" s="1" t="s">
        <v>104</v>
      </c>
      <c r="BC123" s="1" t="s">
        <v>104</v>
      </c>
      <c r="BE123" s="1" t="s">
        <v>104</v>
      </c>
      <c r="BG123" s="1" t="s">
        <v>104</v>
      </c>
      <c r="BH123" s="1" t="s">
        <v>104</v>
      </c>
      <c r="BI123" s="1" t="s">
        <v>104</v>
      </c>
      <c r="BJ123" s="1" t="s">
        <v>104</v>
      </c>
      <c r="BK123" s="1" t="s">
        <v>104</v>
      </c>
      <c r="BL123" s="1" t="s">
        <v>104</v>
      </c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N124" s="1" t="s">
        <v>104</v>
      </c>
      <c r="AO124" s="1" t="s">
        <v>104</v>
      </c>
      <c r="AP124" s="1" t="s">
        <v>104</v>
      </c>
      <c r="AQ124" s="1" t="s">
        <v>104</v>
      </c>
      <c r="AR124" s="1" t="s">
        <v>104</v>
      </c>
      <c r="AS124" s="1" t="s">
        <v>104</v>
      </c>
      <c r="AU124" s="1" t="s">
        <v>104</v>
      </c>
      <c r="AV124" s="1" t="s">
        <v>104</v>
      </c>
      <c r="AX124" s="1" t="str">
        <f>IFERROR(__xludf.DUMMYFUNCTION("""COMPUTED_VALUE"""),"")</f>
        <v/>
      </c>
      <c r="AZ124" s="1" t="str">
        <f>IFERROR(__xludf.DUMMYFUNCTION("""COMPUTED_VALUE"""),"")</f>
        <v/>
      </c>
      <c r="BB124" s="1" t="s">
        <v>104</v>
      </c>
      <c r="BC124" s="1" t="s">
        <v>104</v>
      </c>
      <c r="BE124" s="1" t="s">
        <v>104</v>
      </c>
      <c r="BG124" s="1" t="s">
        <v>104</v>
      </c>
      <c r="BH124" s="1" t="s">
        <v>104</v>
      </c>
      <c r="BI124" s="1" t="s">
        <v>104</v>
      </c>
      <c r="BJ124" s="1" t="s">
        <v>104</v>
      </c>
      <c r="BK124" s="1" t="s">
        <v>104</v>
      </c>
      <c r="BL124" s="1" t="s">
        <v>104</v>
      </c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N125" s="1" t="s">
        <v>104</v>
      </c>
      <c r="AO125" s="1" t="s">
        <v>104</v>
      </c>
      <c r="AP125" s="1" t="s">
        <v>104</v>
      </c>
      <c r="AQ125" s="1" t="s">
        <v>104</v>
      </c>
      <c r="AR125" s="1" t="s">
        <v>104</v>
      </c>
      <c r="AS125" s="1" t="s">
        <v>104</v>
      </c>
      <c r="AU125" s="1" t="s">
        <v>104</v>
      </c>
      <c r="AV125" s="1" t="s">
        <v>104</v>
      </c>
      <c r="AX125" s="1" t="str">
        <f>IFERROR(__xludf.DUMMYFUNCTION("""COMPUTED_VALUE"""),"")</f>
        <v/>
      </c>
      <c r="AZ125" s="1" t="str">
        <f>IFERROR(__xludf.DUMMYFUNCTION("""COMPUTED_VALUE"""),"")</f>
        <v/>
      </c>
      <c r="BB125" s="1" t="s">
        <v>104</v>
      </c>
      <c r="BC125" s="1" t="s">
        <v>104</v>
      </c>
      <c r="BE125" s="1" t="s">
        <v>104</v>
      </c>
      <c r="BG125" s="1" t="s">
        <v>104</v>
      </c>
      <c r="BH125" s="1" t="s">
        <v>104</v>
      </c>
      <c r="BI125" s="1" t="s">
        <v>104</v>
      </c>
      <c r="BJ125" s="1" t="s">
        <v>104</v>
      </c>
      <c r="BK125" s="1" t="s">
        <v>104</v>
      </c>
      <c r="BL125" s="1" t="s">
        <v>104</v>
      </c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N126" s="1" t="s">
        <v>104</v>
      </c>
      <c r="AO126" s="1" t="s">
        <v>104</v>
      </c>
      <c r="AP126" s="1" t="s">
        <v>104</v>
      </c>
      <c r="AQ126" s="1" t="s">
        <v>104</v>
      </c>
      <c r="AR126" s="1" t="s">
        <v>104</v>
      </c>
      <c r="AS126" s="1" t="s">
        <v>104</v>
      </c>
      <c r="AU126" s="1" t="s">
        <v>104</v>
      </c>
      <c r="AV126" s="1" t="s">
        <v>104</v>
      </c>
      <c r="AX126" s="1" t="str">
        <f>IFERROR(__xludf.DUMMYFUNCTION("""COMPUTED_VALUE"""),"")</f>
        <v/>
      </c>
      <c r="AZ126" s="1" t="str">
        <f>IFERROR(__xludf.DUMMYFUNCTION("""COMPUTED_VALUE"""),"")</f>
        <v/>
      </c>
      <c r="BB126" s="1" t="s">
        <v>104</v>
      </c>
      <c r="BC126" s="1" t="s">
        <v>104</v>
      </c>
      <c r="BE126" s="1" t="s">
        <v>104</v>
      </c>
      <c r="BG126" s="1" t="s">
        <v>104</v>
      </c>
      <c r="BH126" s="1" t="s">
        <v>104</v>
      </c>
      <c r="BI126" s="1" t="s">
        <v>104</v>
      </c>
      <c r="BJ126" s="1" t="s">
        <v>104</v>
      </c>
      <c r="BK126" s="1" t="s">
        <v>104</v>
      </c>
      <c r="BL126" s="1" t="s">
        <v>104</v>
      </c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N127" s="1" t="s">
        <v>104</v>
      </c>
      <c r="AO127" s="1" t="s">
        <v>104</v>
      </c>
      <c r="AP127" s="1" t="s">
        <v>104</v>
      </c>
      <c r="AQ127" s="1" t="s">
        <v>104</v>
      </c>
      <c r="AR127" s="1" t="s">
        <v>104</v>
      </c>
      <c r="AS127" s="1" t="s">
        <v>104</v>
      </c>
      <c r="AU127" s="1" t="s">
        <v>104</v>
      </c>
      <c r="AV127" s="1" t="s">
        <v>104</v>
      </c>
      <c r="AX127" s="1" t="str">
        <f>IFERROR(__xludf.DUMMYFUNCTION("""COMPUTED_VALUE"""),"")</f>
        <v/>
      </c>
      <c r="AZ127" s="1" t="str">
        <f>IFERROR(__xludf.DUMMYFUNCTION("""COMPUTED_VALUE"""),"")</f>
        <v/>
      </c>
      <c r="BB127" s="1" t="s">
        <v>104</v>
      </c>
      <c r="BC127" s="1" t="s">
        <v>104</v>
      </c>
      <c r="BE127" s="1" t="s">
        <v>104</v>
      </c>
      <c r="BG127" s="1" t="s">
        <v>104</v>
      </c>
      <c r="BH127" s="1" t="s">
        <v>104</v>
      </c>
      <c r="BI127" s="1" t="s">
        <v>104</v>
      </c>
      <c r="BJ127" s="1" t="s">
        <v>104</v>
      </c>
      <c r="BK127" s="1" t="s">
        <v>104</v>
      </c>
      <c r="BL127" s="1" t="s">
        <v>104</v>
      </c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N128" s="1" t="s">
        <v>104</v>
      </c>
      <c r="AO128" s="1" t="s">
        <v>104</v>
      </c>
      <c r="AP128" s="1" t="s">
        <v>104</v>
      </c>
      <c r="AQ128" s="1" t="s">
        <v>104</v>
      </c>
      <c r="AR128" s="1" t="s">
        <v>104</v>
      </c>
      <c r="AS128" s="1" t="s">
        <v>104</v>
      </c>
      <c r="AU128" s="1" t="s">
        <v>104</v>
      </c>
      <c r="AV128" s="1" t="s">
        <v>104</v>
      </c>
      <c r="AX128" s="1" t="str">
        <f>IFERROR(__xludf.DUMMYFUNCTION("""COMPUTED_VALUE"""),"")</f>
        <v/>
      </c>
      <c r="AZ128" s="1" t="str">
        <f>IFERROR(__xludf.DUMMYFUNCTION("""COMPUTED_VALUE"""),"")</f>
        <v/>
      </c>
      <c r="BB128" s="1" t="s">
        <v>104</v>
      </c>
      <c r="BC128" s="1" t="s">
        <v>104</v>
      </c>
      <c r="BE128" s="1" t="s">
        <v>104</v>
      </c>
      <c r="BG128" s="1" t="s">
        <v>104</v>
      </c>
      <c r="BH128" s="1" t="s">
        <v>104</v>
      </c>
      <c r="BI128" s="1" t="s">
        <v>104</v>
      </c>
      <c r="BJ128" s="1" t="s">
        <v>104</v>
      </c>
      <c r="BK128" s="1" t="s">
        <v>104</v>
      </c>
      <c r="BL128" s="1" t="s">
        <v>104</v>
      </c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N129" s="1" t="s">
        <v>104</v>
      </c>
      <c r="AO129" s="1" t="s">
        <v>104</v>
      </c>
      <c r="AP129" s="1" t="s">
        <v>104</v>
      </c>
      <c r="AQ129" s="1" t="s">
        <v>104</v>
      </c>
      <c r="AR129" s="1" t="s">
        <v>104</v>
      </c>
      <c r="AS129" s="1" t="s">
        <v>104</v>
      </c>
      <c r="AU129" s="1" t="s">
        <v>104</v>
      </c>
      <c r="AV129" s="1" t="s">
        <v>104</v>
      </c>
      <c r="AX129" s="1" t="str">
        <f>IFERROR(__xludf.DUMMYFUNCTION("""COMPUTED_VALUE"""),"")</f>
        <v/>
      </c>
      <c r="AZ129" s="1" t="str">
        <f>IFERROR(__xludf.DUMMYFUNCTION("""COMPUTED_VALUE"""),"")</f>
        <v/>
      </c>
      <c r="BB129" s="1" t="s">
        <v>104</v>
      </c>
      <c r="BC129" s="1" t="s">
        <v>104</v>
      </c>
      <c r="BE129" s="1" t="s">
        <v>104</v>
      </c>
      <c r="BG129" s="1" t="s">
        <v>104</v>
      </c>
      <c r="BH129" s="1" t="s">
        <v>104</v>
      </c>
      <c r="BI129" s="1" t="s">
        <v>104</v>
      </c>
      <c r="BJ129" s="1" t="s">
        <v>104</v>
      </c>
      <c r="BK129" s="1" t="s">
        <v>104</v>
      </c>
      <c r="BL129" s="1" t="s">
        <v>104</v>
      </c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N130" s="1" t="s">
        <v>104</v>
      </c>
      <c r="AO130" s="1" t="s">
        <v>104</v>
      </c>
      <c r="AP130" s="1" t="s">
        <v>104</v>
      </c>
      <c r="AQ130" s="1" t="s">
        <v>104</v>
      </c>
      <c r="AR130" s="1" t="s">
        <v>104</v>
      </c>
      <c r="AS130" s="1" t="s">
        <v>104</v>
      </c>
      <c r="AU130" s="1" t="s">
        <v>104</v>
      </c>
      <c r="AV130" s="1" t="s">
        <v>104</v>
      </c>
      <c r="AX130" s="1" t="str">
        <f>IFERROR(__xludf.DUMMYFUNCTION("""COMPUTED_VALUE"""),"")</f>
        <v/>
      </c>
      <c r="AZ130" s="1" t="str">
        <f>IFERROR(__xludf.DUMMYFUNCTION("""COMPUTED_VALUE"""),"")</f>
        <v/>
      </c>
      <c r="BB130" s="1" t="s">
        <v>104</v>
      </c>
      <c r="BC130" s="1" t="s">
        <v>104</v>
      </c>
      <c r="BE130" s="1" t="s">
        <v>104</v>
      </c>
      <c r="BG130" s="1" t="s">
        <v>104</v>
      </c>
      <c r="BH130" s="1" t="s">
        <v>104</v>
      </c>
      <c r="BI130" s="1" t="s">
        <v>104</v>
      </c>
      <c r="BJ130" s="1" t="s">
        <v>104</v>
      </c>
      <c r="BK130" s="1" t="s">
        <v>104</v>
      </c>
      <c r="BL130" s="1" t="s">
        <v>104</v>
      </c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N131" s="1" t="s">
        <v>104</v>
      </c>
      <c r="AO131" s="1" t="s">
        <v>104</v>
      </c>
      <c r="AP131" s="1" t="s">
        <v>104</v>
      </c>
      <c r="AQ131" s="1" t="s">
        <v>104</v>
      </c>
      <c r="AR131" s="1" t="s">
        <v>104</v>
      </c>
      <c r="AS131" s="1" t="s">
        <v>104</v>
      </c>
      <c r="AU131" s="1" t="s">
        <v>104</v>
      </c>
      <c r="AV131" s="1" t="s">
        <v>104</v>
      </c>
      <c r="AX131" s="1" t="str">
        <f>IFERROR(__xludf.DUMMYFUNCTION("""COMPUTED_VALUE"""),"")</f>
        <v/>
      </c>
      <c r="AZ131" s="1" t="str">
        <f>IFERROR(__xludf.DUMMYFUNCTION("""COMPUTED_VALUE"""),"")</f>
        <v/>
      </c>
      <c r="BB131" s="1" t="s">
        <v>104</v>
      </c>
      <c r="BC131" s="1" t="s">
        <v>104</v>
      </c>
      <c r="BE131" s="1" t="s">
        <v>104</v>
      </c>
      <c r="BG131" s="1" t="s">
        <v>104</v>
      </c>
      <c r="BH131" s="1" t="s">
        <v>104</v>
      </c>
      <c r="BI131" s="1" t="s">
        <v>104</v>
      </c>
      <c r="BJ131" s="1" t="s">
        <v>104</v>
      </c>
      <c r="BK131" s="1" t="s">
        <v>104</v>
      </c>
      <c r="BL131" s="1" t="s">
        <v>104</v>
      </c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N132" s="1" t="s">
        <v>104</v>
      </c>
      <c r="AO132" s="1" t="s">
        <v>104</v>
      </c>
      <c r="AP132" s="1" t="s">
        <v>104</v>
      </c>
      <c r="AQ132" s="1" t="s">
        <v>104</v>
      </c>
      <c r="AR132" s="1" t="s">
        <v>104</v>
      </c>
      <c r="AS132" s="1" t="s">
        <v>104</v>
      </c>
      <c r="AU132" s="1" t="s">
        <v>104</v>
      </c>
      <c r="AV132" s="1" t="s">
        <v>104</v>
      </c>
      <c r="AX132" s="1" t="str">
        <f>IFERROR(__xludf.DUMMYFUNCTION("""COMPUTED_VALUE"""),"")</f>
        <v/>
      </c>
      <c r="AZ132" s="1" t="str">
        <f>IFERROR(__xludf.DUMMYFUNCTION("""COMPUTED_VALUE"""),"")</f>
        <v/>
      </c>
      <c r="BB132" s="1" t="s">
        <v>104</v>
      </c>
      <c r="BC132" s="1" t="s">
        <v>104</v>
      </c>
      <c r="BE132" s="1" t="s">
        <v>104</v>
      </c>
      <c r="BG132" s="1" t="s">
        <v>104</v>
      </c>
      <c r="BH132" s="1" t="s">
        <v>104</v>
      </c>
      <c r="BI132" s="1" t="s">
        <v>104</v>
      </c>
      <c r="BJ132" s="1" t="s">
        <v>104</v>
      </c>
      <c r="BK132" s="1" t="s">
        <v>104</v>
      </c>
      <c r="BL132" s="1" t="s">
        <v>104</v>
      </c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N133" s="1" t="s">
        <v>104</v>
      </c>
      <c r="AO133" s="1" t="s">
        <v>104</v>
      </c>
      <c r="AP133" s="1" t="s">
        <v>104</v>
      </c>
      <c r="AQ133" s="1" t="s">
        <v>104</v>
      </c>
      <c r="AR133" s="1" t="s">
        <v>104</v>
      </c>
      <c r="AS133" s="1" t="s">
        <v>104</v>
      </c>
      <c r="AU133" s="1" t="s">
        <v>104</v>
      </c>
      <c r="AV133" s="1" t="s">
        <v>104</v>
      </c>
      <c r="AX133" s="1" t="str">
        <f>IFERROR(__xludf.DUMMYFUNCTION("""COMPUTED_VALUE"""),"")</f>
        <v/>
      </c>
      <c r="AZ133" s="1" t="str">
        <f>IFERROR(__xludf.DUMMYFUNCTION("""COMPUTED_VALUE"""),"")</f>
        <v/>
      </c>
      <c r="BB133" s="1" t="s">
        <v>104</v>
      </c>
      <c r="BC133" s="1" t="s">
        <v>104</v>
      </c>
      <c r="BE133" s="1" t="s">
        <v>104</v>
      </c>
      <c r="BG133" s="1" t="s">
        <v>104</v>
      </c>
      <c r="BH133" s="1" t="s">
        <v>104</v>
      </c>
      <c r="BI133" s="1" t="s">
        <v>104</v>
      </c>
      <c r="BJ133" s="1" t="s">
        <v>104</v>
      </c>
      <c r="BK133" s="1" t="s">
        <v>104</v>
      </c>
      <c r="BL133" s="1" t="s">
        <v>104</v>
      </c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N134" s="1" t="s">
        <v>104</v>
      </c>
      <c r="AO134" s="1" t="s">
        <v>104</v>
      </c>
      <c r="AP134" s="1" t="s">
        <v>104</v>
      </c>
      <c r="AQ134" s="1" t="s">
        <v>104</v>
      </c>
      <c r="AR134" s="1" t="s">
        <v>104</v>
      </c>
      <c r="AS134" s="1" t="s">
        <v>104</v>
      </c>
      <c r="AU134" s="1" t="s">
        <v>104</v>
      </c>
      <c r="AV134" s="1" t="s">
        <v>104</v>
      </c>
      <c r="AX134" s="1" t="str">
        <f>IFERROR(__xludf.DUMMYFUNCTION("""COMPUTED_VALUE"""),"")</f>
        <v/>
      </c>
      <c r="AZ134" s="1" t="str">
        <f>IFERROR(__xludf.DUMMYFUNCTION("""COMPUTED_VALUE"""),"")</f>
        <v/>
      </c>
      <c r="BB134" s="1" t="s">
        <v>104</v>
      </c>
      <c r="BC134" s="1" t="s">
        <v>104</v>
      </c>
      <c r="BE134" s="1" t="s">
        <v>104</v>
      </c>
      <c r="BG134" s="1" t="s">
        <v>104</v>
      </c>
      <c r="BH134" s="1" t="s">
        <v>104</v>
      </c>
      <c r="BI134" s="1" t="s">
        <v>104</v>
      </c>
      <c r="BJ134" s="1" t="s">
        <v>104</v>
      </c>
      <c r="BK134" s="1" t="s">
        <v>104</v>
      </c>
      <c r="BL134" s="1" t="s">
        <v>104</v>
      </c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N135" s="1" t="s">
        <v>104</v>
      </c>
      <c r="AO135" s="1" t="s">
        <v>104</v>
      </c>
      <c r="AP135" s="1" t="s">
        <v>104</v>
      </c>
      <c r="AQ135" s="1" t="s">
        <v>104</v>
      </c>
      <c r="AR135" s="1" t="s">
        <v>104</v>
      </c>
      <c r="AS135" s="1" t="s">
        <v>104</v>
      </c>
      <c r="AU135" s="1" t="s">
        <v>104</v>
      </c>
      <c r="AV135" s="1" t="s">
        <v>104</v>
      </c>
      <c r="AX135" s="1" t="str">
        <f>IFERROR(__xludf.DUMMYFUNCTION("""COMPUTED_VALUE"""),"")</f>
        <v/>
      </c>
      <c r="AZ135" s="1" t="str">
        <f>IFERROR(__xludf.DUMMYFUNCTION("""COMPUTED_VALUE"""),"")</f>
        <v/>
      </c>
      <c r="BB135" s="1" t="s">
        <v>104</v>
      </c>
      <c r="BC135" s="1" t="s">
        <v>104</v>
      </c>
      <c r="BE135" s="1" t="s">
        <v>104</v>
      </c>
      <c r="BG135" s="1" t="s">
        <v>104</v>
      </c>
      <c r="BH135" s="1" t="s">
        <v>104</v>
      </c>
      <c r="BI135" s="1" t="s">
        <v>104</v>
      </c>
      <c r="BJ135" s="1" t="s">
        <v>104</v>
      </c>
      <c r="BK135" s="1" t="s">
        <v>104</v>
      </c>
      <c r="BL135" s="1" t="s">
        <v>104</v>
      </c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N136" s="1" t="s">
        <v>104</v>
      </c>
      <c r="AO136" s="1" t="s">
        <v>104</v>
      </c>
      <c r="AP136" s="1" t="s">
        <v>104</v>
      </c>
      <c r="AQ136" s="1" t="s">
        <v>104</v>
      </c>
      <c r="AR136" s="1" t="s">
        <v>104</v>
      </c>
      <c r="AS136" s="1" t="s">
        <v>104</v>
      </c>
      <c r="AU136" s="1" t="s">
        <v>104</v>
      </c>
      <c r="AV136" s="1" t="s">
        <v>104</v>
      </c>
      <c r="AX136" s="1" t="str">
        <f>IFERROR(__xludf.DUMMYFUNCTION("""COMPUTED_VALUE"""),"")</f>
        <v/>
      </c>
      <c r="AZ136" s="1" t="str">
        <f>IFERROR(__xludf.DUMMYFUNCTION("""COMPUTED_VALUE"""),"")</f>
        <v/>
      </c>
      <c r="BB136" s="1" t="s">
        <v>104</v>
      </c>
      <c r="BC136" s="1" t="s">
        <v>104</v>
      </c>
      <c r="BE136" s="1" t="s">
        <v>104</v>
      </c>
      <c r="BG136" s="1" t="s">
        <v>104</v>
      </c>
      <c r="BH136" s="1" t="s">
        <v>104</v>
      </c>
      <c r="BI136" s="1" t="s">
        <v>104</v>
      </c>
      <c r="BJ136" s="1" t="s">
        <v>104</v>
      </c>
      <c r="BK136" s="1" t="s">
        <v>104</v>
      </c>
      <c r="BL136" s="1" t="s">
        <v>104</v>
      </c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N137" s="1" t="s">
        <v>104</v>
      </c>
      <c r="AO137" s="1" t="s">
        <v>104</v>
      </c>
      <c r="AP137" s="1" t="s">
        <v>104</v>
      </c>
      <c r="AQ137" s="1" t="s">
        <v>104</v>
      </c>
      <c r="AR137" s="1" t="s">
        <v>104</v>
      </c>
      <c r="AS137" s="1" t="s">
        <v>104</v>
      </c>
      <c r="AU137" s="1" t="s">
        <v>104</v>
      </c>
      <c r="AV137" s="1" t="s">
        <v>104</v>
      </c>
      <c r="AX137" s="1" t="str">
        <f>IFERROR(__xludf.DUMMYFUNCTION("""COMPUTED_VALUE"""),"")</f>
        <v/>
      </c>
      <c r="AZ137" s="1" t="str">
        <f>IFERROR(__xludf.DUMMYFUNCTION("""COMPUTED_VALUE"""),"")</f>
        <v/>
      </c>
      <c r="BB137" s="1" t="s">
        <v>104</v>
      </c>
      <c r="BC137" s="1" t="s">
        <v>104</v>
      </c>
      <c r="BE137" s="1" t="s">
        <v>104</v>
      </c>
      <c r="BG137" s="1" t="s">
        <v>104</v>
      </c>
      <c r="BH137" s="1" t="s">
        <v>104</v>
      </c>
      <c r="BI137" s="1" t="s">
        <v>104</v>
      </c>
      <c r="BJ137" s="1" t="s">
        <v>104</v>
      </c>
      <c r="BK137" s="1" t="s">
        <v>104</v>
      </c>
      <c r="BL137" s="1" t="s">
        <v>104</v>
      </c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N138" s="1" t="s">
        <v>104</v>
      </c>
      <c r="AO138" s="1" t="s">
        <v>104</v>
      </c>
      <c r="AP138" s="1" t="s">
        <v>104</v>
      </c>
      <c r="AQ138" s="1" t="s">
        <v>104</v>
      </c>
      <c r="AR138" s="1" t="s">
        <v>104</v>
      </c>
      <c r="AS138" s="1" t="s">
        <v>104</v>
      </c>
      <c r="AU138" s="1" t="s">
        <v>104</v>
      </c>
      <c r="AV138" s="1" t="s">
        <v>104</v>
      </c>
      <c r="AX138" s="1" t="str">
        <f>IFERROR(__xludf.DUMMYFUNCTION("""COMPUTED_VALUE"""),"")</f>
        <v/>
      </c>
      <c r="AZ138" s="1" t="str">
        <f>IFERROR(__xludf.DUMMYFUNCTION("""COMPUTED_VALUE"""),"")</f>
        <v/>
      </c>
      <c r="BB138" s="1" t="s">
        <v>104</v>
      </c>
      <c r="BC138" s="1" t="s">
        <v>104</v>
      </c>
      <c r="BE138" s="1" t="s">
        <v>104</v>
      </c>
      <c r="BG138" s="1" t="s">
        <v>104</v>
      </c>
      <c r="BH138" s="1" t="s">
        <v>104</v>
      </c>
      <c r="BI138" s="1" t="s">
        <v>104</v>
      </c>
      <c r="BJ138" s="1" t="s">
        <v>104</v>
      </c>
      <c r="BK138" s="1" t="s">
        <v>104</v>
      </c>
      <c r="BL138" s="1" t="s">
        <v>104</v>
      </c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N139" s="1" t="s">
        <v>104</v>
      </c>
      <c r="AO139" s="1" t="s">
        <v>104</v>
      </c>
      <c r="AP139" s="1" t="s">
        <v>104</v>
      </c>
      <c r="AQ139" s="1" t="s">
        <v>104</v>
      </c>
      <c r="AR139" s="1" t="s">
        <v>104</v>
      </c>
      <c r="AS139" s="1" t="s">
        <v>104</v>
      </c>
      <c r="AU139" s="1" t="s">
        <v>104</v>
      </c>
      <c r="AV139" s="1" t="s">
        <v>104</v>
      </c>
      <c r="AX139" s="1" t="str">
        <f>IFERROR(__xludf.DUMMYFUNCTION("""COMPUTED_VALUE"""),"")</f>
        <v/>
      </c>
      <c r="AZ139" s="1" t="str">
        <f>IFERROR(__xludf.DUMMYFUNCTION("""COMPUTED_VALUE"""),"")</f>
        <v/>
      </c>
      <c r="BB139" s="1" t="s">
        <v>104</v>
      </c>
      <c r="BC139" s="1" t="s">
        <v>104</v>
      </c>
      <c r="BE139" s="1" t="s">
        <v>104</v>
      </c>
      <c r="BG139" s="1" t="s">
        <v>104</v>
      </c>
      <c r="BH139" s="1" t="s">
        <v>104</v>
      </c>
      <c r="BI139" s="1" t="s">
        <v>104</v>
      </c>
      <c r="BJ139" s="1" t="s">
        <v>104</v>
      </c>
      <c r="BK139" s="1" t="s">
        <v>104</v>
      </c>
      <c r="BL139" s="1" t="s">
        <v>104</v>
      </c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N140" s="1" t="s">
        <v>104</v>
      </c>
      <c r="AO140" s="1" t="s">
        <v>104</v>
      </c>
      <c r="AP140" s="1" t="s">
        <v>104</v>
      </c>
      <c r="AQ140" s="1" t="s">
        <v>104</v>
      </c>
      <c r="AR140" s="1" t="s">
        <v>104</v>
      </c>
      <c r="AS140" s="1" t="s">
        <v>104</v>
      </c>
      <c r="AU140" s="1" t="s">
        <v>104</v>
      </c>
      <c r="AV140" s="1" t="s">
        <v>104</v>
      </c>
      <c r="AX140" s="1" t="str">
        <f>IFERROR(__xludf.DUMMYFUNCTION("""COMPUTED_VALUE"""),"")</f>
        <v/>
      </c>
      <c r="AZ140" s="1" t="str">
        <f>IFERROR(__xludf.DUMMYFUNCTION("""COMPUTED_VALUE"""),"")</f>
        <v/>
      </c>
      <c r="BB140" s="1" t="s">
        <v>104</v>
      </c>
      <c r="BC140" s="1" t="s">
        <v>104</v>
      </c>
      <c r="BE140" s="1" t="s">
        <v>104</v>
      </c>
      <c r="BG140" s="1" t="s">
        <v>104</v>
      </c>
      <c r="BH140" s="1" t="s">
        <v>104</v>
      </c>
      <c r="BI140" s="1" t="s">
        <v>104</v>
      </c>
      <c r="BJ140" s="1" t="s">
        <v>104</v>
      </c>
      <c r="BK140" s="1" t="s">
        <v>104</v>
      </c>
      <c r="BL140" s="1" t="s">
        <v>104</v>
      </c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N141" s="1" t="s">
        <v>104</v>
      </c>
      <c r="AO141" s="1" t="s">
        <v>104</v>
      </c>
      <c r="AP141" s="1" t="s">
        <v>104</v>
      </c>
      <c r="AQ141" s="1" t="s">
        <v>104</v>
      </c>
      <c r="AR141" s="1" t="s">
        <v>104</v>
      </c>
      <c r="AS141" s="1" t="s">
        <v>104</v>
      </c>
      <c r="AU141" s="1" t="s">
        <v>104</v>
      </c>
      <c r="AV141" s="1" t="s">
        <v>104</v>
      </c>
      <c r="AX141" s="1" t="str">
        <f>IFERROR(__xludf.DUMMYFUNCTION("""COMPUTED_VALUE"""),"")</f>
        <v/>
      </c>
      <c r="AZ141" s="1" t="str">
        <f>IFERROR(__xludf.DUMMYFUNCTION("""COMPUTED_VALUE"""),"")</f>
        <v/>
      </c>
      <c r="BB141" s="1" t="s">
        <v>104</v>
      </c>
      <c r="BC141" s="1" t="s">
        <v>104</v>
      </c>
      <c r="BE141" s="1" t="s">
        <v>104</v>
      </c>
      <c r="BG141" s="1" t="s">
        <v>104</v>
      </c>
      <c r="BH141" s="1" t="s">
        <v>104</v>
      </c>
      <c r="BI141" s="1" t="s">
        <v>104</v>
      </c>
      <c r="BJ141" s="1" t="s">
        <v>104</v>
      </c>
      <c r="BK141" s="1" t="s">
        <v>104</v>
      </c>
      <c r="BL141" s="1" t="s">
        <v>104</v>
      </c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N142" s="1" t="s">
        <v>104</v>
      </c>
      <c r="AO142" s="1" t="s">
        <v>104</v>
      </c>
      <c r="AP142" s="1" t="s">
        <v>104</v>
      </c>
      <c r="AQ142" s="1" t="s">
        <v>104</v>
      </c>
      <c r="AR142" s="1" t="s">
        <v>104</v>
      </c>
      <c r="AS142" s="1" t="s">
        <v>104</v>
      </c>
      <c r="AU142" s="1" t="s">
        <v>104</v>
      </c>
      <c r="AV142" s="1" t="s">
        <v>104</v>
      </c>
      <c r="AX142" s="1" t="str">
        <f>IFERROR(__xludf.DUMMYFUNCTION("""COMPUTED_VALUE"""),"")</f>
        <v/>
      </c>
      <c r="AZ142" s="1" t="str">
        <f>IFERROR(__xludf.DUMMYFUNCTION("""COMPUTED_VALUE"""),"")</f>
        <v/>
      </c>
      <c r="BB142" s="1" t="s">
        <v>104</v>
      </c>
      <c r="BC142" s="1" t="s">
        <v>104</v>
      </c>
      <c r="BE142" s="1" t="s">
        <v>104</v>
      </c>
      <c r="BG142" s="1" t="s">
        <v>104</v>
      </c>
      <c r="BH142" s="1" t="s">
        <v>104</v>
      </c>
      <c r="BI142" s="1" t="s">
        <v>104</v>
      </c>
      <c r="BJ142" s="1" t="s">
        <v>104</v>
      </c>
      <c r="BK142" s="1" t="s">
        <v>104</v>
      </c>
      <c r="BL142" s="1" t="s">
        <v>104</v>
      </c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N143" s="1" t="s">
        <v>104</v>
      </c>
      <c r="AO143" s="1" t="s">
        <v>104</v>
      </c>
      <c r="AP143" s="1" t="s">
        <v>104</v>
      </c>
      <c r="AQ143" s="1" t="s">
        <v>104</v>
      </c>
      <c r="AR143" s="1" t="s">
        <v>104</v>
      </c>
      <c r="AS143" s="1" t="s">
        <v>104</v>
      </c>
      <c r="AU143" s="1" t="s">
        <v>104</v>
      </c>
      <c r="AV143" s="1" t="s">
        <v>104</v>
      </c>
      <c r="AX143" s="1" t="str">
        <f>IFERROR(__xludf.DUMMYFUNCTION("""COMPUTED_VALUE"""),"")</f>
        <v/>
      </c>
      <c r="AZ143" s="1" t="str">
        <f>IFERROR(__xludf.DUMMYFUNCTION("""COMPUTED_VALUE"""),"")</f>
        <v/>
      </c>
      <c r="BB143" s="1" t="s">
        <v>104</v>
      </c>
      <c r="BC143" s="1" t="s">
        <v>104</v>
      </c>
      <c r="BE143" s="1" t="s">
        <v>104</v>
      </c>
      <c r="BG143" s="1" t="s">
        <v>104</v>
      </c>
      <c r="BH143" s="1" t="s">
        <v>104</v>
      </c>
      <c r="BI143" s="1" t="s">
        <v>104</v>
      </c>
      <c r="BJ143" s="1" t="s">
        <v>104</v>
      </c>
      <c r="BK143" s="1" t="s">
        <v>104</v>
      </c>
      <c r="BL143" s="1" t="s">
        <v>104</v>
      </c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N144" s="1" t="s">
        <v>104</v>
      </c>
      <c r="AO144" s="1" t="s">
        <v>104</v>
      </c>
      <c r="AP144" s="1" t="s">
        <v>104</v>
      </c>
      <c r="AQ144" s="1" t="s">
        <v>104</v>
      </c>
      <c r="AR144" s="1" t="s">
        <v>104</v>
      </c>
      <c r="AS144" s="1" t="s">
        <v>104</v>
      </c>
      <c r="AU144" s="1" t="s">
        <v>104</v>
      </c>
      <c r="AV144" s="1" t="s">
        <v>104</v>
      </c>
      <c r="AX144" s="1" t="str">
        <f>IFERROR(__xludf.DUMMYFUNCTION("""COMPUTED_VALUE"""),"")</f>
        <v/>
      </c>
      <c r="AZ144" s="1" t="str">
        <f>IFERROR(__xludf.DUMMYFUNCTION("""COMPUTED_VALUE"""),"")</f>
        <v/>
      </c>
      <c r="BB144" s="1" t="s">
        <v>104</v>
      </c>
      <c r="BC144" s="1" t="s">
        <v>104</v>
      </c>
      <c r="BE144" s="1" t="s">
        <v>104</v>
      </c>
      <c r="BG144" s="1" t="s">
        <v>104</v>
      </c>
      <c r="BH144" s="1" t="s">
        <v>104</v>
      </c>
      <c r="BI144" s="1" t="s">
        <v>104</v>
      </c>
      <c r="BJ144" s="1" t="s">
        <v>104</v>
      </c>
      <c r="BK144" s="1" t="s">
        <v>104</v>
      </c>
      <c r="BL144" s="1" t="s">
        <v>104</v>
      </c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N145" s="1" t="s">
        <v>104</v>
      </c>
      <c r="AO145" s="1" t="s">
        <v>104</v>
      </c>
      <c r="AP145" s="1" t="s">
        <v>104</v>
      </c>
      <c r="AQ145" s="1" t="s">
        <v>104</v>
      </c>
      <c r="AR145" s="1" t="s">
        <v>104</v>
      </c>
      <c r="AS145" s="1" t="s">
        <v>104</v>
      </c>
      <c r="AU145" s="1" t="s">
        <v>104</v>
      </c>
      <c r="AV145" s="1" t="s">
        <v>104</v>
      </c>
      <c r="AX145" s="1" t="str">
        <f>IFERROR(__xludf.DUMMYFUNCTION("""COMPUTED_VALUE"""),"")</f>
        <v/>
      </c>
      <c r="AZ145" s="1" t="str">
        <f>IFERROR(__xludf.DUMMYFUNCTION("""COMPUTED_VALUE"""),"")</f>
        <v/>
      </c>
      <c r="BB145" s="1" t="s">
        <v>104</v>
      </c>
      <c r="BC145" s="1" t="s">
        <v>104</v>
      </c>
      <c r="BE145" s="1" t="s">
        <v>104</v>
      </c>
      <c r="BG145" s="1" t="s">
        <v>104</v>
      </c>
      <c r="BH145" s="1" t="s">
        <v>104</v>
      </c>
      <c r="BI145" s="1" t="s">
        <v>104</v>
      </c>
      <c r="BJ145" s="1" t="s">
        <v>104</v>
      </c>
      <c r="BK145" s="1" t="s">
        <v>104</v>
      </c>
      <c r="BL145" s="1" t="s">
        <v>104</v>
      </c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N146" s="1" t="s">
        <v>104</v>
      </c>
      <c r="AO146" s="1" t="s">
        <v>104</v>
      </c>
      <c r="AP146" s="1" t="s">
        <v>104</v>
      </c>
      <c r="AQ146" s="1" t="s">
        <v>104</v>
      </c>
      <c r="AR146" s="1" t="s">
        <v>104</v>
      </c>
      <c r="AS146" s="1" t="s">
        <v>104</v>
      </c>
      <c r="AU146" s="1" t="s">
        <v>104</v>
      </c>
      <c r="AV146" s="1" t="s">
        <v>104</v>
      </c>
      <c r="AX146" s="1" t="str">
        <f>IFERROR(__xludf.DUMMYFUNCTION("""COMPUTED_VALUE"""),"")</f>
        <v/>
      </c>
      <c r="AZ146" s="1" t="str">
        <f>IFERROR(__xludf.DUMMYFUNCTION("""COMPUTED_VALUE"""),"")</f>
        <v/>
      </c>
      <c r="BB146" s="1" t="s">
        <v>104</v>
      </c>
      <c r="BC146" s="1" t="s">
        <v>104</v>
      </c>
      <c r="BE146" s="1" t="s">
        <v>104</v>
      </c>
      <c r="BG146" s="1" t="s">
        <v>104</v>
      </c>
      <c r="BH146" s="1" t="s">
        <v>104</v>
      </c>
      <c r="BI146" s="1" t="s">
        <v>104</v>
      </c>
      <c r="BJ146" s="1" t="s">
        <v>104</v>
      </c>
      <c r="BK146" s="1" t="s">
        <v>104</v>
      </c>
      <c r="BL146" s="1" t="s">
        <v>104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N147" s="1" t="s">
        <v>104</v>
      </c>
      <c r="AO147" s="1" t="s">
        <v>104</v>
      </c>
      <c r="AP147" s="1" t="s">
        <v>104</v>
      </c>
      <c r="AQ147" s="1" t="s">
        <v>104</v>
      </c>
      <c r="AR147" s="1" t="s">
        <v>104</v>
      </c>
      <c r="AS147" s="1" t="s">
        <v>104</v>
      </c>
      <c r="AU147" s="1" t="s">
        <v>104</v>
      </c>
      <c r="AV147" s="1" t="s">
        <v>104</v>
      </c>
      <c r="AX147" s="1" t="str">
        <f>IFERROR(__xludf.DUMMYFUNCTION("""COMPUTED_VALUE"""),"")</f>
        <v/>
      </c>
      <c r="AZ147" s="1" t="str">
        <f>IFERROR(__xludf.DUMMYFUNCTION("""COMPUTED_VALUE"""),"")</f>
        <v/>
      </c>
      <c r="BB147" s="1" t="s">
        <v>104</v>
      </c>
      <c r="BC147" s="1" t="s">
        <v>104</v>
      </c>
      <c r="BE147" s="1" t="s">
        <v>104</v>
      </c>
      <c r="BG147" s="1" t="s">
        <v>104</v>
      </c>
      <c r="BH147" s="1" t="s">
        <v>104</v>
      </c>
      <c r="BI147" s="1" t="s">
        <v>104</v>
      </c>
      <c r="BJ147" s="1" t="s">
        <v>104</v>
      </c>
      <c r="BK147" s="1" t="s">
        <v>104</v>
      </c>
      <c r="BL147" s="1" t="s">
        <v>104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N148" s="1" t="s">
        <v>104</v>
      </c>
      <c r="AO148" s="1" t="s">
        <v>104</v>
      </c>
      <c r="AP148" s="1" t="s">
        <v>104</v>
      </c>
      <c r="AQ148" s="1" t="s">
        <v>104</v>
      </c>
      <c r="AR148" s="1" t="s">
        <v>104</v>
      </c>
      <c r="AS148" s="1" t="s">
        <v>104</v>
      </c>
      <c r="AU148" s="1" t="s">
        <v>104</v>
      </c>
      <c r="AV148" s="1" t="s">
        <v>104</v>
      </c>
      <c r="AX148" s="1" t="str">
        <f>IFERROR(__xludf.DUMMYFUNCTION("""COMPUTED_VALUE"""),"")</f>
        <v/>
      </c>
      <c r="AZ148" s="1" t="str">
        <f>IFERROR(__xludf.DUMMYFUNCTION("""COMPUTED_VALUE"""),"")</f>
        <v/>
      </c>
      <c r="BB148" s="1" t="s">
        <v>104</v>
      </c>
      <c r="BC148" s="1" t="s">
        <v>104</v>
      </c>
      <c r="BE148" s="1" t="s">
        <v>104</v>
      </c>
      <c r="BG148" s="1" t="s">
        <v>104</v>
      </c>
      <c r="BH148" s="1" t="s">
        <v>104</v>
      </c>
      <c r="BI148" s="1" t="s">
        <v>104</v>
      </c>
      <c r="BJ148" s="1" t="s">
        <v>104</v>
      </c>
      <c r="BK148" s="1" t="s">
        <v>104</v>
      </c>
      <c r="BL148" s="1" t="s">
        <v>104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N149" s="1" t="s">
        <v>104</v>
      </c>
      <c r="AO149" s="1" t="s">
        <v>104</v>
      </c>
      <c r="AP149" s="1" t="s">
        <v>104</v>
      </c>
      <c r="AQ149" s="1" t="s">
        <v>104</v>
      </c>
      <c r="AR149" s="1" t="s">
        <v>104</v>
      </c>
      <c r="AS149" s="1" t="s">
        <v>104</v>
      </c>
      <c r="AU149" s="1" t="s">
        <v>104</v>
      </c>
      <c r="AV149" s="1" t="s">
        <v>104</v>
      </c>
      <c r="AX149" s="1" t="str">
        <f>IFERROR(__xludf.DUMMYFUNCTION("""COMPUTED_VALUE"""),"")</f>
        <v/>
      </c>
      <c r="AZ149" s="1" t="str">
        <f>IFERROR(__xludf.DUMMYFUNCTION("""COMPUTED_VALUE"""),"")</f>
        <v/>
      </c>
      <c r="BB149" s="1" t="s">
        <v>104</v>
      </c>
      <c r="BC149" s="1" t="s">
        <v>104</v>
      </c>
      <c r="BE149" s="1" t="s">
        <v>104</v>
      </c>
      <c r="BG149" s="1" t="s">
        <v>104</v>
      </c>
      <c r="BH149" s="1" t="s">
        <v>104</v>
      </c>
      <c r="BI149" s="1" t="s">
        <v>104</v>
      </c>
      <c r="BJ149" s="1" t="s">
        <v>104</v>
      </c>
      <c r="BK149" s="1" t="s">
        <v>104</v>
      </c>
      <c r="BL149" s="1" t="s">
        <v>104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N150" s="1" t="s">
        <v>104</v>
      </c>
      <c r="AO150" s="1" t="s">
        <v>104</v>
      </c>
      <c r="AP150" s="1" t="s">
        <v>104</v>
      </c>
      <c r="AQ150" s="1" t="s">
        <v>104</v>
      </c>
      <c r="AR150" s="1" t="s">
        <v>104</v>
      </c>
      <c r="AS150" s="1" t="s">
        <v>104</v>
      </c>
      <c r="AU150" s="1" t="s">
        <v>104</v>
      </c>
      <c r="AV150" s="1" t="s">
        <v>104</v>
      </c>
      <c r="AX150" s="1" t="str">
        <f>IFERROR(__xludf.DUMMYFUNCTION("""COMPUTED_VALUE"""),"")</f>
        <v/>
      </c>
      <c r="AZ150" s="1" t="str">
        <f>IFERROR(__xludf.DUMMYFUNCTION("""COMPUTED_VALUE"""),"")</f>
        <v/>
      </c>
      <c r="BB150" s="1" t="s">
        <v>104</v>
      </c>
      <c r="BC150" s="1" t="s">
        <v>104</v>
      </c>
      <c r="BE150" s="1" t="s">
        <v>104</v>
      </c>
      <c r="BG150" s="1" t="s">
        <v>104</v>
      </c>
      <c r="BH150" s="1" t="s">
        <v>104</v>
      </c>
      <c r="BI150" s="1" t="s">
        <v>104</v>
      </c>
      <c r="BJ150" s="1" t="s">
        <v>104</v>
      </c>
      <c r="BK150" s="1" t="s">
        <v>104</v>
      </c>
      <c r="BL150" s="1" t="s">
        <v>104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N151" s="1" t="s">
        <v>104</v>
      </c>
      <c r="AO151" s="1" t="s">
        <v>104</v>
      </c>
      <c r="AP151" s="1" t="s">
        <v>104</v>
      </c>
      <c r="AQ151" s="1" t="s">
        <v>104</v>
      </c>
      <c r="AR151" s="1" t="s">
        <v>104</v>
      </c>
      <c r="AS151" s="1" t="s">
        <v>104</v>
      </c>
      <c r="AU151" s="1" t="s">
        <v>104</v>
      </c>
      <c r="AV151" s="1" t="s">
        <v>104</v>
      </c>
      <c r="AX151" s="1" t="str">
        <f>IFERROR(__xludf.DUMMYFUNCTION("""COMPUTED_VALUE"""),"")</f>
        <v/>
      </c>
      <c r="AZ151" s="1" t="str">
        <f>IFERROR(__xludf.DUMMYFUNCTION("""COMPUTED_VALUE"""),"")</f>
        <v/>
      </c>
      <c r="BB151" s="1" t="s">
        <v>104</v>
      </c>
      <c r="BC151" s="1" t="s">
        <v>104</v>
      </c>
      <c r="BE151" s="1" t="s">
        <v>104</v>
      </c>
      <c r="BG151" s="1" t="s">
        <v>104</v>
      </c>
      <c r="BH151" s="1" t="s">
        <v>104</v>
      </c>
      <c r="BI151" s="1" t="s">
        <v>104</v>
      </c>
      <c r="BJ151" s="1" t="s">
        <v>104</v>
      </c>
      <c r="BK151" s="1" t="s">
        <v>104</v>
      </c>
      <c r="BL151" s="1" t="s">
        <v>104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N152" s="1" t="s">
        <v>104</v>
      </c>
      <c r="AO152" s="1" t="s">
        <v>104</v>
      </c>
      <c r="AP152" s="1" t="s">
        <v>104</v>
      </c>
      <c r="AQ152" s="1" t="s">
        <v>104</v>
      </c>
      <c r="AR152" s="1" t="s">
        <v>104</v>
      </c>
      <c r="AS152" s="1" t="s">
        <v>104</v>
      </c>
      <c r="AU152" s="1" t="s">
        <v>104</v>
      </c>
      <c r="AV152" s="1" t="s">
        <v>104</v>
      </c>
      <c r="AX152" s="1" t="str">
        <f>IFERROR(__xludf.DUMMYFUNCTION("""COMPUTED_VALUE"""),"")</f>
        <v/>
      </c>
      <c r="AZ152" s="1" t="str">
        <f>IFERROR(__xludf.DUMMYFUNCTION("""COMPUTED_VALUE"""),"")</f>
        <v/>
      </c>
      <c r="BB152" s="1" t="s">
        <v>104</v>
      </c>
      <c r="BC152" s="1" t="s">
        <v>104</v>
      </c>
      <c r="BE152" s="1" t="s">
        <v>104</v>
      </c>
      <c r="BG152" s="1" t="s">
        <v>104</v>
      </c>
      <c r="BH152" s="1" t="s">
        <v>104</v>
      </c>
      <c r="BI152" s="1" t="s">
        <v>104</v>
      </c>
      <c r="BJ152" s="1" t="s">
        <v>104</v>
      </c>
      <c r="BK152" s="1" t="s">
        <v>104</v>
      </c>
      <c r="BL152" s="1" t="s">
        <v>104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N153" s="1" t="s">
        <v>104</v>
      </c>
      <c r="AO153" s="1" t="s">
        <v>104</v>
      </c>
      <c r="AP153" s="1" t="s">
        <v>104</v>
      </c>
      <c r="AQ153" s="1" t="s">
        <v>104</v>
      </c>
      <c r="AR153" s="1" t="s">
        <v>104</v>
      </c>
      <c r="AS153" s="1" t="s">
        <v>104</v>
      </c>
      <c r="AU153" s="1" t="s">
        <v>104</v>
      </c>
      <c r="AV153" s="1" t="s">
        <v>104</v>
      </c>
      <c r="AX153" s="1" t="str">
        <f>IFERROR(__xludf.DUMMYFUNCTION("""COMPUTED_VALUE"""),"")</f>
        <v/>
      </c>
      <c r="AZ153" s="1" t="str">
        <f>IFERROR(__xludf.DUMMYFUNCTION("""COMPUTED_VALUE"""),"")</f>
        <v/>
      </c>
      <c r="BB153" s="1" t="s">
        <v>104</v>
      </c>
      <c r="BC153" s="1" t="s">
        <v>104</v>
      </c>
      <c r="BE153" s="1" t="s">
        <v>104</v>
      </c>
      <c r="BG153" s="1" t="s">
        <v>104</v>
      </c>
      <c r="BH153" s="1" t="s">
        <v>104</v>
      </c>
      <c r="BI153" s="1" t="s">
        <v>104</v>
      </c>
      <c r="BJ153" s="1" t="s">
        <v>104</v>
      </c>
      <c r="BK153" s="1" t="s">
        <v>104</v>
      </c>
      <c r="BL153" s="1" t="s">
        <v>104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N154" s="1" t="s">
        <v>104</v>
      </c>
      <c r="AO154" s="1" t="s">
        <v>104</v>
      </c>
      <c r="AP154" s="1" t="s">
        <v>104</v>
      </c>
      <c r="AQ154" s="1" t="s">
        <v>104</v>
      </c>
      <c r="AR154" s="1" t="s">
        <v>104</v>
      </c>
      <c r="AS154" s="1" t="s">
        <v>104</v>
      </c>
      <c r="AU154" s="1" t="s">
        <v>104</v>
      </c>
      <c r="AV154" s="1" t="s">
        <v>104</v>
      </c>
      <c r="AX154" s="1" t="str">
        <f>IFERROR(__xludf.DUMMYFUNCTION("""COMPUTED_VALUE"""),"")</f>
        <v/>
      </c>
      <c r="AZ154" s="1" t="str">
        <f>IFERROR(__xludf.DUMMYFUNCTION("""COMPUTED_VALUE"""),"")</f>
        <v/>
      </c>
      <c r="BB154" s="1" t="s">
        <v>104</v>
      </c>
      <c r="BC154" s="1" t="s">
        <v>104</v>
      </c>
      <c r="BE154" s="1" t="s">
        <v>104</v>
      </c>
      <c r="BG154" s="1" t="s">
        <v>104</v>
      </c>
      <c r="BH154" s="1" t="s">
        <v>104</v>
      </c>
      <c r="BI154" s="1" t="s">
        <v>104</v>
      </c>
      <c r="BJ154" s="1" t="s">
        <v>104</v>
      </c>
      <c r="BK154" s="1" t="s">
        <v>104</v>
      </c>
      <c r="BL154" s="1" t="s">
        <v>104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N155" s="1" t="s">
        <v>104</v>
      </c>
      <c r="AO155" s="1" t="s">
        <v>104</v>
      </c>
      <c r="AP155" s="1" t="s">
        <v>104</v>
      </c>
      <c r="AQ155" s="1" t="s">
        <v>104</v>
      </c>
      <c r="AR155" s="1" t="s">
        <v>104</v>
      </c>
      <c r="AS155" s="1" t="s">
        <v>104</v>
      </c>
      <c r="AU155" s="1" t="s">
        <v>104</v>
      </c>
      <c r="AV155" s="1" t="s">
        <v>104</v>
      </c>
      <c r="AX155" s="1" t="str">
        <f>IFERROR(__xludf.DUMMYFUNCTION("""COMPUTED_VALUE"""),"")</f>
        <v/>
      </c>
      <c r="AZ155" s="1" t="str">
        <f>IFERROR(__xludf.DUMMYFUNCTION("""COMPUTED_VALUE"""),"")</f>
        <v/>
      </c>
      <c r="BB155" s="1" t="s">
        <v>104</v>
      </c>
      <c r="BC155" s="1" t="s">
        <v>104</v>
      </c>
      <c r="BE155" s="1" t="s">
        <v>104</v>
      </c>
      <c r="BG155" s="1" t="s">
        <v>104</v>
      </c>
      <c r="BH155" s="1" t="s">
        <v>104</v>
      </c>
      <c r="BI155" s="1" t="s">
        <v>104</v>
      </c>
      <c r="BJ155" s="1" t="s">
        <v>104</v>
      </c>
      <c r="BK155" s="1" t="s">
        <v>104</v>
      </c>
      <c r="BL155" s="1" t="s">
        <v>104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N156" s="1" t="s">
        <v>104</v>
      </c>
      <c r="AO156" s="1" t="s">
        <v>104</v>
      </c>
      <c r="AP156" s="1" t="s">
        <v>104</v>
      </c>
      <c r="AQ156" s="1" t="s">
        <v>104</v>
      </c>
      <c r="AR156" s="1" t="s">
        <v>104</v>
      </c>
      <c r="AS156" s="1" t="s">
        <v>104</v>
      </c>
      <c r="AU156" s="1" t="s">
        <v>104</v>
      </c>
      <c r="AV156" s="1" t="s">
        <v>104</v>
      </c>
      <c r="AX156" s="1" t="str">
        <f>IFERROR(__xludf.DUMMYFUNCTION("""COMPUTED_VALUE"""),"")</f>
        <v/>
      </c>
      <c r="AZ156" s="1" t="str">
        <f>IFERROR(__xludf.DUMMYFUNCTION("""COMPUTED_VALUE"""),"")</f>
        <v/>
      </c>
      <c r="BB156" s="1" t="s">
        <v>104</v>
      </c>
      <c r="BC156" s="1" t="s">
        <v>104</v>
      </c>
      <c r="BE156" s="1" t="s">
        <v>104</v>
      </c>
      <c r="BG156" s="1" t="s">
        <v>104</v>
      </c>
      <c r="BH156" s="1" t="s">
        <v>104</v>
      </c>
      <c r="BI156" s="1" t="s">
        <v>104</v>
      </c>
      <c r="BJ156" s="1" t="s">
        <v>104</v>
      </c>
      <c r="BK156" s="1" t="s">
        <v>104</v>
      </c>
      <c r="BL156" s="1" t="s">
        <v>104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N157" s="1" t="s">
        <v>104</v>
      </c>
      <c r="AO157" s="1" t="s">
        <v>104</v>
      </c>
      <c r="AP157" s="1" t="s">
        <v>104</v>
      </c>
      <c r="AQ157" s="1" t="s">
        <v>104</v>
      </c>
      <c r="AR157" s="1" t="s">
        <v>104</v>
      </c>
      <c r="AS157" s="1" t="s">
        <v>104</v>
      </c>
      <c r="AU157" s="1" t="s">
        <v>104</v>
      </c>
      <c r="AV157" s="1" t="s">
        <v>104</v>
      </c>
      <c r="AX157" s="1" t="str">
        <f>IFERROR(__xludf.DUMMYFUNCTION("""COMPUTED_VALUE"""),"")</f>
        <v/>
      </c>
      <c r="AZ157" s="1" t="str">
        <f>IFERROR(__xludf.DUMMYFUNCTION("""COMPUTED_VALUE"""),"")</f>
        <v/>
      </c>
      <c r="BB157" s="1" t="s">
        <v>104</v>
      </c>
      <c r="BC157" s="1" t="s">
        <v>104</v>
      </c>
      <c r="BE157" s="1" t="s">
        <v>104</v>
      </c>
      <c r="BG157" s="1" t="s">
        <v>104</v>
      </c>
      <c r="BH157" s="1" t="s">
        <v>104</v>
      </c>
      <c r="BI157" s="1" t="s">
        <v>104</v>
      </c>
      <c r="BJ157" s="1" t="s">
        <v>104</v>
      </c>
      <c r="BK157" s="1" t="s">
        <v>104</v>
      </c>
      <c r="BL157" s="1" t="s">
        <v>104</v>
      </c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N158" s="1" t="s">
        <v>104</v>
      </c>
      <c r="AO158" s="1" t="s">
        <v>104</v>
      </c>
      <c r="AP158" s="1" t="s">
        <v>104</v>
      </c>
      <c r="AQ158" s="1" t="s">
        <v>104</v>
      </c>
      <c r="AR158" s="1" t="s">
        <v>104</v>
      </c>
      <c r="AS158" s="1" t="s">
        <v>104</v>
      </c>
      <c r="AU158" s="1" t="s">
        <v>104</v>
      </c>
      <c r="AV158" s="1" t="s">
        <v>104</v>
      </c>
      <c r="AX158" s="1" t="str">
        <f>IFERROR(__xludf.DUMMYFUNCTION("""COMPUTED_VALUE"""),"")</f>
        <v/>
      </c>
      <c r="AZ158" s="1" t="str">
        <f>IFERROR(__xludf.DUMMYFUNCTION("""COMPUTED_VALUE"""),"")</f>
        <v/>
      </c>
      <c r="BB158" s="1" t="s">
        <v>104</v>
      </c>
      <c r="BC158" s="1" t="s">
        <v>104</v>
      </c>
      <c r="BE158" s="1" t="s">
        <v>104</v>
      </c>
      <c r="BG158" s="1" t="s">
        <v>104</v>
      </c>
      <c r="BH158" s="1" t="s">
        <v>104</v>
      </c>
      <c r="BI158" s="1" t="s">
        <v>104</v>
      </c>
      <c r="BJ158" s="1" t="s">
        <v>104</v>
      </c>
      <c r="BK158" s="1" t="s">
        <v>104</v>
      </c>
      <c r="BL158" s="1" t="s">
        <v>104</v>
      </c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N159" s="1" t="s">
        <v>104</v>
      </c>
      <c r="AO159" s="1" t="s">
        <v>104</v>
      </c>
      <c r="AP159" s="1" t="s">
        <v>104</v>
      </c>
      <c r="AQ159" s="1" t="s">
        <v>104</v>
      </c>
      <c r="AR159" s="1" t="s">
        <v>104</v>
      </c>
      <c r="AS159" s="1" t="s">
        <v>104</v>
      </c>
      <c r="AU159" s="1" t="s">
        <v>104</v>
      </c>
      <c r="AV159" s="1" t="s">
        <v>104</v>
      </c>
      <c r="AX159" s="1" t="str">
        <f>IFERROR(__xludf.DUMMYFUNCTION("""COMPUTED_VALUE"""),"")</f>
        <v/>
      </c>
      <c r="AZ159" s="1" t="str">
        <f>IFERROR(__xludf.DUMMYFUNCTION("""COMPUTED_VALUE"""),"")</f>
        <v/>
      </c>
      <c r="BB159" s="1" t="s">
        <v>104</v>
      </c>
      <c r="BC159" s="1" t="s">
        <v>104</v>
      </c>
      <c r="BE159" s="1" t="s">
        <v>104</v>
      </c>
      <c r="BG159" s="1" t="s">
        <v>104</v>
      </c>
      <c r="BH159" s="1" t="s">
        <v>104</v>
      </c>
      <c r="BI159" s="1" t="s">
        <v>104</v>
      </c>
      <c r="BJ159" s="1" t="s">
        <v>104</v>
      </c>
      <c r="BK159" s="1" t="s">
        <v>104</v>
      </c>
      <c r="BL159" s="1" t="s">
        <v>104</v>
      </c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N160" s="1" t="s">
        <v>104</v>
      </c>
      <c r="AO160" s="1" t="s">
        <v>104</v>
      </c>
      <c r="AP160" s="1" t="s">
        <v>104</v>
      </c>
      <c r="AQ160" s="1" t="s">
        <v>104</v>
      </c>
      <c r="AR160" s="1" t="s">
        <v>104</v>
      </c>
      <c r="AS160" s="1" t="s">
        <v>104</v>
      </c>
      <c r="AU160" s="1" t="s">
        <v>104</v>
      </c>
      <c r="AV160" s="1" t="s">
        <v>104</v>
      </c>
      <c r="AX160" s="1" t="str">
        <f>IFERROR(__xludf.DUMMYFUNCTION("""COMPUTED_VALUE"""),"")</f>
        <v/>
      </c>
      <c r="AZ160" s="1" t="str">
        <f>IFERROR(__xludf.DUMMYFUNCTION("""COMPUTED_VALUE"""),"")</f>
        <v/>
      </c>
      <c r="BB160" s="1" t="s">
        <v>104</v>
      </c>
      <c r="BC160" s="1" t="s">
        <v>104</v>
      </c>
      <c r="BE160" s="1" t="s">
        <v>104</v>
      </c>
      <c r="BG160" s="1" t="s">
        <v>104</v>
      </c>
      <c r="BH160" s="1" t="s">
        <v>104</v>
      </c>
      <c r="BI160" s="1" t="s">
        <v>104</v>
      </c>
      <c r="BJ160" s="1" t="s">
        <v>104</v>
      </c>
      <c r="BK160" s="1" t="s">
        <v>104</v>
      </c>
      <c r="BL160" s="1" t="s">
        <v>104</v>
      </c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N161" s="1" t="s">
        <v>104</v>
      </c>
      <c r="AO161" s="1" t="s">
        <v>104</v>
      </c>
      <c r="AP161" s="1" t="s">
        <v>104</v>
      </c>
      <c r="AQ161" s="1" t="s">
        <v>104</v>
      </c>
      <c r="AR161" s="1" t="s">
        <v>104</v>
      </c>
      <c r="AS161" s="1" t="s">
        <v>104</v>
      </c>
      <c r="AU161" s="1" t="s">
        <v>104</v>
      </c>
      <c r="AV161" s="1" t="s">
        <v>104</v>
      </c>
      <c r="AX161" s="1" t="str">
        <f>IFERROR(__xludf.DUMMYFUNCTION("""COMPUTED_VALUE"""),"")</f>
        <v/>
      </c>
      <c r="AZ161" s="1" t="str">
        <f>IFERROR(__xludf.DUMMYFUNCTION("""COMPUTED_VALUE"""),"")</f>
        <v/>
      </c>
      <c r="BB161" s="1" t="s">
        <v>104</v>
      </c>
      <c r="BC161" s="1" t="s">
        <v>104</v>
      </c>
      <c r="BE161" s="1" t="s">
        <v>104</v>
      </c>
      <c r="BG161" s="1" t="s">
        <v>104</v>
      </c>
      <c r="BH161" s="1" t="s">
        <v>104</v>
      </c>
      <c r="BI161" s="1" t="s">
        <v>104</v>
      </c>
      <c r="BJ161" s="1" t="s">
        <v>104</v>
      </c>
      <c r="BK161" s="1" t="s">
        <v>104</v>
      </c>
      <c r="BL161" s="1" t="s">
        <v>104</v>
      </c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N162" s="1" t="s">
        <v>104</v>
      </c>
      <c r="AO162" s="1" t="s">
        <v>104</v>
      </c>
      <c r="AP162" s="1" t="s">
        <v>104</v>
      </c>
      <c r="AQ162" s="1" t="s">
        <v>104</v>
      </c>
      <c r="AR162" s="1" t="s">
        <v>104</v>
      </c>
      <c r="AS162" s="1" t="s">
        <v>104</v>
      </c>
      <c r="AU162" s="1" t="s">
        <v>104</v>
      </c>
      <c r="AV162" s="1" t="s">
        <v>104</v>
      </c>
      <c r="AX162" s="1" t="str">
        <f>IFERROR(__xludf.DUMMYFUNCTION("""COMPUTED_VALUE"""),"")</f>
        <v/>
      </c>
      <c r="AZ162" s="1" t="str">
        <f>IFERROR(__xludf.DUMMYFUNCTION("""COMPUTED_VALUE"""),"")</f>
        <v/>
      </c>
      <c r="BB162" s="1" t="s">
        <v>104</v>
      </c>
      <c r="BC162" s="1" t="s">
        <v>104</v>
      </c>
      <c r="BE162" s="1" t="s">
        <v>104</v>
      </c>
      <c r="BG162" s="1" t="s">
        <v>104</v>
      </c>
      <c r="BH162" s="1" t="s">
        <v>104</v>
      </c>
      <c r="BI162" s="1" t="s">
        <v>104</v>
      </c>
      <c r="BJ162" s="1" t="s">
        <v>104</v>
      </c>
      <c r="BK162" s="1" t="s">
        <v>104</v>
      </c>
      <c r="BL162" s="1" t="s">
        <v>104</v>
      </c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N163" s="1" t="s">
        <v>104</v>
      </c>
      <c r="AO163" s="1" t="s">
        <v>104</v>
      </c>
      <c r="AP163" s="1" t="s">
        <v>104</v>
      </c>
      <c r="AQ163" s="1" t="s">
        <v>104</v>
      </c>
      <c r="AR163" s="1" t="s">
        <v>104</v>
      </c>
      <c r="AS163" s="1" t="s">
        <v>104</v>
      </c>
      <c r="AU163" s="1" t="s">
        <v>104</v>
      </c>
      <c r="AV163" s="1" t="s">
        <v>104</v>
      </c>
      <c r="AX163" s="1" t="str">
        <f>IFERROR(__xludf.DUMMYFUNCTION("""COMPUTED_VALUE"""),"")</f>
        <v/>
      </c>
      <c r="AZ163" s="1" t="str">
        <f>IFERROR(__xludf.DUMMYFUNCTION("""COMPUTED_VALUE"""),"")</f>
        <v/>
      </c>
      <c r="BB163" s="1" t="s">
        <v>104</v>
      </c>
      <c r="BC163" s="1" t="s">
        <v>104</v>
      </c>
      <c r="BE163" s="1" t="s">
        <v>104</v>
      </c>
      <c r="BG163" s="1" t="s">
        <v>104</v>
      </c>
      <c r="BH163" s="1" t="s">
        <v>104</v>
      </c>
      <c r="BI163" s="1" t="s">
        <v>104</v>
      </c>
      <c r="BJ163" s="1" t="s">
        <v>104</v>
      </c>
      <c r="BK163" s="1" t="s">
        <v>104</v>
      </c>
      <c r="BL163" s="1" t="s">
        <v>104</v>
      </c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N164" s="1" t="s">
        <v>104</v>
      </c>
      <c r="AO164" s="1" t="s">
        <v>104</v>
      </c>
      <c r="AP164" s="1" t="s">
        <v>104</v>
      </c>
      <c r="AQ164" s="1" t="s">
        <v>104</v>
      </c>
      <c r="AR164" s="1" t="s">
        <v>104</v>
      </c>
      <c r="AS164" s="1" t="s">
        <v>104</v>
      </c>
      <c r="AU164" s="1" t="s">
        <v>104</v>
      </c>
      <c r="AV164" s="1" t="s">
        <v>104</v>
      </c>
      <c r="AX164" s="1" t="str">
        <f>IFERROR(__xludf.DUMMYFUNCTION("""COMPUTED_VALUE"""),"")</f>
        <v/>
      </c>
      <c r="AZ164" s="1" t="str">
        <f>IFERROR(__xludf.DUMMYFUNCTION("""COMPUTED_VALUE"""),"")</f>
        <v/>
      </c>
      <c r="BB164" s="1" t="s">
        <v>104</v>
      </c>
      <c r="BC164" s="1" t="s">
        <v>104</v>
      </c>
      <c r="BE164" s="1" t="s">
        <v>104</v>
      </c>
      <c r="BG164" s="1" t="s">
        <v>104</v>
      </c>
      <c r="BH164" s="1" t="s">
        <v>104</v>
      </c>
      <c r="BI164" s="1" t="s">
        <v>104</v>
      </c>
      <c r="BJ164" s="1" t="s">
        <v>104</v>
      </c>
      <c r="BK164" s="1" t="s">
        <v>104</v>
      </c>
      <c r="BL164" s="1" t="s">
        <v>104</v>
      </c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N165" s="1" t="s">
        <v>104</v>
      </c>
      <c r="AO165" s="1" t="s">
        <v>104</v>
      </c>
      <c r="AP165" s="1" t="s">
        <v>104</v>
      </c>
      <c r="AQ165" s="1" t="s">
        <v>104</v>
      </c>
      <c r="AR165" s="1" t="s">
        <v>104</v>
      </c>
      <c r="AS165" s="1" t="s">
        <v>104</v>
      </c>
      <c r="AU165" s="1" t="s">
        <v>104</v>
      </c>
      <c r="AV165" s="1" t="s">
        <v>104</v>
      </c>
      <c r="AX165" s="1" t="str">
        <f>IFERROR(__xludf.DUMMYFUNCTION("""COMPUTED_VALUE"""),"")</f>
        <v/>
      </c>
      <c r="AZ165" s="1" t="str">
        <f>IFERROR(__xludf.DUMMYFUNCTION("""COMPUTED_VALUE"""),"")</f>
        <v/>
      </c>
      <c r="BB165" s="1" t="s">
        <v>104</v>
      </c>
      <c r="BC165" s="1" t="s">
        <v>104</v>
      </c>
      <c r="BE165" s="1" t="s">
        <v>104</v>
      </c>
      <c r="BG165" s="1" t="s">
        <v>104</v>
      </c>
      <c r="BH165" s="1" t="s">
        <v>104</v>
      </c>
      <c r="BI165" s="1" t="s">
        <v>104</v>
      </c>
      <c r="BJ165" s="1" t="s">
        <v>104</v>
      </c>
      <c r="BK165" s="1" t="s">
        <v>104</v>
      </c>
      <c r="BL165" s="1" t="s">
        <v>104</v>
      </c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N166" s="1" t="s">
        <v>104</v>
      </c>
      <c r="AO166" s="1" t="s">
        <v>104</v>
      </c>
      <c r="AP166" s="1" t="s">
        <v>104</v>
      </c>
      <c r="AQ166" s="1" t="s">
        <v>104</v>
      </c>
      <c r="AR166" s="1" t="s">
        <v>104</v>
      </c>
      <c r="AS166" s="1" t="s">
        <v>104</v>
      </c>
      <c r="AU166" s="1" t="s">
        <v>104</v>
      </c>
      <c r="AV166" s="1" t="s">
        <v>104</v>
      </c>
      <c r="AX166" s="1" t="str">
        <f>IFERROR(__xludf.DUMMYFUNCTION("""COMPUTED_VALUE"""),"")</f>
        <v/>
      </c>
      <c r="AZ166" s="1" t="str">
        <f>IFERROR(__xludf.DUMMYFUNCTION("""COMPUTED_VALUE"""),"")</f>
        <v/>
      </c>
      <c r="BB166" s="1" t="s">
        <v>104</v>
      </c>
      <c r="BC166" s="1" t="s">
        <v>104</v>
      </c>
      <c r="BE166" s="1" t="s">
        <v>104</v>
      </c>
      <c r="BG166" s="1" t="s">
        <v>104</v>
      </c>
      <c r="BH166" s="1" t="s">
        <v>104</v>
      </c>
      <c r="BI166" s="1" t="s">
        <v>104</v>
      </c>
      <c r="BJ166" s="1" t="s">
        <v>104</v>
      </c>
      <c r="BK166" s="1" t="s">
        <v>104</v>
      </c>
      <c r="BL166" s="1" t="s">
        <v>104</v>
      </c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N167" s="1" t="s">
        <v>104</v>
      </c>
      <c r="AO167" s="1" t="s">
        <v>104</v>
      </c>
      <c r="AP167" s="1" t="s">
        <v>104</v>
      </c>
      <c r="AQ167" s="1" t="s">
        <v>104</v>
      </c>
      <c r="AR167" s="1" t="s">
        <v>104</v>
      </c>
      <c r="AS167" s="1" t="s">
        <v>104</v>
      </c>
      <c r="AU167" s="1" t="s">
        <v>104</v>
      </c>
      <c r="AV167" s="1" t="s">
        <v>104</v>
      </c>
      <c r="AX167" s="1" t="str">
        <f>IFERROR(__xludf.DUMMYFUNCTION("""COMPUTED_VALUE"""),"")</f>
        <v/>
      </c>
      <c r="AZ167" s="1" t="str">
        <f>IFERROR(__xludf.DUMMYFUNCTION("""COMPUTED_VALUE"""),"")</f>
        <v/>
      </c>
      <c r="BB167" s="1" t="s">
        <v>104</v>
      </c>
      <c r="BC167" s="1" t="s">
        <v>104</v>
      </c>
      <c r="BE167" s="1" t="s">
        <v>104</v>
      </c>
      <c r="BG167" s="1" t="s">
        <v>104</v>
      </c>
      <c r="BH167" s="1" t="s">
        <v>104</v>
      </c>
      <c r="BI167" s="1" t="s">
        <v>104</v>
      </c>
      <c r="BJ167" s="1" t="s">
        <v>104</v>
      </c>
      <c r="BK167" s="1" t="s">
        <v>104</v>
      </c>
      <c r="BL167" s="1" t="s">
        <v>104</v>
      </c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N168" s="1" t="s">
        <v>104</v>
      </c>
      <c r="AO168" s="1" t="s">
        <v>104</v>
      </c>
      <c r="AP168" s="1" t="s">
        <v>104</v>
      </c>
      <c r="AQ168" s="1" t="s">
        <v>104</v>
      </c>
      <c r="AR168" s="1" t="s">
        <v>104</v>
      </c>
      <c r="AS168" s="1" t="s">
        <v>104</v>
      </c>
      <c r="AU168" s="1" t="s">
        <v>104</v>
      </c>
      <c r="AV168" s="1" t="s">
        <v>104</v>
      </c>
      <c r="AX168" s="1" t="str">
        <f>IFERROR(__xludf.DUMMYFUNCTION("""COMPUTED_VALUE"""),"")</f>
        <v/>
      </c>
      <c r="AZ168" s="1" t="str">
        <f>IFERROR(__xludf.DUMMYFUNCTION("""COMPUTED_VALUE"""),"")</f>
        <v/>
      </c>
      <c r="BB168" s="1" t="s">
        <v>104</v>
      </c>
      <c r="BC168" s="1" t="s">
        <v>104</v>
      </c>
      <c r="BE168" s="1" t="s">
        <v>104</v>
      </c>
      <c r="BG168" s="1" t="s">
        <v>104</v>
      </c>
      <c r="BH168" s="1" t="s">
        <v>104</v>
      </c>
      <c r="BI168" s="1" t="s">
        <v>104</v>
      </c>
      <c r="BJ168" s="1" t="s">
        <v>104</v>
      </c>
      <c r="BK168" s="1" t="s">
        <v>104</v>
      </c>
      <c r="BL168" s="1" t="s">
        <v>104</v>
      </c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N169" s="1" t="s">
        <v>104</v>
      </c>
      <c r="AO169" s="1" t="s">
        <v>104</v>
      </c>
      <c r="AP169" s="1" t="s">
        <v>104</v>
      </c>
      <c r="AQ169" s="1" t="s">
        <v>104</v>
      </c>
      <c r="AR169" s="1" t="s">
        <v>104</v>
      </c>
      <c r="AS169" s="1" t="s">
        <v>104</v>
      </c>
      <c r="AU169" s="1" t="s">
        <v>104</v>
      </c>
      <c r="AV169" s="1" t="s">
        <v>104</v>
      </c>
      <c r="AX169" s="1" t="str">
        <f>IFERROR(__xludf.DUMMYFUNCTION("""COMPUTED_VALUE"""),"")</f>
        <v/>
      </c>
      <c r="AZ169" s="1" t="str">
        <f>IFERROR(__xludf.DUMMYFUNCTION("""COMPUTED_VALUE"""),"")</f>
        <v/>
      </c>
      <c r="BB169" s="1" t="s">
        <v>104</v>
      </c>
      <c r="BC169" s="1" t="s">
        <v>104</v>
      </c>
      <c r="BE169" s="1" t="s">
        <v>104</v>
      </c>
      <c r="BG169" s="1" t="s">
        <v>104</v>
      </c>
      <c r="BH169" s="1" t="s">
        <v>104</v>
      </c>
      <c r="BI169" s="1" t="s">
        <v>104</v>
      </c>
      <c r="BJ169" s="1" t="s">
        <v>104</v>
      </c>
      <c r="BK169" s="1" t="s">
        <v>104</v>
      </c>
      <c r="BL169" s="1" t="s">
        <v>104</v>
      </c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N170" s="1" t="s">
        <v>104</v>
      </c>
      <c r="AO170" s="1" t="s">
        <v>104</v>
      </c>
      <c r="AP170" s="1" t="s">
        <v>104</v>
      </c>
      <c r="AQ170" s="1" t="s">
        <v>104</v>
      </c>
      <c r="AR170" s="1" t="s">
        <v>104</v>
      </c>
      <c r="AS170" s="1" t="s">
        <v>104</v>
      </c>
      <c r="AU170" s="1" t="s">
        <v>104</v>
      </c>
      <c r="AV170" s="1" t="s">
        <v>104</v>
      </c>
      <c r="AX170" s="1" t="str">
        <f>IFERROR(__xludf.DUMMYFUNCTION("""COMPUTED_VALUE"""),"")</f>
        <v/>
      </c>
      <c r="AZ170" s="1" t="str">
        <f>IFERROR(__xludf.DUMMYFUNCTION("""COMPUTED_VALUE"""),"")</f>
        <v/>
      </c>
      <c r="BB170" s="1" t="s">
        <v>104</v>
      </c>
      <c r="BC170" s="1" t="s">
        <v>104</v>
      </c>
      <c r="BE170" s="1" t="s">
        <v>104</v>
      </c>
      <c r="BG170" s="1" t="s">
        <v>104</v>
      </c>
      <c r="BH170" s="1" t="s">
        <v>104</v>
      </c>
      <c r="BI170" s="1" t="s">
        <v>104</v>
      </c>
      <c r="BJ170" s="1" t="s">
        <v>104</v>
      </c>
      <c r="BK170" s="1" t="s">
        <v>104</v>
      </c>
      <c r="BL170" s="1" t="s">
        <v>104</v>
      </c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N171" s="1" t="s">
        <v>104</v>
      </c>
      <c r="AO171" s="1" t="s">
        <v>104</v>
      </c>
      <c r="AP171" s="1" t="s">
        <v>104</v>
      </c>
      <c r="AQ171" s="1" t="s">
        <v>104</v>
      </c>
      <c r="AR171" s="1" t="s">
        <v>104</v>
      </c>
      <c r="AS171" s="1" t="s">
        <v>104</v>
      </c>
      <c r="AU171" s="1" t="s">
        <v>104</v>
      </c>
      <c r="AV171" s="1" t="s">
        <v>104</v>
      </c>
      <c r="AX171" s="1" t="str">
        <f>IFERROR(__xludf.DUMMYFUNCTION("""COMPUTED_VALUE"""),"")</f>
        <v/>
      </c>
      <c r="AZ171" s="1" t="str">
        <f>IFERROR(__xludf.DUMMYFUNCTION("""COMPUTED_VALUE"""),"")</f>
        <v/>
      </c>
      <c r="BB171" s="1" t="s">
        <v>104</v>
      </c>
      <c r="BC171" s="1" t="s">
        <v>104</v>
      </c>
      <c r="BE171" s="1" t="s">
        <v>104</v>
      </c>
      <c r="BG171" s="1" t="s">
        <v>104</v>
      </c>
      <c r="BH171" s="1" t="s">
        <v>104</v>
      </c>
      <c r="BI171" s="1" t="s">
        <v>104</v>
      </c>
      <c r="BJ171" s="1" t="s">
        <v>104</v>
      </c>
      <c r="BK171" s="1" t="s">
        <v>104</v>
      </c>
      <c r="BL171" s="1" t="s">
        <v>104</v>
      </c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N172" s="1" t="s">
        <v>104</v>
      </c>
      <c r="AO172" s="1" t="s">
        <v>104</v>
      </c>
      <c r="AP172" s="1" t="s">
        <v>104</v>
      </c>
      <c r="AQ172" s="1" t="s">
        <v>104</v>
      </c>
      <c r="AR172" s="1" t="s">
        <v>104</v>
      </c>
      <c r="AS172" s="1" t="s">
        <v>104</v>
      </c>
      <c r="AU172" s="1" t="s">
        <v>104</v>
      </c>
      <c r="AV172" s="1" t="s">
        <v>104</v>
      </c>
      <c r="AX172" s="1" t="str">
        <f>IFERROR(__xludf.DUMMYFUNCTION("""COMPUTED_VALUE"""),"")</f>
        <v/>
      </c>
      <c r="AZ172" s="1" t="str">
        <f>IFERROR(__xludf.DUMMYFUNCTION("""COMPUTED_VALUE"""),"")</f>
        <v/>
      </c>
      <c r="BB172" s="1" t="s">
        <v>104</v>
      </c>
      <c r="BC172" s="1" t="s">
        <v>104</v>
      </c>
      <c r="BE172" s="1" t="s">
        <v>104</v>
      </c>
      <c r="BG172" s="1" t="s">
        <v>104</v>
      </c>
      <c r="BH172" s="1" t="s">
        <v>104</v>
      </c>
      <c r="BI172" s="1" t="s">
        <v>104</v>
      </c>
      <c r="BJ172" s="1" t="s">
        <v>104</v>
      </c>
      <c r="BK172" s="1" t="s">
        <v>104</v>
      </c>
      <c r="BL172" s="1" t="s">
        <v>104</v>
      </c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N173" s="1" t="s">
        <v>104</v>
      </c>
      <c r="AO173" s="1" t="s">
        <v>104</v>
      </c>
      <c r="AP173" s="1" t="s">
        <v>104</v>
      </c>
      <c r="AQ173" s="1" t="s">
        <v>104</v>
      </c>
      <c r="AR173" s="1" t="s">
        <v>104</v>
      </c>
      <c r="AS173" s="1" t="s">
        <v>104</v>
      </c>
      <c r="AU173" s="1" t="s">
        <v>104</v>
      </c>
      <c r="AV173" s="1" t="s">
        <v>104</v>
      </c>
      <c r="AX173" s="1" t="str">
        <f>IFERROR(__xludf.DUMMYFUNCTION("""COMPUTED_VALUE"""),"")</f>
        <v/>
      </c>
      <c r="AZ173" s="1" t="str">
        <f>IFERROR(__xludf.DUMMYFUNCTION("""COMPUTED_VALUE"""),"")</f>
        <v/>
      </c>
      <c r="BB173" s="1" t="s">
        <v>104</v>
      </c>
      <c r="BC173" s="1" t="s">
        <v>104</v>
      </c>
      <c r="BE173" s="1" t="s">
        <v>104</v>
      </c>
      <c r="BG173" s="1" t="s">
        <v>104</v>
      </c>
      <c r="BH173" s="1" t="s">
        <v>104</v>
      </c>
      <c r="BI173" s="1" t="s">
        <v>104</v>
      </c>
      <c r="BJ173" s="1" t="s">
        <v>104</v>
      </c>
      <c r="BK173" s="1" t="s">
        <v>104</v>
      </c>
      <c r="BL173" s="1" t="s">
        <v>104</v>
      </c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N174" s="1" t="s">
        <v>104</v>
      </c>
      <c r="AO174" s="1" t="s">
        <v>104</v>
      </c>
      <c r="AP174" s="1" t="s">
        <v>104</v>
      </c>
      <c r="AQ174" s="1" t="s">
        <v>104</v>
      </c>
      <c r="AR174" s="1" t="s">
        <v>104</v>
      </c>
      <c r="AS174" s="1" t="s">
        <v>104</v>
      </c>
      <c r="AU174" s="1" t="s">
        <v>104</v>
      </c>
      <c r="AV174" s="1" t="s">
        <v>104</v>
      </c>
      <c r="AX174" s="1" t="str">
        <f>IFERROR(__xludf.DUMMYFUNCTION("""COMPUTED_VALUE"""),"")</f>
        <v/>
      </c>
      <c r="AZ174" s="1" t="str">
        <f>IFERROR(__xludf.DUMMYFUNCTION("""COMPUTED_VALUE"""),"")</f>
        <v/>
      </c>
      <c r="BB174" s="1" t="s">
        <v>104</v>
      </c>
      <c r="BC174" s="1" t="s">
        <v>104</v>
      </c>
      <c r="BE174" s="1" t="s">
        <v>104</v>
      </c>
      <c r="BG174" s="1" t="s">
        <v>104</v>
      </c>
      <c r="BH174" s="1" t="s">
        <v>104</v>
      </c>
      <c r="BI174" s="1" t="s">
        <v>104</v>
      </c>
      <c r="BJ174" s="1" t="s">
        <v>104</v>
      </c>
      <c r="BK174" s="1" t="s">
        <v>104</v>
      </c>
      <c r="BL174" s="1" t="s">
        <v>104</v>
      </c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N175" s="1" t="s">
        <v>104</v>
      </c>
      <c r="AO175" s="1" t="s">
        <v>104</v>
      </c>
      <c r="AP175" s="1" t="s">
        <v>104</v>
      </c>
      <c r="AQ175" s="1" t="s">
        <v>104</v>
      </c>
      <c r="AR175" s="1" t="s">
        <v>104</v>
      </c>
      <c r="AS175" s="1" t="s">
        <v>104</v>
      </c>
      <c r="AU175" s="1" t="s">
        <v>104</v>
      </c>
      <c r="AV175" s="1" t="s">
        <v>104</v>
      </c>
      <c r="AX175" s="1" t="str">
        <f>IFERROR(__xludf.DUMMYFUNCTION("""COMPUTED_VALUE"""),"")</f>
        <v/>
      </c>
      <c r="AZ175" s="1" t="str">
        <f>IFERROR(__xludf.DUMMYFUNCTION("""COMPUTED_VALUE"""),"")</f>
        <v/>
      </c>
      <c r="BB175" s="1" t="s">
        <v>104</v>
      </c>
      <c r="BC175" s="1" t="s">
        <v>104</v>
      </c>
      <c r="BE175" s="1" t="s">
        <v>104</v>
      </c>
      <c r="BG175" s="1" t="s">
        <v>104</v>
      </c>
      <c r="BH175" s="1" t="s">
        <v>104</v>
      </c>
      <c r="BI175" s="1" t="s">
        <v>104</v>
      </c>
      <c r="BJ175" s="1" t="s">
        <v>104</v>
      </c>
      <c r="BK175" s="1" t="s">
        <v>104</v>
      </c>
      <c r="BL175" s="1" t="s">
        <v>104</v>
      </c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N176" s="1" t="s">
        <v>104</v>
      </c>
      <c r="AO176" s="1" t="s">
        <v>104</v>
      </c>
      <c r="AP176" s="1" t="s">
        <v>104</v>
      </c>
      <c r="AQ176" s="1" t="s">
        <v>104</v>
      </c>
      <c r="AR176" s="1" t="s">
        <v>104</v>
      </c>
      <c r="AS176" s="1" t="s">
        <v>104</v>
      </c>
      <c r="AU176" s="1" t="s">
        <v>104</v>
      </c>
      <c r="AV176" s="1" t="s">
        <v>104</v>
      </c>
      <c r="AX176" s="1" t="str">
        <f>IFERROR(__xludf.DUMMYFUNCTION("""COMPUTED_VALUE"""),"")</f>
        <v/>
      </c>
      <c r="AZ176" s="1" t="str">
        <f>IFERROR(__xludf.DUMMYFUNCTION("""COMPUTED_VALUE"""),"")</f>
        <v/>
      </c>
      <c r="BB176" s="1" t="s">
        <v>104</v>
      </c>
      <c r="BC176" s="1" t="s">
        <v>104</v>
      </c>
      <c r="BE176" s="1" t="s">
        <v>104</v>
      </c>
      <c r="BG176" s="1" t="s">
        <v>104</v>
      </c>
      <c r="BH176" s="1" t="s">
        <v>104</v>
      </c>
      <c r="BI176" s="1" t="s">
        <v>104</v>
      </c>
      <c r="BJ176" s="1" t="s">
        <v>104</v>
      </c>
      <c r="BK176" s="1" t="s">
        <v>104</v>
      </c>
      <c r="BL176" s="1" t="s">
        <v>104</v>
      </c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N177" s="1" t="s">
        <v>104</v>
      </c>
      <c r="AO177" s="1" t="s">
        <v>104</v>
      </c>
      <c r="AP177" s="1" t="s">
        <v>104</v>
      </c>
      <c r="AQ177" s="1" t="s">
        <v>104</v>
      </c>
      <c r="AR177" s="1" t="s">
        <v>104</v>
      </c>
      <c r="AS177" s="1" t="s">
        <v>104</v>
      </c>
      <c r="AU177" s="1" t="s">
        <v>104</v>
      </c>
      <c r="AV177" s="1" t="s">
        <v>104</v>
      </c>
      <c r="AX177" s="1" t="str">
        <f>IFERROR(__xludf.DUMMYFUNCTION("""COMPUTED_VALUE"""),"")</f>
        <v/>
      </c>
      <c r="AZ177" s="1" t="str">
        <f>IFERROR(__xludf.DUMMYFUNCTION("""COMPUTED_VALUE"""),"")</f>
        <v/>
      </c>
      <c r="BB177" s="1" t="s">
        <v>104</v>
      </c>
      <c r="BC177" s="1" t="s">
        <v>104</v>
      </c>
      <c r="BE177" s="1" t="s">
        <v>104</v>
      </c>
      <c r="BG177" s="1" t="s">
        <v>104</v>
      </c>
      <c r="BH177" s="1" t="s">
        <v>104</v>
      </c>
      <c r="BI177" s="1" t="s">
        <v>104</v>
      </c>
      <c r="BJ177" s="1" t="s">
        <v>104</v>
      </c>
      <c r="BK177" s="1" t="s">
        <v>104</v>
      </c>
      <c r="BL177" s="1" t="s">
        <v>104</v>
      </c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N178" s="1" t="s">
        <v>104</v>
      </c>
      <c r="AO178" s="1" t="s">
        <v>104</v>
      </c>
      <c r="AP178" s="1" t="s">
        <v>104</v>
      </c>
      <c r="AQ178" s="1" t="s">
        <v>104</v>
      </c>
      <c r="AR178" s="1" t="s">
        <v>104</v>
      </c>
      <c r="AS178" s="1" t="s">
        <v>104</v>
      </c>
      <c r="AU178" s="1" t="s">
        <v>104</v>
      </c>
      <c r="AV178" s="1" t="s">
        <v>104</v>
      </c>
      <c r="AX178" s="1" t="str">
        <f>IFERROR(__xludf.DUMMYFUNCTION("""COMPUTED_VALUE"""),"")</f>
        <v/>
      </c>
      <c r="AZ178" s="1" t="str">
        <f>IFERROR(__xludf.DUMMYFUNCTION("""COMPUTED_VALUE"""),"")</f>
        <v/>
      </c>
      <c r="BB178" s="1" t="s">
        <v>104</v>
      </c>
      <c r="BC178" s="1" t="s">
        <v>104</v>
      </c>
      <c r="BE178" s="1" t="s">
        <v>104</v>
      </c>
      <c r="BG178" s="1" t="s">
        <v>104</v>
      </c>
      <c r="BH178" s="1" t="s">
        <v>104</v>
      </c>
      <c r="BI178" s="1" t="s">
        <v>104</v>
      </c>
      <c r="BJ178" s="1" t="s">
        <v>104</v>
      </c>
      <c r="BK178" s="1" t="s">
        <v>104</v>
      </c>
      <c r="BL178" s="1" t="s">
        <v>104</v>
      </c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N179" s="1" t="s">
        <v>104</v>
      </c>
      <c r="AO179" s="1" t="s">
        <v>104</v>
      </c>
      <c r="AP179" s="1" t="s">
        <v>104</v>
      </c>
      <c r="AQ179" s="1" t="s">
        <v>104</v>
      </c>
      <c r="AR179" s="1" t="s">
        <v>104</v>
      </c>
      <c r="AS179" s="1" t="s">
        <v>104</v>
      </c>
      <c r="AU179" s="1" t="s">
        <v>104</v>
      </c>
      <c r="AV179" s="1" t="s">
        <v>104</v>
      </c>
      <c r="AX179" s="1" t="str">
        <f>IFERROR(__xludf.DUMMYFUNCTION("""COMPUTED_VALUE"""),"")</f>
        <v/>
      </c>
      <c r="AZ179" s="1" t="str">
        <f>IFERROR(__xludf.DUMMYFUNCTION("""COMPUTED_VALUE"""),"")</f>
        <v/>
      </c>
      <c r="BB179" s="1" t="s">
        <v>104</v>
      </c>
      <c r="BC179" s="1" t="s">
        <v>104</v>
      </c>
      <c r="BE179" s="1" t="s">
        <v>104</v>
      </c>
      <c r="BG179" s="1" t="s">
        <v>104</v>
      </c>
      <c r="BH179" s="1" t="s">
        <v>104</v>
      </c>
      <c r="BI179" s="1" t="s">
        <v>104</v>
      </c>
      <c r="BJ179" s="1" t="s">
        <v>104</v>
      </c>
      <c r="BK179" s="1" t="s">
        <v>104</v>
      </c>
      <c r="BL179" s="1" t="s">
        <v>104</v>
      </c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N180" s="1" t="s">
        <v>104</v>
      </c>
      <c r="AO180" s="1" t="s">
        <v>104</v>
      </c>
      <c r="AP180" s="1" t="s">
        <v>104</v>
      </c>
      <c r="AQ180" s="1" t="s">
        <v>104</v>
      </c>
      <c r="AR180" s="1" t="s">
        <v>104</v>
      </c>
      <c r="AS180" s="1" t="s">
        <v>104</v>
      </c>
      <c r="AU180" s="1" t="s">
        <v>104</v>
      </c>
      <c r="AV180" s="1" t="s">
        <v>104</v>
      </c>
      <c r="AX180" s="1" t="str">
        <f>IFERROR(__xludf.DUMMYFUNCTION("""COMPUTED_VALUE"""),"")</f>
        <v/>
      </c>
      <c r="AZ180" s="1" t="str">
        <f>IFERROR(__xludf.DUMMYFUNCTION("""COMPUTED_VALUE"""),"")</f>
        <v/>
      </c>
      <c r="BB180" s="1" t="s">
        <v>104</v>
      </c>
      <c r="BC180" s="1" t="s">
        <v>104</v>
      </c>
      <c r="BE180" s="1" t="s">
        <v>104</v>
      </c>
      <c r="BG180" s="1" t="s">
        <v>104</v>
      </c>
      <c r="BH180" s="1" t="s">
        <v>104</v>
      </c>
      <c r="BI180" s="1" t="s">
        <v>104</v>
      </c>
      <c r="BJ180" s="1" t="s">
        <v>104</v>
      </c>
      <c r="BK180" s="1" t="s">
        <v>104</v>
      </c>
      <c r="BL180" s="1" t="s">
        <v>104</v>
      </c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N181" s="1" t="s">
        <v>104</v>
      </c>
      <c r="AO181" s="1" t="s">
        <v>104</v>
      </c>
      <c r="AP181" s="1" t="s">
        <v>104</v>
      </c>
      <c r="AQ181" s="1" t="s">
        <v>104</v>
      </c>
      <c r="AR181" s="1" t="s">
        <v>104</v>
      </c>
      <c r="AS181" s="1" t="s">
        <v>104</v>
      </c>
      <c r="AU181" s="1" t="s">
        <v>104</v>
      </c>
      <c r="AV181" s="1" t="s">
        <v>104</v>
      </c>
      <c r="AX181" s="1" t="str">
        <f>IFERROR(__xludf.DUMMYFUNCTION("""COMPUTED_VALUE"""),"")</f>
        <v/>
      </c>
      <c r="AZ181" s="1" t="str">
        <f>IFERROR(__xludf.DUMMYFUNCTION("""COMPUTED_VALUE"""),"")</f>
        <v/>
      </c>
      <c r="BB181" s="1" t="s">
        <v>104</v>
      </c>
      <c r="BC181" s="1" t="s">
        <v>104</v>
      </c>
      <c r="BE181" s="1" t="s">
        <v>104</v>
      </c>
      <c r="BG181" s="1" t="s">
        <v>104</v>
      </c>
      <c r="BH181" s="1" t="s">
        <v>104</v>
      </c>
      <c r="BI181" s="1" t="s">
        <v>104</v>
      </c>
      <c r="BJ181" s="1" t="s">
        <v>104</v>
      </c>
      <c r="BK181" s="1" t="s">
        <v>104</v>
      </c>
      <c r="BL181" s="1" t="s">
        <v>104</v>
      </c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N182" s="1" t="s">
        <v>104</v>
      </c>
      <c r="AO182" s="1" t="s">
        <v>104</v>
      </c>
      <c r="AP182" s="1" t="s">
        <v>104</v>
      </c>
      <c r="AQ182" s="1" t="s">
        <v>104</v>
      </c>
      <c r="AR182" s="1" t="s">
        <v>104</v>
      </c>
      <c r="AS182" s="1" t="s">
        <v>104</v>
      </c>
      <c r="AU182" s="1" t="s">
        <v>104</v>
      </c>
      <c r="AV182" s="1" t="s">
        <v>104</v>
      </c>
      <c r="AX182" s="1" t="str">
        <f>IFERROR(__xludf.DUMMYFUNCTION("""COMPUTED_VALUE"""),"")</f>
        <v/>
      </c>
      <c r="AZ182" s="1" t="str">
        <f>IFERROR(__xludf.DUMMYFUNCTION("""COMPUTED_VALUE"""),"")</f>
        <v/>
      </c>
      <c r="BB182" s="1" t="s">
        <v>104</v>
      </c>
      <c r="BC182" s="1" t="s">
        <v>104</v>
      </c>
      <c r="BE182" s="1" t="s">
        <v>104</v>
      </c>
      <c r="BG182" s="1" t="s">
        <v>104</v>
      </c>
      <c r="BH182" s="1" t="s">
        <v>104</v>
      </c>
      <c r="BI182" s="1" t="s">
        <v>104</v>
      </c>
      <c r="BJ182" s="1" t="s">
        <v>104</v>
      </c>
      <c r="BK182" s="1" t="s">
        <v>104</v>
      </c>
      <c r="BL182" s="1" t="s">
        <v>104</v>
      </c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N183" s="1" t="s">
        <v>104</v>
      </c>
      <c r="AO183" s="1" t="s">
        <v>104</v>
      </c>
      <c r="AP183" s="1" t="s">
        <v>104</v>
      </c>
      <c r="AQ183" s="1" t="s">
        <v>104</v>
      </c>
      <c r="AR183" s="1" t="s">
        <v>104</v>
      </c>
      <c r="AS183" s="1" t="s">
        <v>104</v>
      </c>
      <c r="AU183" s="1" t="s">
        <v>104</v>
      </c>
      <c r="AV183" s="1" t="s">
        <v>104</v>
      </c>
      <c r="AX183" s="1" t="str">
        <f>IFERROR(__xludf.DUMMYFUNCTION("""COMPUTED_VALUE"""),"")</f>
        <v/>
      </c>
      <c r="AZ183" s="1" t="str">
        <f>IFERROR(__xludf.DUMMYFUNCTION("""COMPUTED_VALUE"""),"")</f>
        <v/>
      </c>
      <c r="BB183" s="1" t="s">
        <v>104</v>
      </c>
      <c r="BC183" s="1" t="s">
        <v>104</v>
      </c>
      <c r="BE183" s="1" t="s">
        <v>104</v>
      </c>
      <c r="BG183" s="1" t="s">
        <v>104</v>
      </c>
      <c r="BH183" s="1" t="s">
        <v>104</v>
      </c>
      <c r="BI183" s="1" t="s">
        <v>104</v>
      </c>
      <c r="BJ183" s="1" t="s">
        <v>104</v>
      </c>
      <c r="BK183" s="1" t="s">
        <v>104</v>
      </c>
      <c r="BL183" s="1" t="s">
        <v>104</v>
      </c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N184" s="1" t="s">
        <v>104</v>
      </c>
      <c r="AO184" s="1" t="s">
        <v>104</v>
      </c>
      <c r="AP184" s="1" t="s">
        <v>104</v>
      </c>
      <c r="AQ184" s="1" t="s">
        <v>104</v>
      </c>
      <c r="AR184" s="1" t="s">
        <v>104</v>
      </c>
      <c r="AS184" s="1" t="s">
        <v>104</v>
      </c>
      <c r="AU184" s="1" t="s">
        <v>104</v>
      </c>
      <c r="AV184" s="1" t="s">
        <v>104</v>
      </c>
      <c r="AX184" s="1" t="str">
        <f>IFERROR(__xludf.DUMMYFUNCTION("""COMPUTED_VALUE"""),"")</f>
        <v/>
      </c>
      <c r="AZ184" s="1" t="str">
        <f>IFERROR(__xludf.DUMMYFUNCTION("""COMPUTED_VALUE"""),"")</f>
        <v/>
      </c>
      <c r="BB184" s="1" t="s">
        <v>104</v>
      </c>
      <c r="BC184" s="1" t="s">
        <v>104</v>
      </c>
      <c r="BE184" s="1" t="s">
        <v>104</v>
      </c>
      <c r="BG184" s="1" t="s">
        <v>104</v>
      </c>
      <c r="BH184" s="1" t="s">
        <v>104</v>
      </c>
      <c r="BI184" s="1" t="s">
        <v>104</v>
      </c>
      <c r="BJ184" s="1" t="s">
        <v>104</v>
      </c>
      <c r="BK184" s="1" t="s">
        <v>104</v>
      </c>
      <c r="BL184" s="1" t="s">
        <v>104</v>
      </c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N185" s="1" t="s">
        <v>104</v>
      </c>
      <c r="AO185" s="1" t="s">
        <v>104</v>
      </c>
      <c r="AP185" s="1" t="s">
        <v>104</v>
      </c>
      <c r="AQ185" s="1" t="s">
        <v>104</v>
      </c>
      <c r="AR185" s="1" t="s">
        <v>104</v>
      </c>
      <c r="AS185" s="1" t="s">
        <v>104</v>
      </c>
      <c r="AU185" s="1" t="s">
        <v>104</v>
      </c>
      <c r="AV185" s="1" t="s">
        <v>104</v>
      </c>
      <c r="AX185" s="1" t="str">
        <f>IFERROR(__xludf.DUMMYFUNCTION("""COMPUTED_VALUE"""),"")</f>
        <v/>
      </c>
      <c r="AZ185" s="1" t="str">
        <f>IFERROR(__xludf.DUMMYFUNCTION("""COMPUTED_VALUE"""),"")</f>
        <v/>
      </c>
      <c r="BB185" s="1" t="s">
        <v>104</v>
      </c>
      <c r="BC185" s="1" t="s">
        <v>104</v>
      </c>
      <c r="BE185" s="1" t="s">
        <v>104</v>
      </c>
      <c r="BG185" s="1" t="s">
        <v>104</v>
      </c>
      <c r="BH185" s="1" t="s">
        <v>104</v>
      </c>
      <c r="BI185" s="1" t="s">
        <v>104</v>
      </c>
      <c r="BJ185" s="1" t="s">
        <v>104</v>
      </c>
      <c r="BK185" s="1" t="s">
        <v>104</v>
      </c>
      <c r="BL185" s="1" t="s">
        <v>104</v>
      </c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N186" s="1" t="s">
        <v>104</v>
      </c>
      <c r="AO186" s="1" t="s">
        <v>104</v>
      </c>
      <c r="AP186" s="1" t="s">
        <v>104</v>
      </c>
      <c r="AQ186" s="1" t="s">
        <v>104</v>
      </c>
      <c r="AR186" s="1" t="s">
        <v>104</v>
      </c>
      <c r="AS186" s="1" t="s">
        <v>104</v>
      </c>
      <c r="AU186" s="1" t="s">
        <v>104</v>
      </c>
      <c r="AV186" s="1" t="s">
        <v>104</v>
      </c>
      <c r="AX186" s="1" t="str">
        <f>IFERROR(__xludf.DUMMYFUNCTION("""COMPUTED_VALUE"""),"")</f>
        <v/>
      </c>
      <c r="AZ186" s="1" t="str">
        <f>IFERROR(__xludf.DUMMYFUNCTION("""COMPUTED_VALUE"""),"")</f>
        <v/>
      </c>
      <c r="BB186" s="1" t="s">
        <v>104</v>
      </c>
      <c r="BC186" s="1" t="s">
        <v>104</v>
      </c>
      <c r="BE186" s="1" t="s">
        <v>104</v>
      </c>
      <c r="BG186" s="1" t="s">
        <v>104</v>
      </c>
      <c r="BH186" s="1" t="s">
        <v>104</v>
      </c>
      <c r="BI186" s="1" t="s">
        <v>104</v>
      </c>
      <c r="BJ186" s="1" t="s">
        <v>104</v>
      </c>
      <c r="BK186" s="1" t="s">
        <v>104</v>
      </c>
      <c r="BL186" s="1" t="s">
        <v>104</v>
      </c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N187" s="1" t="s">
        <v>104</v>
      </c>
      <c r="AO187" s="1" t="s">
        <v>104</v>
      </c>
      <c r="AP187" s="1" t="s">
        <v>104</v>
      </c>
      <c r="AQ187" s="1" t="s">
        <v>104</v>
      </c>
      <c r="AR187" s="1" t="s">
        <v>104</v>
      </c>
      <c r="AS187" s="1" t="s">
        <v>104</v>
      </c>
      <c r="AU187" s="1" t="s">
        <v>104</v>
      </c>
      <c r="AV187" s="1" t="s">
        <v>104</v>
      </c>
      <c r="AX187" s="1" t="str">
        <f>IFERROR(__xludf.DUMMYFUNCTION("""COMPUTED_VALUE"""),"")</f>
        <v/>
      </c>
      <c r="AZ187" s="1" t="str">
        <f>IFERROR(__xludf.DUMMYFUNCTION("""COMPUTED_VALUE"""),"")</f>
        <v/>
      </c>
      <c r="BB187" s="1" t="s">
        <v>104</v>
      </c>
      <c r="BC187" s="1" t="s">
        <v>104</v>
      </c>
      <c r="BE187" s="1" t="s">
        <v>104</v>
      </c>
      <c r="BG187" s="1" t="s">
        <v>104</v>
      </c>
      <c r="BH187" s="1" t="s">
        <v>104</v>
      </c>
      <c r="BI187" s="1" t="s">
        <v>104</v>
      </c>
      <c r="BJ187" s="1" t="s">
        <v>104</v>
      </c>
      <c r="BK187" s="1" t="s">
        <v>104</v>
      </c>
      <c r="BL187" s="1" t="s">
        <v>104</v>
      </c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N188" s="1" t="s">
        <v>104</v>
      </c>
      <c r="AO188" s="1" t="s">
        <v>104</v>
      </c>
      <c r="AP188" s="1" t="s">
        <v>104</v>
      </c>
      <c r="AQ188" s="1" t="s">
        <v>104</v>
      </c>
      <c r="AR188" s="1" t="s">
        <v>104</v>
      </c>
      <c r="AS188" s="1" t="s">
        <v>104</v>
      </c>
      <c r="AU188" s="1" t="s">
        <v>104</v>
      </c>
      <c r="AV188" s="1" t="s">
        <v>104</v>
      </c>
      <c r="AX188" s="1" t="str">
        <f>IFERROR(__xludf.DUMMYFUNCTION("""COMPUTED_VALUE"""),"")</f>
        <v/>
      </c>
      <c r="AZ188" s="1" t="str">
        <f>IFERROR(__xludf.DUMMYFUNCTION("""COMPUTED_VALUE"""),"")</f>
        <v/>
      </c>
      <c r="BB188" s="1" t="s">
        <v>104</v>
      </c>
      <c r="BC188" s="1" t="s">
        <v>104</v>
      </c>
      <c r="BE188" s="1" t="s">
        <v>104</v>
      </c>
      <c r="BG188" s="1" t="s">
        <v>104</v>
      </c>
      <c r="BH188" s="1" t="s">
        <v>104</v>
      </c>
      <c r="BI188" s="1" t="s">
        <v>104</v>
      </c>
      <c r="BJ188" s="1" t="s">
        <v>104</v>
      </c>
      <c r="BK188" s="1" t="s">
        <v>104</v>
      </c>
      <c r="BL188" s="1" t="s">
        <v>104</v>
      </c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N189" s="1" t="s">
        <v>104</v>
      </c>
      <c r="AO189" s="1" t="s">
        <v>104</v>
      </c>
      <c r="AP189" s="1" t="s">
        <v>104</v>
      </c>
      <c r="AQ189" s="1" t="s">
        <v>104</v>
      </c>
      <c r="AR189" s="1" t="s">
        <v>104</v>
      </c>
      <c r="AS189" s="1" t="s">
        <v>104</v>
      </c>
      <c r="AU189" s="1" t="s">
        <v>104</v>
      </c>
      <c r="AV189" s="1" t="s">
        <v>104</v>
      </c>
      <c r="AX189" s="1" t="str">
        <f>IFERROR(__xludf.DUMMYFUNCTION("""COMPUTED_VALUE"""),"")</f>
        <v/>
      </c>
      <c r="AZ189" s="1" t="str">
        <f>IFERROR(__xludf.DUMMYFUNCTION("""COMPUTED_VALUE"""),"")</f>
        <v/>
      </c>
      <c r="BB189" s="1" t="s">
        <v>104</v>
      </c>
      <c r="BC189" s="1" t="s">
        <v>104</v>
      </c>
      <c r="BE189" s="1" t="s">
        <v>104</v>
      </c>
      <c r="BG189" s="1" t="s">
        <v>104</v>
      </c>
      <c r="BH189" s="1" t="s">
        <v>104</v>
      </c>
      <c r="BI189" s="1" t="s">
        <v>104</v>
      </c>
      <c r="BJ189" s="1" t="s">
        <v>104</v>
      </c>
      <c r="BK189" s="1" t="s">
        <v>104</v>
      </c>
      <c r="BL189" s="1" t="s">
        <v>104</v>
      </c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N190" s="1" t="s">
        <v>104</v>
      </c>
      <c r="AO190" s="1" t="s">
        <v>104</v>
      </c>
      <c r="AP190" s="1" t="s">
        <v>104</v>
      </c>
      <c r="AQ190" s="1" t="s">
        <v>104</v>
      </c>
      <c r="AR190" s="1" t="s">
        <v>104</v>
      </c>
      <c r="AS190" s="1" t="s">
        <v>104</v>
      </c>
      <c r="AU190" s="1" t="s">
        <v>104</v>
      </c>
      <c r="AV190" s="1" t="s">
        <v>104</v>
      </c>
      <c r="AX190" s="1" t="str">
        <f>IFERROR(__xludf.DUMMYFUNCTION("""COMPUTED_VALUE"""),"")</f>
        <v/>
      </c>
      <c r="AZ190" s="1" t="str">
        <f>IFERROR(__xludf.DUMMYFUNCTION("""COMPUTED_VALUE"""),"")</f>
        <v/>
      </c>
      <c r="BB190" s="1" t="s">
        <v>104</v>
      </c>
      <c r="BC190" s="1" t="s">
        <v>104</v>
      </c>
      <c r="BE190" s="1" t="s">
        <v>104</v>
      </c>
      <c r="BG190" s="1" t="s">
        <v>104</v>
      </c>
      <c r="BH190" s="1" t="s">
        <v>104</v>
      </c>
      <c r="BI190" s="1" t="s">
        <v>104</v>
      </c>
      <c r="BJ190" s="1" t="s">
        <v>104</v>
      </c>
      <c r="BK190" s="1" t="s">
        <v>104</v>
      </c>
      <c r="BL190" s="1" t="s">
        <v>104</v>
      </c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N191" s="1" t="s">
        <v>104</v>
      </c>
      <c r="AO191" s="1" t="s">
        <v>104</v>
      </c>
      <c r="AP191" s="1" t="s">
        <v>104</v>
      </c>
      <c r="AQ191" s="1" t="s">
        <v>104</v>
      </c>
      <c r="AR191" s="1" t="s">
        <v>104</v>
      </c>
      <c r="AS191" s="1" t="s">
        <v>104</v>
      </c>
      <c r="AU191" s="1" t="s">
        <v>104</v>
      </c>
      <c r="AV191" s="1" t="s">
        <v>104</v>
      </c>
      <c r="AX191" s="1" t="str">
        <f>IFERROR(__xludf.DUMMYFUNCTION("""COMPUTED_VALUE"""),"")</f>
        <v/>
      </c>
      <c r="AZ191" s="1" t="str">
        <f>IFERROR(__xludf.DUMMYFUNCTION("""COMPUTED_VALUE"""),"")</f>
        <v/>
      </c>
      <c r="BB191" s="1" t="s">
        <v>104</v>
      </c>
      <c r="BC191" s="1" t="s">
        <v>104</v>
      </c>
      <c r="BE191" s="1" t="s">
        <v>104</v>
      </c>
      <c r="BG191" s="1" t="s">
        <v>104</v>
      </c>
      <c r="BH191" s="1" t="s">
        <v>104</v>
      </c>
      <c r="BI191" s="1" t="s">
        <v>104</v>
      </c>
      <c r="BJ191" s="1" t="s">
        <v>104</v>
      </c>
      <c r="BK191" s="1" t="s">
        <v>104</v>
      </c>
      <c r="BL191" s="1" t="s">
        <v>104</v>
      </c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N192" s="1" t="s">
        <v>104</v>
      </c>
      <c r="AO192" s="1" t="s">
        <v>104</v>
      </c>
      <c r="AP192" s="1" t="s">
        <v>104</v>
      </c>
      <c r="AQ192" s="1" t="s">
        <v>104</v>
      </c>
      <c r="AR192" s="1" t="s">
        <v>104</v>
      </c>
      <c r="AS192" s="1" t="s">
        <v>104</v>
      </c>
      <c r="AU192" s="1" t="s">
        <v>104</v>
      </c>
      <c r="AV192" s="1" t="s">
        <v>104</v>
      </c>
      <c r="AX192" s="1" t="str">
        <f>IFERROR(__xludf.DUMMYFUNCTION("""COMPUTED_VALUE"""),"")</f>
        <v/>
      </c>
      <c r="AZ192" s="1" t="str">
        <f>IFERROR(__xludf.DUMMYFUNCTION("""COMPUTED_VALUE"""),"")</f>
        <v/>
      </c>
      <c r="BB192" s="1" t="s">
        <v>104</v>
      </c>
      <c r="BC192" s="1" t="s">
        <v>104</v>
      </c>
      <c r="BE192" s="1" t="s">
        <v>104</v>
      </c>
      <c r="BG192" s="1" t="s">
        <v>104</v>
      </c>
      <c r="BH192" s="1" t="s">
        <v>104</v>
      </c>
      <c r="BI192" s="1" t="s">
        <v>104</v>
      </c>
      <c r="BJ192" s="1" t="s">
        <v>104</v>
      </c>
      <c r="BK192" s="1" t="s">
        <v>104</v>
      </c>
      <c r="BL192" s="1" t="s">
        <v>104</v>
      </c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N193" s="1" t="s">
        <v>104</v>
      </c>
      <c r="AO193" s="1" t="s">
        <v>104</v>
      </c>
      <c r="AP193" s="1" t="s">
        <v>104</v>
      </c>
      <c r="AQ193" s="1" t="s">
        <v>104</v>
      </c>
      <c r="AR193" s="1" t="s">
        <v>104</v>
      </c>
      <c r="AS193" s="1" t="s">
        <v>104</v>
      </c>
      <c r="AU193" s="1" t="s">
        <v>104</v>
      </c>
      <c r="AV193" s="1" t="s">
        <v>104</v>
      </c>
      <c r="AX193" s="1" t="str">
        <f>IFERROR(__xludf.DUMMYFUNCTION("""COMPUTED_VALUE"""),"")</f>
        <v/>
      </c>
      <c r="AZ193" s="1" t="str">
        <f>IFERROR(__xludf.DUMMYFUNCTION("""COMPUTED_VALUE"""),"")</f>
        <v/>
      </c>
      <c r="BB193" s="1" t="s">
        <v>104</v>
      </c>
      <c r="BC193" s="1" t="s">
        <v>104</v>
      </c>
      <c r="BE193" s="1" t="s">
        <v>104</v>
      </c>
      <c r="BG193" s="1" t="s">
        <v>104</v>
      </c>
      <c r="BH193" s="1" t="s">
        <v>104</v>
      </c>
      <c r="BI193" s="1" t="s">
        <v>104</v>
      </c>
      <c r="BJ193" s="1" t="s">
        <v>104</v>
      </c>
      <c r="BK193" s="1" t="s">
        <v>104</v>
      </c>
      <c r="BL193" s="1" t="s">
        <v>104</v>
      </c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N194" s="1" t="s">
        <v>104</v>
      </c>
      <c r="AO194" s="1" t="s">
        <v>104</v>
      </c>
      <c r="AP194" s="1" t="s">
        <v>104</v>
      </c>
      <c r="AQ194" s="1" t="s">
        <v>104</v>
      </c>
      <c r="AR194" s="1" t="s">
        <v>104</v>
      </c>
      <c r="AS194" s="1" t="s">
        <v>104</v>
      </c>
      <c r="AU194" s="1" t="s">
        <v>104</v>
      </c>
      <c r="AV194" s="1" t="s">
        <v>104</v>
      </c>
      <c r="AX194" s="1" t="str">
        <f>IFERROR(__xludf.DUMMYFUNCTION("""COMPUTED_VALUE"""),"")</f>
        <v/>
      </c>
      <c r="AZ194" s="1" t="str">
        <f>IFERROR(__xludf.DUMMYFUNCTION("""COMPUTED_VALUE"""),"")</f>
        <v/>
      </c>
      <c r="BB194" s="1" t="s">
        <v>104</v>
      </c>
      <c r="BC194" s="1" t="s">
        <v>104</v>
      </c>
      <c r="BE194" s="1" t="s">
        <v>104</v>
      </c>
      <c r="BG194" s="1" t="s">
        <v>104</v>
      </c>
      <c r="BH194" s="1" t="s">
        <v>104</v>
      </c>
      <c r="BI194" s="1" t="s">
        <v>104</v>
      </c>
      <c r="BJ194" s="1" t="s">
        <v>104</v>
      </c>
      <c r="BK194" s="1" t="s">
        <v>104</v>
      </c>
      <c r="BL194" s="1" t="s">
        <v>104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N195" s="1" t="s">
        <v>104</v>
      </c>
      <c r="AO195" s="1" t="s">
        <v>104</v>
      </c>
      <c r="AP195" s="1" t="s">
        <v>104</v>
      </c>
      <c r="AQ195" s="1" t="s">
        <v>104</v>
      </c>
      <c r="AR195" s="1" t="s">
        <v>104</v>
      </c>
      <c r="AS195" s="1" t="s">
        <v>104</v>
      </c>
      <c r="AU195" s="1" t="s">
        <v>104</v>
      </c>
      <c r="AV195" s="1" t="s">
        <v>104</v>
      </c>
      <c r="AX195" s="1" t="str">
        <f>IFERROR(__xludf.DUMMYFUNCTION("""COMPUTED_VALUE"""),"")</f>
        <v/>
      </c>
      <c r="AZ195" s="1" t="str">
        <f>IFERROR(__xludf.DUMMYFUNCTION("""COMPUTED_VALUE"""),"")</f>
        <v/>
      </c>
      <c r="BB195" s="1" t="s">
        <v>104</v>
      </c>
      <c r="BC195" s="1" t="s">
        <v>104</v>
      </c>
      <c r="BE195" s="1" t="s">
        <v>104</v>
      </c>
      <c r="BG195" s="1" t="s">
        <v>104</v>
      </c>
      <c r="BH195" s="1" t="s">
        <v>104</v>
      </c>
      <c r="BI195" s="1" t="s">
        <v>104</v>
      </c>
      <c r="BJ195" s="1" t="s">
        <v>104</v>
      </c>
      <c r="BK195" s="1" t="s">
        <v>104</v>
      </c>
      <c r="BL195" s="1" t="s">
        <v>104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N196" s="1" t="s">
        <v>104</v>
      </c>
      <c r="AO196" s="1" t="s">
        <v>104</v>
      </c>
      <c r="AP196" s="1" t="s">
        <v>104</v>
      </c>
      <c r="AQ196" s="1" t="s">
        <v>104</v>
      </c>
      <c r="AR196" s="1" t="s">
        <v>104</v>
      </c>
      <c r="AS196" s="1" t="s">
        <v>104</v>
      </c>
      <c r="AU196" s="1" t="s">
        <v>104</v>
      </c>
      <c r="AV196" s="1" t="s">
        <v>104</v>
      </c>
      <c r="AX196" s="1" t="str">
        <f>IFERROR(__xludf.DUMMYFUNCTION("""COMPUTED_VALUE"""),"")</f>
        <v/>
      </c>
      <c r="AZ196" s="1" t="str">
        <f>IFERROR(__xludf.DUMMYFUNCTION("""COMPUTED_VALUE"""),"")</f>
        <v/>
      </c>
      <c r="BB196" s="1" t="s">
        <v>104</v>
      </c>
      <c r="BC196" s="1" t="s">
        <v>104</v>
      </c>
      <c r="BE196" s="1" t="s">
        <v>104</v>
      </c>
      <c r="BG196" s="1" t="s">
        <v>104</v>
      </c>
      <c r="BH196" s="1" t="s">
        <v>104</v>
      </c>
      <c r="BI196" s="1" t="s">
        <v>104</v>
      </c>
      <c r="BJ196" s="1" t="s">
        <v>104</v>
      </c>
      <c r="BK196" s="1" t="s">
        <v>104</v>
      </c>
      <c r="BL196" s="1" t="s">
        <v>104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N197" s="1" t="s">
        <v>104</v>
      </c>
      <c r="AO197" s="1" t="s">
        <v>104</v>
      </c>
      <c r="AP197" s="1" t="s">
        <v>104</v>
      </c>
      <c r="AQ197" s="1" t="s">
        <v>104</v>
      </c>
      <c r="AR197" s="1" t="s">
        <v>104</v>
      </c>
      <c r="AS197" s="1" t="s">
        <v>104</v>
      </c>
      <c r="AU197" s="1" t="s">
        <v>104</v>
      </c>
      <c r="AV197" s="1" t="s">
        <v>104</v>
      </c>
      <c r="AX197" s="1" t="str">
        <f>IFERROR(__xludf.DUMMYFUNCTION("""COMPUTED_VALUE"""),"")</f>
        <v/>
      </c>
      <c r="AZ197" s="1" t="str">
        <f>IFERROR(__xludf.DUMMYFUNCTION("""COMPUTED_VALUE"""),"")</f>
        <v/>
      </c>
      <c r="BB197" s="1" t="s">
        <v>104</v>
      </c>
      <c r="BC197" s="1" t="s">
        <v>104</v>
      </c>
      <c r="BE197" s="1" t="s">
        <v>104</v>
      </c>
      <c r="BG197" s="1" t="s">
        <v>104</v>
      </c>
      <c r="BH197" s="1" t="s">
        <v>104</v>
      </c>
      <c r="BI197" s="1" t="s">
        <v>104</v>
      </c>
      <c r="BJ197" s="1" t="s">
        <v>104</v>
      </c>
      <c r="BK197" s="1" t="s">
        <v>104</v>
      </c>
      <c r="BL197" s="1" t="s">
        <v>104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N198" s="1" t="s">
        <v>104</v>
      </c>
      <c r="AO198" s="1" t="s">
        <v>104</v>
      </c>
      <c r="AP198" s="1" t="s">
        <v>104</v>
      </c>
      <c r="AQ198" s="1" t="s">
        <v>104</v>
      </c>
      <c r="AR198" s="1" t="s">
        <v>104</v>
      </c>
      <c r="AS198" s="1" t="s">
        <v>104</v>
      </c>
      <c r="AU198" s="1" t="s">
        <v>104</v>
      </c>
      <c r="AV198" s="1" t="s">
        <v>104</v>
      </c>
      <c r="AX198" s="1" t="str">
        <f>IFERROR(__xludf.DUMMYFUNCTION("""COMPUTED_VALUE"""),"")</f>
        <v/>
      </c>
      <c r="AZ198" s="1" t="str">
        <f>IFERROR(__xludf.DUMMYFUNCTION("""COMPUTED_VALUE"""),"")</f>
        <v/>
      </c>
      <c r="BB198" s="1" t="s">
        <v>104</v>
      </c>
      <c r="BC198" s="1" t="s">
        <v>104</v>
      </c>
      <c r="BE198" s="1" t="s">
        <v>104</v>
      </c>
      <c r="BG198" s="1" t="s">
        <v>104</v>
      </c>
      <c r="BH198" s="1" t="s">
        <v>104</v>
      </c>
      <c r="BI198" s="1" t="s">
        <v>104</v>
      </c>
      <c r="BJ198" s="1" t="s">
        <v>104</v>
      </c>
      <c r="BK198" s="1" t="s">
        <v>104</v>
      </c>
      <c r="BL198" s="1" t="s">
        <v>104</v>
      </c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N199" s="1" t="s">
        <v>104</v>
      </c>
      <c r="AO199" s="1" t="s">
        <v>104</v>
      </c>
      <c r="AP199" s="1" t="s">
        <v>104</v>
      </c>
      <c r="AQ199" s="1" t="s">
        <v>104</v>
      </c>
      <c r="AR199" s="1" t="s">
        <v>104</v>
      </c>
      <c r="AS199" s="1" t="s">
        <v>104</v>
      </c>
      <c r="AU199" s="1" t="s">
        <v>104</v>
      </c>
      <c r="AV199" s="1" t="s">
        <v>104</v>
      </c>
      <c r="AX199" s="1" t="str">
        <f>IFERROR(__xludf.DUMMYFUNCTION("""COMPUTED_VALUE"""),"")</f>
        <v/>
      </c>
      <c r="AZ199" s="1" t="str">
        <f>IFERROR(__xludf.DUMMYFUNCTION("""COMPUTED_VALUE"""),"")</f>
        <v/>
      </c>
      <c r="BB199" s="1" t="s">
        <v>104</v>
      </c>
      <c r="BC199" s="1" t="s">
        <v>104</v>
      </c>
      <c r="BE199" s="1" t="s">
        <v>104</v>
      </c>
      <c r="BG199" s="1" t="s">
        <v>104</v>
      </c>
      <c r="BH199" s="1" t="s">
        <v>104</v>
      </c>
      <c r="BI199" s="1" t="s">
        <v>104</v>
      </c>
      <c r="BJ199" s="1" t="s">
        <v>104</v>
      </c>
      <c r="BK199" s="1" t="s">
        <v>104</v>
      </c>
      <c r="BL199" s="1" t="s">
        <v>104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N200" s="1" t="s">
        <v>104</v>
      </c>
      <c r="AO200" s="1" t="s">
        <v>104</v>
      </c>
      <c r="AP200" s="1" t="s">
        <v>104</v>
      </c>
      <c r="AQ200" s="1" t="s">
        <v>104</v>
      </c>
      <c r="AR200" s="1" t="s">
        <v>104</v>
      </c>
      <c r="AS200" s="1" t="s">
        <v>104</v>
      </c>
      <c r="AU200" s="1" t="s">
        <v>104</v>
      </c>
      <c r="AV200" s="1" t="s">
        <v>104</v>
      </c>
      <c r="AX200" s="1" t="str">
        <f>IFERROR(__xludf.DUMMYFUNCTION("""COMPUTED_VALUE"""),"")</f>
        <v/>
      </c>
      <c r="AZ200" s="1" t="str">
        <f>IFERROR(__xludf.DUMMYFUNCTION("""COMPUTED_VALUE"""),"")</f>
        <v/>
      </c>
      <c r="BB200" s="1" t="s">
        <v>104</v>
      </c>
      <c r="BC200" s="1" t="s">
        <v>104</v>
      </c>
      <c r="BE200" s="1" t="s">
        <v>104</v>
      </c>
      <c r="BG200" s="1" t="s">
        <v>104</v>
      </c>
      <c r="BH200" s="1" t="s">
        <v>104</v>
      </c>
      <c r="BI200" s="1" t="s">
        <v>104</v>
      </c>
      <c r="BJ200" s="1" t="s">
        <v>104</v>
      </c>
      <c r="BK200" s="1" t="s">
        <v>104</v>
      </c>
      <c r="BL200" s="1" t="s">
        <v>104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N201" s="1" t="s">
        <v>104</v>
      </c>
      <c r="AO201" s="1" t="s">
        <v>104</v>
      </c>
      <c r="AP201" s="1" t="s">
        <v>104</v>
      </c>
      <c r="AQ201" s="1" t="s">
        <v>104</v>
      </c>
      <c r="AR201" s="1" t="s">
        <v>104</v>
      </c>
      <c r="AS201" s="1" t="s">
        <v>104</v>
      </c>
      <c r="AU201" s="1" t="s">
        <v>104</v>
      </c>
      <c r="AV201" s="1" t="s">
        <v>104</v>
      </c>
      <c r="AX201" s="1" t="str">
        <f>IFERROR(__xludf.DUMMYFUNCTION("""COMPUTED_VALUE"""),"")</f>
        <v/>
      </c>
      <c r="AZ201" s="1" t="str">
        <f>IFERROR(__xludf.DUMMYFUNCTION("""COMPUTED_VALUE"""),"")</f>
        <v/>
      </c>
      <c r="BB201" s="1" t="s">
        <v>104</v>
      </c>
      <c r="BC201" s="1" t="s">
        <v>104</v>
      </c>
      <c r="BE201" s="1" t="s">
        <v>104</v>
      </c>
      <c r="BG201" s="1" t="s">
        <v>104</v>
      </c>
      <c r="BH201" s="1" t="s">
        <v>104</v>
      </c>
      <c r="BI201" s="1" t="s">
        <v>104</v>
      </c>
      <c r="BJ201" s="1" t="s">
        <v>104</v>
      </c>
      <c r="BK201" s="1" t="s">
        <v>104</v>
      </c>
      <c r="BL201" s="1" t="s">
        <v>104</v>
      </c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N202" s="1" t="s">
        <v>104</v>
      </c>
      <c r="AO202" s="1" t="s">
        <v>104</v>
      </c>
      <c r="AP202" s="1" t="s">
        <v>104</v>
      </c>
      <c r="AQ202" s="1" t="s">
        <v>104</v>
      </c>
      <c r="AR202" s="1" t="s">
        <v>104</v>
      </c>
      <c r="AS202" s="1" t="s">
        <v>104</v>
      </c>
      <c r="AU202" s="1" t="s">
        <v>104</v>
      </c>
      <c r="AV202" s="1" t="s">
        <v>104</v>
      </c>
      <c r="AX202" s="1" t="str">
        <f>IFERROR(__xludf.DUMMYFUNCTION("""COMPUTED_VALUE"""),"")</f>
        <v/>
      </c>
      <c r="AZ202" s="1" t="str">
        <f>IFERROR(__xludf.DUMMYFUNCTION("""COMPUTED_VALUE"""),"")</f>
        <v/>
      </c>
      <c r="BB202" s="1" t="s">
        <v>104</v>
      </c>
      <c r="BC202" s="1" t="s">
        <v>104</v>
      </c>
      <c r="BE202" s="1" t="s">
        <v>104</v>
      </c>
      <c r="BG202" s="1" t="s">
        <v>104</v>
      </c>
      <c r="BH202" s="1" t="s">
        <v>104</v>
      </c>
      <c r="BI202" s="1" t="s">
        <v>104</v>
      </c>
      <c r="BJ202" s="1" t="s">
        <v>104</v>
      </c>
      <c r="BK202" s="1" t="s">
        <v>104</v>
      </c>
      <c r="BL202" s="1" t="s">
        <v>104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N203" s="1" t="s">
        <v>104</v>
      </c>
      <c r="AO203" s="1" t="s">
        <v>104</v>
      </c>
      <c r="AP203" s="1" t="s">
        <v>104</v>
      </c>
      <c r="AQ203" s="1" t="s">
        <v>104</v>
      </c>
      <c r="AR203" s="1" t="s">
        <v>104</v>
      </c>
      <c r="AS203" s="1" t="s">
        <v>104</v>
      </c>
      <c r="AU203" s="1" t="s">
        <v>104</v>
      </c>
      <c r="AV203" s="1" t="s">
        <v>104</v>
      </c>
      <c r="AX203" s="1" t="str">
        <f>IFERROR(__xludf.DUMMYFUNCTION("""COMPUTED_VALUE"""),"")</f>
        <v/>
      </c>
      <c r="AZ203" s="1" t="str">
        <f>IFERROR(__xludf.DUMMYFUNCTION("""COMPUTED_VALUE"""),"")</f>
        <v/>
      </c>
      <c r="BB203" s="1" t="s">
        <v>104</v>
      </c>
      <c r="BC203" s="1" t="s">
        <v>104</v>
      </c>
      <c r="BE203" s="1" t="s">
        <v>104</v>
      </c>
      <c r="BG203" s="1" t="s">
        <v>104</v>
      </c>
      <c r="BH203" s="1" t="s">
        <v>104</v>
      </c>
      <c r="BI203" s="1" t="s">
        <v>104</v>
      </c>
      <c r="BJ203" s="1" t="s">
        <v>104</v>
      </c>
      <c r="BK203" s="1" t="s">
        <v>104</v>
      </c>
      <c r="BL203" s="1" t="s">
        <v>104</v>
      </c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N204" s="1" t="s">
        <v>104</v>
      </c>
      <c r="AO204" s="1" t="s">
        <v>104</v>
      </c>
      <c r="AP204" s="1" t="s">
        <v>104</v>
      </c>
      <c r="AQ204" s="1" t="s">
        <v>104</v>
      </c>
      <c r="AR204" s="1" t="s">
        <v>104</v>
      </c>
      <c r="AS204" s="1" t="s">
        <v>104</v>
      </c>
      <c r="AU204" s="1" t="s">
        <v>104</v>
      </c>
      <c r="AV204" s="1" t="s">
        <v>104</v>
      </c>
      <c r="AX204" s="1" t="str">
        <f>IFERROR(__xludf.DUMMYFUNCTION("""COMPUTED_VALUE"""),"")</f>
        <v/>
      </c>
      <c r="AZ204" s="1" t="str">
        <f>IFERROR(__xludf.DUMMYFUNCTION("""COMPUTED_VALUE"""),"")</f>
        <v/>
      </c>
      <c r="BB204" s="1" t="s">
        <v>104</v>
      </c>
      <c r="BC204" s="1" t="s">
        <v>104</v>
      </c>
      <c r="BE204" s="1" t="s">
        <v>104</v>
      </c>
      <c r="BG204" s="1" t="s">
        <v>104</v>
      </c>
      <c r="BH204" s="1" t="s">
        <v>104</v>
      </c>
      <c r="BI204" s="1" t="s">
        <v>104</v>
      </c>
      <c r="BJ204" s="1" t="s">
        <v>104</v>
      </c>
      <c r="BK204" s="1" t="s">
        <v>104</v>
      </c>
      <c r="BL204" s="1" t="s">
        <v>104</v>
      </c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N205" s="1" t="s">
        <v>104</v>
      </c>
      <c r="AO205" s="1" t="s">
        <v>104</v>
      </c>
      <c r="AP205" s="1" t="s">
        <v>104</v>
      </c>
      <c r="AQ205" s="1" t="s">
        <v>104</v>
      </c>
      <c r="AR205" s="1" t="s">
        <v>104</v>
      </c>
      <c r="AS205" s="1" t="s">
        <v>104</v>
      </c>
      <c r="AU205" s="1" t="s">
        <v>104</v>
      </c>
      <c r="AV205" s="1" t="s">
        <v>104</v>
      </c>
      <c r="AX205" s="1" t="str">
        <f>IFERROR(__xludf.DUMMYFUNCTION("""COMPUTED_VALUE"""),"")</f>
        <v/>
      </c>
      <c r="AZ205" s="1" t="str">
        <f>IFERROR(__xludf.DUMMYFUNCTION("""COMPUTED_VALUE"""),"")</f>
        <v/>
      </c>
      <c r="BB205" s="1" t="s">
        <v>104</v>
      </c>
      <c r="BC205" s="1" t="s">
        <v>104</v>
      </c>
      <c r="BE205" s="1" t="s">
        <v>104</v>
      </c>
      <c r="BG205" s="1" t="s">
        <v>104</v>
      </c>
      <c r="BH205" s="1" t="s">
        <v>104</v>
      </c>
      <c r="BI205" s="1" t="s">
        <v>104</v>
      </c>
      <c r="BJ205" s="1" t="s">
        <v>104</v>
      </c>
      <c r="BK205" s="1" t="s">
        <v>104</v>
      </c>
      <c r="BL205" s="1" t="s">
        <v>104</v>
      </c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N206" s="1" t="s">
        <v>104</v>
      </c>
      <c r="AO206" s="1" t="s">
        <v>104</v>
      </c>
      <c r="AP206" s="1" t="s">
        <v>104</v>
      </c>
      <c r="AQ206" s="1" t="s">
        <v>104</v>
      </c>
      <c r="AR206" s="1" t="s">
        <v>104</v>
      </c>
      <c r="AS206" s="1" t="s">
        <v>104</v>
      </c>
      <c r="AU206" s="1" t="s">
        <v>104</v>
      </c>
      <c r="AV206" s="1" t="s">
        <v>104</v>
      </c>
      <c r="AX206" s="1" t="str">
        <f>IFERROR(__xludf.DUMMYFUNCTION("""COMPUTED_VALUE"""),"")</f>
        <v/>
      </c>
      <c r="AZ206" s="1" t="str">
        <f>IFERROR(__xludf.DUMMYFUNCTION("""COMPUTED_VALUE"""),"")</f>
        <v/>
      </c>
      <c r="BB206" s="1" t="s">
        <v>104</v>
      </c>
      <c r="BC206" s="1" t="s">
        <v>104</v>
      </c>
      <c r="BE206" s="1" t="s">
        <v>104</v>
      </c>
      <c r="BG206" s="1" t="s">
        <v>104</v>
      </c>
      <c r="BH206" s="1" t="s">
        <v>104</v>
      </c>
      <c r="BI206" s="1" t="s">
        <v>104</v>
      </c>
      <c r="BJ206" s="1" t="s">
        <v>104</v>
      </c>
      <c r="BK206" s="1" t="s">
        <v>104</v>
      </c>
      <c r="BL206" s="1" t="s">
        <v>104</v>
      </c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N207" s="1" t="s">
        <v>104</v>
      </c>
      <c r="AO207" s="1" t="s">
        <v>104</v>
      </c>
      <c r="AP207" s="1" t="s">
        <v>104</v>
      </c>
      <c r="AQ207" s="1" t="s">
        <v>104</v>
      </c>
      <c r="AR207" s="1" t="s">
        <v>104</v>
      </c>
      <c r="AS207" s="1" t="s">
        <v>104</v>
      </c>
      <c r="AU207" s="1" t="s">
        <v>104</v>
      </c>
      <c r="AV207" s="1" t="s">
        <v>104</v>
      </c>
      <c r="AX207" s="1" t="str">
        <f>IFERROR(__xludf.DUMMYFUNCTION("""COMPUTED_VALUE"""),"")</f>
        <v/>
      </c>
      <c r="AZ207" s="1" t="str">
        <f>IFERROR(__xludf.DUMMYFUNCTION("""COMPUTED_VALUE"""),"")</f>
        <v/>
      </c>
      <c r="BB207" s="1" t="s">
        <v>104</v>
      </c>
      <c r="BC207" s="1" t="s">
        <v>104</v>
      </c>
      <c r="BE207" s="1" t="s">
        <v>104</v>
      </c>
      <c r="BG207" s="1" t="s">
        <v>104</v>
      </c>
      <c r="BH207" s="1" t="s">
        <v>104</v>
      </c>
      <c r="BI207" s="1" t="s">
        <v>104</v>
      </c>
      <c r="BJ207" s="1" t="s">
        <v>104</v>
      </c>
      <c r="BK207" s="1" t="s">
        <v>104</v>
      </c>
      <c r="BL207" s="1" t="s">
        <v>104</v>
      </c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N208" s="1" t="s">
        <v>104</v>
      </c>
      <c r="AO208" s="1" t="s">
        <v>104</v>
      </c>
      <c r="AP208" s="1" t="s">
        <v>104</v>
      </c>
      <c r="AQ208" s="1" t="s">
        <v>104</v>
      </c>
      <c r="AR208" s="1" t="s">
        <v>104</v>
      </c>
      <c r="AS208" s="1" t="s">
        <v>104</v>
      </c>
      <c r="AU208" s="1" t="s">
        <v>104</v>
      </c>
      <c r="AV208" s="1" t="s">
        <v>104</v>
      </c>
      <c r="AX208" s="1" t="str">
        <f>IFERROR(__xludf.DUMMYFUNCTION("""COMPUTED_VALUE"""),"")</f>
        <v/>
      </c>
      <c r="AZ208" s="1" t="str">
        <f>IFERROR(__xludf.DUMMYFUNCTION("""COMPUTED_VALUE"""),"")</f>
        <v/>
      </c>
      <c r="BB208" s="1" t="s">
        <v>104</v>
      </c>
      <c r="BC208" s="1" t="s">
        <v>104</v>
      </c>
      <c r="BE208" s="1" t="s">
        <v>104</v>
      </c>
      <c r="BG208" s="1" t="s">
        <v>104</v>
      </c>
      <c r="BH208" s="1" t="s">
        <v>104</v>
      </c>
      <c r="BI208" s="1" t="s">
        <v>104</v>
      </c>
      <c r="BJ208" s="1" t="s">
        <v>104</v>
      </c>
      <c r="BK208" s="1" t="s">
        <v>104</v>
      </c>
      <c r="BL208" s="1" t="s">
        <v>104</v>
      </c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N209" s="1" t="s">
        <v>104</v>
      </c>
      <c r="AO209" s="1" t="s">
        <v>104</v>
      </c>
      <c r="AP209" s="1" t="s">
        <v>104</v>
      </c>
      <c r="AQ209" s="1" t="s">
        <v>104</v>
      </c>
      <c r="AR209" s="1" t="s">
        <v>104</v>
      </c>
      <c r="AS209" s="1" t="s">
        <v>104</v>
      </c>
      <c r="AU209" s="1" t="s">
        <v>104</v>
      </c>
      <c r="AV209" s="1" t="s">
        <v>104</v>
      </c>
      <c r="AX209" s="1" t="str">
        <f>IFERROR(__xludf.DUMMYFUNCTION("""COMPUTED_VALUE"""),"")</f>
        <v/>
      </c>
      <c r="AZ209" s="1" t="str">
        <f>IFERROR(__xludf.DUMMYFUNCTION("""COMPUTED_VALUE"""),"")</f>
        <v/>
      </c>
      <c r="BB209" s="1" t="s">
        <v>104</v>
      </c>
      <c r="BC209" s="1" t="s">
        <v>104</v>
      </c>
      <c r="BE209" s="1" t="s">
        <v>104</v>
      </c>
      <c r="BG209" s="1" t="s">
        <v>104</v>
      </c>
      <c r="BH209" s="1" t="s">
        <v>104</v>
      </c>
      <c r="BI209" s="1" t="s">
        <v>104</v>
      </c>
      <c r="BJ209" s="1" t="s">
        <v>104</v>
      </c>
      <c r="BK209" s="1" t="s">
        <v>104</v>
      </c>
      <c r="BL209" s="1" t="s">
        <v>104</v>
      </c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N210" s="1" t="s">
        <v>104</v>
      </c>
      <c r="AO210" s="1" t="s">
        <v>104</v>
      </c>
      <c r="AP210" s="1" t="s">
        <v>104</v>
      </c>
      <c r="AQ210" s="1" t="s">
        <v>104</v>
      </c>
      <c r="AR210" s="1" t="s">
        <v>104</v>
      </c>
      <c r="AS210" s="1" t="s">
        <v>104</v>
      </c>
      <c r="AU210" s="1" t="s">
        <v>104</v>
      </c>
      <c r="AV210" s="1" t="s">
        <v>104</v>
      </c>
      <c r="AX210" s="1" t="str">
        <f>IFERROR(__xludf.DUMMYFUNCTION("""COMPUTED_VALUE"""),"")</f>
        <v/>
      </c>
      <c r="AZ210" s="1" t="str">
        <f>IFERROR(__xludf.DUMMYFUNCTION("""COMPUTED_VALUE"""),"")</f>
        <v/>
      </c>
      <c r="BB210" s="1" t="s">
        <v>104</v>
      </c>
      <c r="BC210" s="1" t="s">
        <v>104</v>
      </c>
      <c r="BE210" s="1" t="s">
        <v>104</v>
      </c>
      <c r="BG210" s="1" t="s">
        <v>104</v>
      </c>
      <c r="BH210" s="1" t="s">
        <v>104</v>
      </c>
      <c r="BI210" s="1" t="s">
        <v>104</v>
      </c>
      <c r="BJ210" s="1" t="s">
        <v>104</v>
      </c>
      <c r="BK210" s="1" t="s">
        <v>104</v>
      </c>
      <c r="BL210" s="1" t="s">
        <v>104</v>
      </c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N211" s="1" t="s">
        <v>104</v>
      </c>
      <c r="AO211" s="1" t="s">
        <v>104</v>
      </c>
      <c r="AP211" s="1" t="s">
        <v>104</v>
      </c>
      <c r="AQ211" s="1" t="s">
        <v>104</v>
      </c>
      <c r="AR211" s="1" t="s">
        <v>104</v>
      </c>
      <c r="AS211" s="1" t="s">
        <v>104</v>
      </c>
      <c r="AU211" s="1" t="s">
        <v>104</v>
      </c>
      <c r="AV211" s="1" t="s">
        <v>104</v>
      </c>
      <c r="AX211" s="1" t="str">
        <f>IFERROR(__xludf.DUMMYFUNCTION("""COMPUTED_VALUE"""),"")</f>
        <v/>
      </c>
      <c r="AZ211" s="1" t="str">
        <f>IFERROR(__xludf.DUMMYFUNCTION("""COMPUTED_VALUE"""),"")</f>
        <v/>
      </c>
      <c r="BB211" s="1" t="s">
        <v>104</v>
      </c>
      <c r="BC211" s="1" t="s">
        <v>104</v>
      </c>
      <c r="BE211" s="1" t="s">
        <v>104</v>
      </c>
      <c r="BG211" s="1" t="s">
        <v>104</v>
      </c>
      <c r="BH211" s="1" t="s">
        <v>104</v>
      </c>
      <c r="BI211" s="1" t="s">
        <v>104</v>
      </c>
      <c r="BJ211" s="1" t="s">
        <v>104</v>
      </c>
      <c r="BK211" s="1" t="s">
        <v>104</v>
      </c>
      <c r="BL211" s="1" t="s">
        <v>104</v>
      </c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N212" s="1" t="s">
        <v>104</v>
      </c>
      <c r="AO212" s="1" t="s">
        <v>104</v>
      </c>
      <c r="AP212" s="1" t="s">
        <v>104</v>
      </c>
      <c r="AQ212" s="1" t="s">
        <v>104</v>
      </c>
      <c r="AR212" s="1" t="s">
        <v>104</v>
      </c>
      <c r="AS212" s="1" t="s">
        <v>104</v>
      </c>
      <c r="AU212" s="1" t="s">
        <v>104</v>
      </c>
      <c r="AV212" s="1" t="s">
        <v>104</v>
      </c>
      <c r="AX212" s="1" t="str">
        <f>IFERROR(__xludf.DUMMYFUNCTION("""COMPUTED_VALUE"""),"")</f>
        <v/>
      </c>
      <c r="AZ212" s="1" t="str">
        <f>IFERROR(__xludf.DUMMYFUNCTION("""COMPUTED_VALUE"""),"")</f>
        <v/>
      </c>
      <c r="BB212" s="1" t="s">
        <v>104</v>
      </c>
      <c r="BC212" s="1" t="s">
        <v>104</v>
      </c>
      <c r="BE212" s="1" t="s">
        <v>104</v>
      </c>
      <c r="BG212" s="1" t="s">
        <v>104</v>
      </c>
      <c r="BH212" s="1" t="s">
        <v>104</v>
      </c>
      <c r="BI212" s="1" t="s">
        <v>104</v>
      </c>
      <c r="BJ212" s="1" t="s">
        <v>104</v>
      </c>
      <c r="BK212" s="1" t="s">
        <v>104</v>
      </c>
      <c r="BL212" s="1" t="s">
        <v>104</v>
      </c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N213" s="1" t="s">
        <v>104</v>
      </c>
      <c r="AO213" s="1" t="s">
        <v>104</v>
      </c>
      <c r="AP213" s="1" t="s">
        <v>104</v>
      </c>
      <c r="AQ213" s="1" t="s">
        <v>104</v>
      </c>
      <c r="AR213" s="1" t="s">
        <v>104</v>
      </c>
      <c r="AS213" s="1" t="s">
        <v>104</v>
      </c>
      <c r="AU213" s="1" t="s">
        <v>104</v>
      </c>
      <c r="AV213" s="1" t="s">
        <v>104</v>
      </c>
      <c r="AX213" s="1" t="str">
        <f>IFERROR(__xludf.DUMMYFUNCTION("""COMPUTED_VALUE"""),"")</f>
        <v/>
      </c>
      <c r="AZ213" s="1" t="str">
        <f>IFERROR(__xludf.DUMMYFUNCTION("""COMPUTED_VALUE"""),"")</f>
        <v/>
      </c>
      <c r="BB213" s="1" t="s">
        <v>104</v>
      </c>
      <c r="BC213" s="1" t="s">
        <v>104</v>
      </c>
      <c r="BE213" s="1" t="s">
        <v>104</v>
      </c>
      <c r="BG213" s="1" t="s">
        <v>104</v>
      </c>
      <c r="BH213" s="1" t="s">
        <v>104</v>
      </c>
      <c r="BI213" s="1" t="s">
        <v>104</v>
      </c>
      <c r="BJ213" s="1" t="s">
        <v>104</v>
      </c>
      <c r="BK213" s="1" t="s">
        <v>104</v>
      </c>
      <c r="BL213" s="1" t="s">
        <v>104</v>
      </c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N214" s="1" t="s">
        <v>104</v>
      </c>
      <c r="AO214" s="1" t="s">
        <v>104</v>
      </c>
      <c r="AP214" s="1" t="s">
        <v>104</v>
      </c>
      <c r="AQ214" s="1" t="s">
        <v>104</v>
      </c>
      <c r="AR214" s="1" t="s">
        <v>104</v>
      </c>
      <c r="AS214" s="1" t="s">
        <v>104</v>
      </c>
      <c r="AU214" s="1" t="s">
        <v>104</v>
      </c>
      <c r="AV214" s="1" t="s">
        <v>104</v>
      </c>
      <c r="AX214" s="1" t="str">
        <f>IFERROR(__xludf.DUMMYFUNCTION("""COMPUTED_VALUE"""),"")</f>
        <v/>
      </c>
      <c r="AZ214" s="1" t="str">
        <f>IFERROR(__xludf.DUMMYFUNCTION("""COMPUTED_VALUE"""),"")</f>
        <v/>
      </c>
      <c r="BB214" s="1" t="s">
        <v>104</v>
      </c>
      <c r="BC214" s="1" t="s">
        <v>104</v>
      </c>
      <c r="BE214" s="1" t="s">
        <v>104</v>
      </c>
      <c r="BG214" s="1" t="s">
        <v>104</v>
      </c>
      <c r="BH214" s="1" t="s">
        <v>104</v>
      </c>
      <c r="BI214" s="1" t="s">
        <v>104</v>
      </c>
      <c r="BJ214" s="1" t="s">
        <v>104</v>
      </c>
      <c r="BK214" s="1" t="s">
        <v>104</v>
      </c>
      <c r="BL214" s="1" t="s">
        <v>104</v>
      </c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N215" s="1" t="s">
        <v>104</v>
      </c>
      <c r="AO215" s="1" t="s">
        <v>104</v>
      </c>
      <c r="AP215" s="1" t="s">
        <v>104</v>
      </c>
      <c r="AQ215" s="1" t="s">
        <v>104</v>
      </c>
      <c r="AR215" s="1" t="s">
        <v>104</v>
      </c>
      <c r="AS215" s="1" t="s">
        <v>104</v>
      </c>
      <c r="AU215" s="1" t="s">
        <v>104</v>
      </c>
      <c r="AV215" s="1" t="s">
        <v>104</v>
      </c>
      <c r="AX215" s="1" t="str">
        <f>IFERROR(__xludf.DUMMYFUNCTION("""COMPUTED_VALUE"""),"")</f>
        <v/>
      </c>
      <c r="AZ215" s="1" t="str">
        <f>IFERROR(__xludf.DUMMYFUNCTION("""COMPUTED_VALUE"""),"")</f>
        <v/>
      </c>
      <c r="BB215" s="1" t="s">
        <v>104</v>
      </c>
      <c r="BC215" s="1" t="s">
        <v>104</v>
      </c>
      <c r="BE215" s="1" t="s">
        <v>104</v>
      </c>
      <c r="BG215" s="1" t="s">
        <v>104</v>
      </c>
      <c r="BH215" s="1" t="s">
        <v>104</v>
      </c>
      <c r="BI215" s="1" t="s">
        <v>104</v>
      </c>
      <c r="BJ215" s="1" t="s">
        <v>104</v>
      </c>
      <c r="BK215" s="1" t="s">
        <v>104</v>
      </c>
      <c r="BL215" s="1" t="s">
        <v>104</v>
      </c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N216" s="1" t="s">
        <v>104</v>
      </c>
      <c r="AO216" s="1" t="s">
        <v>104</v>
      </c>
      <c r="AP216" s="1" t="s">
        <v>104</v>
      </c>
      <c r="AQ216" s="1" t="s">
        <v>104</v>
      </c>
      <c r="AR216" s="1" t="s">
        <v>104</v>
      </c>
      <c r="AS216" s="1" t="s">
        <v>104</v>
      </c>
      <c r="AU216" s="1" t="s">
        <v>104</v>
      </c>
      <c r="AV216" s="1" t="s">
        <v>104</v>
      </c>
      <c r="AX216" s="1" t="str">
        <f>IFERROR(__xludf.DUMMYFUNCTION("""COMPUTED_VALUE"""),"")</f>
        <v/>
      </c>
      <c r="AZ216" s="1" t="str">
        <f>IFERROR(__xludf.DUMMYFUNCTION("""COMPUTED_VALUE"""),"")</f>
        <v/>
      </c>
      <c r="BB216" s="1" t="s">
        <v>104</v>
      </c>
      <c r="BC216" s="1" t="s">
        <v>104</v>
      </c>
      <c r="BE216" s="1" t="s">
        <v>104</v>
      </c>
      <c r="BG216" s="1" t="s">
        <v>104</v>
      </c>
      <c r="BH216" s="1" t="s">
        <v>104</v>
      </c>
      <c r="BI216" s="1" t="s">
        <v>104</v>
      </c>
      <c r="BJ216" s="1" t="s">
        <v>104</v>
      </c>
      <c r="BK216" s="1" t="s">
        <v>104</v>
      </c>
      <c r="BL216" s="1" t="s">
        <v>104</v>
      </c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N217" s="1" t="s">
        <v>104</v>
      </c>
      <c r="AO217" s="1" t="s">
        <v>104</v>
      </c>
      <c r="AP217" s="1" t="s">
        <v>104</v>
      </c>
      <c r="AQ217" s="1" t="s">
        <v>104</v>
      </c>
      <c r="AR217" s="1" t="s">
        <v>104</v>
      </c>
      <c r="AS217" s="1" t="s">
        <v>104</v>
      </c>
      <c r="AU217" s="1" t="s">
        <v>104</v>
      </c>
      <c r="AV217" s="1" t="s">
        <v>104</v>
      </c>
      <c r="AX217" s="1" t="str">
        <f>IFERROR(__xludf.DUMMYFUNCTION("""COMPUTED_VALUE"""),"")</f>
        <v/>
      </c>
      <c r="AZ217" s="1" t="str">
        <f>IFERROR(__xludf.DUMMYFUNCTION("""COMPUTED_VALUE"""),"")</f>
        <v/>
      </c>
      <c r="BB217" s="1" t="s">
        <v>104</v>
      </c>
      <c r="BC217" s="1" t="s">
        <v>104</v>
      </c>
      <c r="BE217" s="1" t="s">
        <v>104</v>
      </c>
      <c r="BG217" s="1" t="s">
        <v>104</v>
      </c>
      <c r="BH217" s="1" t="s">
        <v>104</v>
      </c>
      <c r="BI217" s="1" t="s">
        <v>104</v>
      </c>
      <c r="BJ217" s="1" t="s">
        <v>104</v>
      </c>
      <c r="BK217" s="1" t="s">
        <v>104</v>
      </c>
      <c r="BL217" s="1" t="s">
        <v>104</v>
      </c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N218" s="1" t="s">
        <v>104</v>
      </c>
      <c r="AO218" s="1" t="s">
        <v>104</v>
      </c>
      <c r="AP218" s="1" t="s">
        <v>104</v>
      </c>
      <c r="AQ218" s="1" t="s">
        <v>104</v>
      </c>
      <c r="AR218" s="1" t="s">
        <v>104</v>
      </c>
      <c r="AS218" s="1" t="s">
        <v>104</v>
      </c>
      <c r="AU218" s="1" t="s">
        <v>104</v>
      </c>
      <c r="AV218" s="1" t="s">
        <v>104</v>
      </c>
      <c r="AX218" s="1" t="str">
        <f>IFERROR(__xludf.DUMMYFUNCTION("""COMPUTED_VALUE"""),"")</f>
        <v/>
      </c>
      <c r="AZ218" s="1" t="str">
        <f>IFERROR(__xludf.DUMMYFUNCTION("""COMPUTED_VALUE"""),"")</f>
        <v/>
      </c>
      <c r="BB218" s="1" t="s">
        <v>104</v>
      </c>
      <c r="BC218" s="1" t="s">
        <v>104</v>
      </c>
      <c r="BE218" s="1" t="s">
        <v>104</v>
      </c>
      <c r="BG218" s="1" t="s">
        <v>104</v>
      </c>
      <c r="BH218" s="1" t="s">
        <v>104</v>
      </c>
      <c r="BI218" s="1" t="s">
        <v>104</v>
      </c>
      <c r="BJ218" s="1" t="s">
        <v>104</v>
      </c>
      <c r="BK218" s="1" t="s">
        <v>104</v>
      </c>
      <c r="BL218" s="1" t="s">
        <v>104</v>
      </c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N219" s="1" t="s">
        <v>104</v>
      </c>
      <c r="AO219" s="1" t="s">
        <v>104</v>
      </c>
      <c r="AP219" s="1" t="s">
        <v>104</v>
      </c>
      <c r="AQ219" s="1" t="s">
        <v>104</v>
      </c>
      <c r="AR219" s="1" t="s">
        <v>104</v>
      </c>
      <c r="AS219" s="1" t="s">
        <v>104</v>
      </c>
      <c r="AU219" s="1" t="s">
        <v>104</v>
      </c>
      <c r="AV219" s="1" t="s">
        <v>104</v>
      </c>
      <c r="AX219" s="1" t="str">
        <f>IFERROR(__xludf.DUMMYFUNCTION("""COMPUTED_VALUE"""),"")</f>
        <v/>
      </c>
      <c r="AZ219" s="1" t="str">
        <f>IFERROR(__xludf.DUMMYFUNCTION("""COMPUTED_VALUE"""),"")</f>
        <v/>
      </c>
      <c r="BB219" s="1" t="s">
        <v>104</v>
      </c>
      <c r="BC219" s="1" t="s">
        <v>104</v>
      </c>
      <c r="BE219" s="1" t="s">
        <v>104</v>
      </c>
      <c r="BG219" s="1" t="s">
        <v>104</v>
      </c>
      <c r="BH219" s="1" t="s">
        <v>104</v>
      </c>
      <c r="BI219" s="1" t="s">
        <v>104</v>
      </c>
      <c r="BJ219" s="1" t="s">
        <v>104</v>
      </c>
      <c r="BK219" s="1" t="s">
        <v>104</v>
      </c>
      <c r="BL219" s="1" t="s">
        <v>104</v>
      </c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N220" s="1" t="s">
        <v>104</v>
      </c>
      <c r="AO220" s="1" t="s">
        <v>104</v>
      </c>
      <c r="AP220" s="1" t="s">
        <v>104</v>
      </c>
      <c r="AQ220" s="1" t="s">
        <v>104</v>
      </c>
      <c r="AR220" s="1" t="s">
        <v>104</v>
      </c>
      <c r="AS220" s="1" t="s">
        <v>104</v>
      </c>
      <c r="AU220" s="1" t="s">
        <v>104</v>
      </c>
      <c r="AV220" s="1" t="s">
        <v>104</v>
      </c>
      <c r="AX220" s="1" t="str">
        <f>IFERROR(__xludf.DUMMYFUNCTION("""COMPUTED_VALUE"""),"")</f>
        <v/>
      </c>
      <c r="AZ220" s="1" t="str">
        <f>IFERROR(__xludf.DUMMYFUNCTION("""COMPUTED_VALUE"""),"")</f>
        <v/>
      </c>
      <c r="BB220" s="1" t="s">
        <v>104</v>
      </c>
      <c r="BC220" s="1" t="s">
        <v>104</v>
      </c>
      <c r="BE220" s="1" t="s">
        <v>104</v>
      </c>
      <c r="BG220" s="1" t="s">
        <v>104</v>
      </c>
      <c r="BH220" s="1" t="s">
        <v>104</v>
      </c>
      <c r="BI220" s="1" t="s">
        <v>104</v>
      </c>
      <c r="BJ220" s="1" t="s">
        <v>104</v>
      </c>
      <c r="BK220" s="1" t="s">
        <v>104</v>
      </c>
      <c r="BL220" s="1" t="s">
        <v>104</v>
      </c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N221" s="1" t="s">
        <v>104</v>
      </c>
      <c r="AO221" s="1" t="s">
        <v>104</v>
      </c>
      <c r="AP221" s="1" t="s">
        <v>104</v>
      </c>
      <c r="AQ221" s="1" t="s">
        <v>104</v>
      </c>
      <c r="AR221" s="1" t="s">
        <v>104</v>
      </c>
      <c r="AS221" s="1" t="s">
        <v>104</v>
      </c>
      <c r="AU221" s="1" t="s">
        <v>104</v>
      </c>
      <c r="AV221" s="1" t="s">
        <v>104</v>
      </c>
      <c r="AX221" s="1" t="str">
        <f>IFERROR(__xludf.DUMMYFUNCTION("""COMPUTED_VALUE"""),"")</f>
        <v/>
      </c>
      <c r="AZ221" s="1" t="str">
        <f>IFERROR(__xludf.DUMMYFUNCTION("""COMPUTED_VALUE"""),"")</f>
        <v/>
      </c>
      <c r="BB221" s="1" t="s">
        <v>104</v>
      </c>
      <c r="BC221" s="1" t="s">
        <v>104</v>
      </c>
      <c r="BE221" s="1" t="s">
        <v>104</v>
      </c>
      <c r="BG221" s="1" t="s">
        <v>104</v>
      </c>
      <c r="BH221" s="1" t="s">
        <v>104</v>
      </c>
      <c r="BI221" s="1" t="s">
        <v>104</v>
      </c>
      <c r="BJ221" s="1" t="s">
        <v>104</v>
      </c>
      <c r="BK221" s="1" t="s">
        <v>104</v>
      </c>
      <c r="BL221" s="1" t="s">
        <v>104</v>
      </c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N222" s="1" t="s">
        <v>104</v>
      </c>
      <c r="AO222" s="1" t="s">
        <v>104</v>
      </c>
      <c r="AP222" s="1" t="s">
        <v>104</v>
      </c>
      <c r="AQ222" s="1" t="s">
        <v>104</v>
      </c>
      <c r="AR222" s="1" t="s">
        <v>104</v>
      </c>
      <c r="AS222" s="1" t="s">
        <v>104</v>
      </c>
      <c r="AU222" s="1" t="s">
        <v>104</v>
      </c>
      <c r="AV222" s="1" t="s">
        <v>104</v>
      </c>
      <c r="AX222" s="1" t="str">
        <f>IFERROR(__xludf.DUMMYFUNCTION("""COMPUTED_VALUE"""),"")</f>
        <v/>
      </c>
      <c r="AZ222" s="1" t="str">
        <f>IFERROR(__xludf.DUMMYFUNCTION("""COMPUTED_VALUE"""),"")</f>
        <v/>
      </c>
      <c r="BB222" s="1" t="s">
        <v>104</v>
      </c>
      <c r="BC222" s="1" t="s">
        <v>104</v>
      </c>
      <c r="BE222" s="1" t="s">
        <v>104</v>
      </c>
      <c r="BG222" s="1" t="s">
        <v>104</v>
      </c>
      <c r="BH222" s="1" t="s">
        <v>104</v>
      </c>
      <c r="BI222" s="1" t="s">
        <v>104</v>
      </c>
      <c r="BJ222" s="1" t="s">
        <v>104</v>
      </c>
      <c r="BK222" s="1" t="s">
        <v>104</v>
      </c>
      <c r="BL222" s="1" t="s">
        <v>104</v>
      </c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N223" s="1" t="s">
        <v>104</v>
      </c>
      <c r="AO223" s="1" t="s">
        <v>104</v>
      </c>
      <c r="AP223" s="1" t="s">
        <v>104</v>
      </c>
      <c r="AQ223" s="1" t="s">
        <v>104</v>
      </c>
      <c r="AR223" s="1" t="s">
        <v>104</v>
      </c>
      <c r="AS223" s="1" t="s">
        <v>104</v>
      </c>
      <c r="AU223" s="1" t="s">
        <v>104</v>
      </c>
      <c r="AV223" s="1" t="s">
        <v>104</v>
      </c>
      <c r="AX223" s="1" t="str">
        <f>IFERROR(__xludf.DUMMYFUNCTION("""COMPUTED_VALUE"""),"")</f>
        <v/>
      </c>
      <c r="AZ223" s="1" t="str">
        <f>IFERROR(__xludf.DUMMYFUNCTION("""COMPUTED_VALUE"""),"")</f>
        <v/>
      </c>
      <c r="BB223" s="1" t="s">
        <v>104</v>
      </c>
      <c r="BC223" s="1" t="s">
        <v>104</v>
      </c>
      <c r="BE223" s="1" t="s">
        <v>104</v>
      </c>
      <c r="BG223" s="1" t="s">
        <v>104</v>
      </c>
      <c r="BH223" s="1" t="s">
        <v>104</v>
      </c>
      <c r="BI223" s="1" t="s">
        <v>104</v>
      </c>
      <c r="BJ223" s="1" t="s">
        <v>104</v>
      </c>
      <c r="BK223" s="1" t="s">
        <v>104</v>
      </c>
      <c r="BL223" s="1" t="s">
        <v>104</v>
      </c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N224" s="1" t="s">
        <v>104</v>
      </c>
      <c r="AO224" s="1" t="s">
        <v>104</v>
      </c>
      <c r="AP224" s="1" t="s">
        <v>104</v>
      </c>
      <c r="AQ224" s="1" t="s">
        <v>104</v>
      </c>
      <c r="AR224" s="1" t="s">
        <v>104</v>
      </c>
      <c r="AS224" s="1" t="s">
        <v>104</v>
      </c>
      <c r="AU224" s="1" t="s">
        <v>104</v>
      </c>
      <c r="AV224" s="1" t="s">
        <v>104</v>
      </c>
      <c r="AX224" s="1" t="str">
        <f>IFERROR(__xludf.DUMMYFUNCTION("""COMPUTED_VALUE"""),"")</f>
        <v/>
      </c>
      <c r="AZ224" s="1" t="str">
        <f>IFERROR(__xludf.DUMMYFUNCTION("""COMPUTED_VALUE"""),"")</f>
        <v/>
      </c>
      <c r="BB224" s="1" t="s">
        <v>104</v>
      </c>
      <c r="BC224" s="1" t="s">
        <v>104</v>
      </c>
      <c r="BE224" s="1" t="s">
        <v>104</v>
      </c>
      <c r="BG224" s="1" t="s">
        <v>104</v>
      </c>
      <c r="BH224" s="1" t="s">
        <v>104</v>
      </c>
      <c r="BI224" s="1" t="s">
        <v>104</v>
      </c>
      <c r="BJ224" s="1" t="s">
        <v>104</v>
      </c>
      <c r="BK224" s="1" t="s">
        <v>104</v>
      </c>
      <c r="BL224" s="1" t="s">
        <v>104</v>
      </c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N225" s="1" t="s">
        <v>104</v>
      </c>
      <c r="AO225" s="1" t="s">
        <v>104</v>
      </c>
      <c r="AP225" s="1" t="s">
        <v>104</v>
      </c>
      <c r="AQ225" s="1" t="s">
        <v>104</v>
      </c>
      <c r="AR225" s="1" t="s">
        <v>104</v>
      </c>
      <c r="AS225" s="1" t="s">
        <v>104</v>
      </c>
      <c r="AU225" s="1" t="s">
        <v>104</v>
      </c>
      <c r="AV225" s="1" t="s">
        <v>104</v>
      </c>
      <c r="AX225" s="1" t="str">
        <f>IFERROR(__xludf.DUMMYFUNCTION("""COMPUTED_VALUE"""),"")</f>
        <v/>
      </c>
      <c r="AZ225" s="1" t="str">
        <f>IFERROR(__xludf.DUMMYFUNCTION("""COMPUTED_VALUE"""),"")</f>
        <v/>
      </c>
      <c r="BB225" s="1" t="s">
        <v>104</v>
      </c>
      <c r="BC225" s="1" t="s">
        <v>104</v>
      </c>
      <c r="BE225" s="1" t="s">
        <v>104</v>
      </c>
      <c r="BG225" s="1" t="s">
        <v>104</v>
      </c>
      <c r="BH225" s="1" t="s">
        <v>104</v>
      </c>
      <c r="BI225" s="1" t="s">
        <v>104</v>
      </c>
      <c r="BJ225" s="1" t="s">
        <v>104</v>
      </c>
      <c r="BK225" s="1" t="s">
        <v>104</v>
      </c>
      <c r="BL225" s="1" t="s">
        <v>104</v>
      </c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N226" s="1" t="s">
        <v>104</v>
      </c>
      <c r="AO226" s="1" t="s">
        <v>104</v>
      </c>
      <c r="AP226" s="1" t="s">
        <v>104</v>
      </c>
      <c r="AQ226" s="1" t="s">
        <v>104</v>
      </c>
      <c r="AR226" s="1" t="s">
        <v>104</v>
      </c>
      <c r="AS226" s="1" t="s">
        <v>104</v>
      </c>
      <c r="AU226" s="1" t="s">
        <v>104</v>
      </c>
      <c r="AV226" s="1" t="s">
        <v>104</v>
      </c>
      <c r="AX226" s="1" t="str">
        <f>IFERROR(__xludf.DUMMYFUNCTION("""COMPUTED_VALUE"""),"")</f>
        <v/>
      </c>
      <c r="AZ226" s="1" t="str">
        <f>IFERROR(__xludf.DUMMYFUNCTION("""COMPUTED_VALUE"""),"")</f>
        <v/>
      </c>
      <c r="BB226" s="1" t="s">
        <v>104</v>
      </c>
      <c r="BC226" s="1" t="s">
        <v>104</v>
      </c>
      <c r="BE226" s="1" t="s">
        <v>104</v>
      </c>
      <c r="BG226" s="1" t="s">
        <v>104</v>
      </c>
      <c r="BH226" s="1" t="s">
        <v>104</v>
      </c>
      <c r="BI226" s="1" t="s">
        <v>104</v>
      </c>
      <c r="BJ226" s="1" t="s">
        <v>104</v>
      </c>
      <c r="BK226" s="1" t="s">
        <v>104</v>
      </c>
      <c r="BL226" s="1" t="s">
        <v>104</v>
      </c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N227" s="1" t="s">
        <v>104</v>
      </c>
      <c r="AO227" s="1" t="s">
        <v>104</v>
      </c>
      <c r="AP227" s="1" t="s">
        <v>104</v>
      </c>
      <c r="AQ227" s="1" t="s">
        <v>104</v>
      </c>
      <c r="AR227" s="1" t="s">
        <v>104</v>
      </c>
      <c r="AS227" s="1" t="s">
        <v>104</v>
      </c>
      <c r="AU227" s="1" t="s">
        <v>104</v>
      </c>
      <c r="AV227" s="1" t="s">
        <v>104</v>
      </c>
      <c r="AX227" s="1" t="str">
        <f>IFERROR(__xludf.DUMMYFUNCTION("""COMPUTED_VALUE"""),"")</f>
        <v/>
      </c>
      <c r="AZ227" s="1" t="str">
        <f>IFERROR(__xludf.DUMMYFUNCTION("""COMPUTED_VALUE"""),"")</f>
        <v/>
      </c>
      <c r="BB227" s="1" t="s">
        <v>104</v>
      </c>
      <c r="BC227" s="1" t="s">
        <v>104</v>
      </c>
      <c r="BE227" s="1" t="s">
        <v>104</v>
      </c>
      <c r="BG227" s="1" t="s">
        <v>104</v>
      </c>
      <c r="BH227" s="1" t="s">
        <v>104</v>
      </c>
      <c r="BI227" s="1" t="s">
        <v>104</v>
      </c>
      <c r="BJ227" s="1" t="s">
        <v>104</v>
      </c>
      <c r="BK227" s="1" t="s">
        <v>104</v>
      </c>
      <c r="BL227" s="1" t="s">
        <v>104</v>
      </c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N228" s="1" t="s">
        <v>104</v>
      </c>
      <c r="AO228" s="1" t="s">
        <v>104</v>
      </c>
      <c r="AP228" s="1" t="s">
        <v>104</v>
      </c>
      <c r="AQ228" s="1" t="s">
        <v>104</v>
      </c>
      <c r="AR228" s="1" t="s">
        <v>104</v>
      </c>
      <c r="AS228" s="1" t="s">
        <v>104</v>
      </c>
      <c r="AU228" s="1" t="s">
        <v>104</v>
      </c>
      <c r="AV228" s="1" t="s">
        <v>104</v>
      </c>
      <c r="AX228" s="1" t="str">
        <f>IFERROR(__xludf.DUMMYFUNCTION("""COMPUTED_VALUE"""),"")</f>
        <v/>
      </c>
      <c r="AZ228" s="1" t="str">
        <f>IFERROR(__xludf.DUMMYFUNCTION("""COMPUTED_VALUE"""),"")</f>
        <v/>
      </c>
      <c r="BB228" s="1" t="s">
        <v>104</v>
      </c>
      <c r="BC228" s="1" t="s">
        <v>104</v>
      </c>
      <c r="BE228" s="1" t="s">
        <v>104</v>
      </c>
      <c r="BG228" s="1" t="s">
        <v>104</v>
      </c>
      <c r="BH228" s="1" t="s">
        <v>104</v>
      </c>
      <c r="BI228" s="1" t="s">
        <v>104</v>
      </c>
      <c r="BJ228" s="1" t="s">
        <v>104</v>
      </c>
      <c r="BK228" s="1" t="s">
        <v>104</v>
      </c>
      <c r="BL228" s="1" t="s">
        <v>104</v>
      </c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N229" s="1" t="s">
        <v>104</v>
      </c>
      <c r="AO229" s="1" t="s">
        <v>104</v>
      </c>
      <c r="AP229" s="1" t="s">
        <v>104</v>
      </c>
      <c r="AQ229" s="1" t="s">
        <v>104</v>
      </c>
      <c r="AR229" s="1" t="s">
        <v>104</v>
      </c>
      <c r="AS229" s="1" t="s">
        <v>104</v>
      </c>
      <c r="AU229" s="1" t="s">
        <v>104</v>
      </c>
      <c r="AV229" s="1" t="s">
        <v>104</v>
      </c>
      <c r="AX229" s="1" t="str">
        <f>IFERROR(__xludf.DUMMYFUNCTION("""COMPUTED_VALUE"""),"")</f>
        <v/>
      </c>
      <c r="AZ229" s="1" t="str">
        <f>IFERROR(__xludf.DUMMYFUNCTION("""COMPUTED_VALUE"""),"")</f>
        <v/>
      </c>
      <c r="BB229" s="1" t="s">
        <v>104</v>
      </c>
      <c r="BC229" s="1" t="s">
        <v>104</v>
      </c>
      <c r="BE229" s="1" t="s">
        <v>104</v>
      </c>
      <c r="BG229" s="1" t="s">
        <v>104</v>
      </c>
      <c r="BH229" s="1" t="s">
        <v>104</v>
      </c>
      <c r="BI229" s="1" t="s">
        <v>104</v>
      </c>
      <c r="BJ229" s="1" t="s">
        <v>104</v>
      </c>
      <c r="BK229" s="1" t="s">
        <v>104</v>
      </c>
      <c r="BL229" s="1" t="s">
        <v>104</v>
      </c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N230" s="1" t="s">
        <v>104</v>
      </c>
      <c r="AO230" s="1" t="s">
        <v>104</v>
      </c>
      <c r="AP230" s="1" t="s">
        <v>104</v>
      </c>
      <c r="AQ230" s="1" t="s">
        <v>104</v>
      </c>
      <c r="AR230" s="1" t="s">
        <v>104</v>
      </c>
      <c r="AS230" s="1" t="s">
        <v>104</v>
      </c>
      <c r="AU230" s="1" t="s">
        <v>104</v>
      </c>
      <c r="AV230" s="1" t="s">
        <v>104</v>
      </c>
      <c r="AX230" s="1" t="str">
        <f>IFERROR(__xludf.DUMMYFUNCTION("""COMPUTED_VALUE"""),"")</f>
        <v/>
      </c>
      <c r="AZ230" s="1" t="str">
        <f>IFERROR(__xludf.DUMMYFUNCTION("""COMPUTED_VALUE"""),"")</f>
        <v/>
      </c>
      <c r="BB230" s="1" t="s">
        <v>104</v>
      </c>
      <c r="BC230" s="1" t="s">
        <v>104</v>
      </c>
      <c r="BE230" s="1" t="s">
        <v>104</v>
      </c>
      <c r="BG230" s="1" t="s">
        <v>104</v>
      </c>
      <c r="BH230" s="1" t="s">
        <v>104</v>
      </c>
      <c r="BI230" s="1" t="s">
        <v>104</v>
      </c>
      <c r="BJ230" s="1" t="s">
        <v>104</v>
      </c>
      <c r="BK230" s="1" t="s">
        <v>104</v>
      </c>
      <c r="BL230" s="1" t="s">
        <v>104</v>
      </c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N231" s="1" t="s">
        <v>104</v>
      </c>
      <c r="AO231" s="1" t="s">
        <v>104</v>
      </c>
      <c r="AP231" s="1" t="s">
        <v>104</v>
      </c>
      <c r="AQ231" s="1" t="s">
        <v>104</v>
      </c>
      <c r="AR231" s="1" t="s">
        <v>104</v>
      </c>
      <c r="AS231" s="1" t="s">
        <v>104</v>
      </c>
      <c r="AU231" s="1" t="s">
        <v>104</v>
      </c>
      <c r="AV231" s="1" t="s">
        <v>104</v>
      </c>
      <c r="AX231" s="1" t="str">
        <f>IFERROR(__xludf.DUMMYFUNCTION("""COMPUTED_VALUE"""),"")</f>
        <v/>
      </c>
      <c r="AZ231" s="1" t="str">
        <f>IFERROR(__xludf.DUMMYFUNCTION("""COMPUTED_VALUE"""),"")</f>
        <v/>
      </c>
      <c r="BB231" s="1" t="s">
        <v>104</v>
      </c>
      <c r="BC231" s="1" t="s">
        <v>104</v>
      </c>
      <c r="BE231" s="1" t="s">
        <v>104</v>
      </c>
      <c r="BG231" s="1" t="s">
        <v>104</v>
      </c>
      <c r="BH231" s="1" t="s">
        <v>104</v>
      </c>
      <c r="BI231" s="1" t="s">
        <v>104</v>
      </c>
      <c r="BJ231" s="1" t="s">
        <v>104</v>
      </c>
      <c r="BK231" s="1" t="s">
        <v>104</v>
      </c>
      <c r="BL231" s="1" t="s">
        <v>104</v>
      </c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N232" s="1" t="s">
        <v>104</v>
      </c>
      <c r="AO232" s="1" t="s">
        <v>104</v>
      </c>
      <c r="AP232" s="1" t="s">
        <v>104</v>
      </c>
      <c r="AQ232" s="1" t="s">
        <v>104</v>
      </c>
      <c r="AR232" s="1" t="s">
        <v>104</v>
      </c>
      <c r="AS232" s="1" t="s">
        <v>104</v>
      </c>
      <c r="AU232" s="1" t="s">
        <v>104</v>
      </c>
      <c r="AV232" s="1" t="s">
        <v>104</v>
      </c>
      <c r="AX232" s="1" t="str">
        <f>IFERROR(__xludf.DUMMYFUNCTION("""COMPUTED_VALUE"""),"")</f>
        <v/>
      </c>
      <c r="AZ232" s="1" t="str">
        <f>IFERROR(__xludf.DUMMYFUNCTION("""COMPUTED_VALUE"""),"")</f>
        <v/>
      </c>
      <c r="BB232" s="1" t="s">
        <v>104</v>
      </c>
      <c r="BC232" s="1" t="s">
        <v>104</v>
      </c>
      <c r="BE232" s="1" t="s">
        <v>104</v>
      </c>
      <c r="BG232" s="1" t="s">
        <v>104</v>
      </c>
      <c r="BH232" s="1" t="s">
        <v>104</v>
      </c>
      <c r="BI232" s="1" t="s">
        <v>104</v>
      </c>
      <c r="BJ232" s="1" t="s">
        <v>104</v>
      </c>
      <c r="BK232" s="1" t="s">
        <v>104</v>
      </c>
      <c r="BL232" s="1" t="s">
        <v>104</v>
      </c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N233" s="1" t="s">
        <v>104</v>
      </c>
      <c r="AO233" s="1" t="s">
        <v>104</v>
      </c>
      <c r="AP233" s="1" t="s">
        <v>104</v>
      </c>
      <c r="AQ233" s="1" t="s">
        <v>104</v>
      </c>
      <c r="AR233" s="1" t="s">
        <v>104</v>
      </c>
      <c r="AS233" s="1" t="s">
        <v>104</v>
      </c>
      <c r="AU233" s="1" t="s">
        <v>104</v>
      </c>
      <c r="AV233" s="1" t="s">
        <v>104</v>
      </c>
      <c r="AX233" s="1" t="str">
        <f>IFERROR(__xludf.DUMMYFUNCTION("""COMPUTED_VALUE"""),"")</f>
        <v/>
      </c>
      <c r="AZ233" s="1" t="str">
        <f>IFERROR(__xludf.DUMMYFUNCTION("""COMPUTED_VALUE"""),"")</f>
        <v/>
      </c>
      <c r="BB233" s="1" t="s">
        <v>104</v>
      </c>
      <c r="BC233" s="1" t="s">
        <v>104</v>
      </c>
      <c r="BE233" s="1" t="s">
        <v>104</v>
      </c>
      <c r="BG233" s="1" t="s">
        <v>104</v>
      </c>
      <c r="BH233" s="1" t="s">
        <v>104</v>
      </c>
      <c r="BI233" s="1" t="s">
        <v>104</v>
      </c>
      <c r="BJ233" s="1" t="s">
        <v>104</v>
      </c>
      <c r="BK233" s="1" t="s">
        <v>104</v>
      </c>
      <c r="BL233" s="1" t="s">
        <v>104</v>
      </c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N234" s="1" t="s">
        <v>104</v>
      </c>
      <c r="AO234" s="1" t="s">
        <v>104</v>
      </c>
      <c r="AP234" s="1" t="s">
        <v>104</v>
      </c>
      <c r="AQ234" s="1" t="s">
        <v>104</v>
      </c>
      <c r="AR234" s="1" t="s">
        <v>104</v>
      </c>
      <c r="AS234" s="1" t="s">
        <v>104</v>
      </c>
      <c r="AU234" s="1" t="s">
        <v>104</v>
      </c>
      <c r="AV234" s="1" t="s">
        <v>104</v>
      </c>
      <c r="AX234" s="1" t="str">
        <f>IFERROR(__xludf.DUMMYFUNCTION("""COMPUTED_VALUE"""),"")</f>
        <v/>
      </c>
      <c r="AZ234" s="1" t="str">
        <f>IFERROR(__xludf.DUMMYFUNCTION("""COMPUTED_VALUE"""),"")</f>
        <v/>
      </c>
      <c r="BB234" s="1" t="s">
        <v>104</v>
      </c>
      <c r="BC234" s="1" t="s">
        <v>104</v>
      </c>
      <c r="BE234" s="1" t="s">
        <v>104</v>
      </c>
      <c r="BG234" s="1" t="s">
        <v>104</v>
      </c>
      <c r="BH234" s="1" t="s">
        <v>104</v>
      </c>
      <c r="BI234" s="1" t="s">
        <v>104</v>
      </c>
      <c r="BJ234" s="1" t="s">
        <v>104</v>
      </c>
      <c r="BK234" s="1" t="s">
        <v>104</v>
      </c>
      <c r="BL234" s="1" t="s">
        <v>104</v>
      </c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N235" s="1" t="s">
        <v>104</v>
      </c>
      <c r="AO235" s="1" t="s">
        <v>104</v>
      </c>
      <c r="AP235" s="1" t="s">
        <v>104</v>
      </c>
      <c r="AQ235" s="1" t="s">
        <v>104</v>
      </c>
      <c r="AR235" s="1" t="s">
        <v>104</v>
      </c>
      <c r="AS235" s="1" t="s">
        <v>104</v>
      </c>
      <c r="AU235" s="1" t="s">
        <v>104</v>
      </c>
      <c r="AV235" s="1" t="s">
        <v>104</v>
      </c>
      <c r="AX235" s="1" t="str">
        <f>IFERROR(__xludf.DUMMYFUNCTION("""COMPUTED_VALUE"""),"")</f>
        <v/>
      </c>
      <c r="AZ235" s="1" t="str">
        <f>IFERROR(__xludf.DUMMYFUNCTION("""COMPUTED_VALUE"""),"")</f>
        <v/>
      </c>
      <c r="BB235" s="1" t="s">
        <v>104</v>
      </c>
      <c r="BC235" s="1" t="s">
        <v>104</v>
      </c>
      <c r="BE235" s="1" t="s">
        <v>104</v>
      </c>
      <c r="BG235" s="1" t="s">
        <v>104</v>
      </c>
      <c r="BH235" s="1" t="s">
        <v>104</v>
      </c>
      <c r="BI235" s="1" t="s">
        <v>104</v>
      </c>
      <c r="BJ235" s="1" t="s">
        <v>104</v>
      </c>
      <c r="BK235" s="1" t="s">
        <v>104</v>
      </c>
      <c r="BL235" s="1" t="s">
        <v>104</v>
      </c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N236" s="1" t="s">
        <v>104</v>
      </c>
      <c r="AO236" s="1" t="s">
        <v>104</v>
      </c>
      <c r="AP236" s="1" t="s">
        <v>104</v>
      </c>
      <c r="AQ236" s="1" t="s">
        <v>104</v>
      </c>
      <c r="AR236" s="1" t="s">
        <v>104</v>
      </c>
      <c r="AS236" s="1" t="s">
        <v>104</v>
      </c>
      <c r="AU236" s="1" t="s">
        <v>104</v>
      </c>
      <c r="AV236" s="1" t="s">
        <v>104</v>
      </c>
      <c r="AX236" s="1" t="str">
        <f>IFERROR(__xludf.DUMMYFUNCTION("""COMPUTED_VALUE"""),"")</f>
        <v/>
      </c>
      <c r="AZ236" s="1" t="str">
        <f>IFERROR(__xludf.DUMMYFUNCTION("""COMPUTED_VALUE"""),"")</f>
        <v/>
      </c>
      <c r="BB236" s="1" t="s">
        <v>104</v>
      </c>
      <c r="BC236" s="1" t="s">
        <v>104</v>
      </c>
      <c r="BE236" s="1" t="s">
        <v>104</v>
      </c>
      <c r="BG236" s="1" t="s">
        <v>104</v>
      </c>
      <c r="BH236" s="1" t="s">
        <v>104</v>
      </c>
      <c r="BI236" s="1" t="s">
        <v>104</v>
      </c>
      <c r="BJ236" s="1" t="s">
        <v>104</v>
      </c>
      <c r="BK236" s="1" t="s">
        <v>104</v>
      </c>
      <c r="BL236" s="1" t="s">
        <v>104</v>
      </c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N237" s="1" t="s">
        <v>104</v>
      </c>
      <c r="AO237" s="1" t="s">
        <v>104</v>
      </c>
      <c r="AP237" s="1" t="s">
        <v>104</v>
      </c>
      <c r="AQ237" s="1" t="s">
        <v>104</v>
      </c>
      <c r="AR237" s="1" t="s">
        <v>104</v>
      </c>
      <c r="AS237" s="1" t="s">
        <v>104</v>
      </c>
      <c r="AU237" s="1" t="s">
        <v>104</v>
      </c>
      <c r="AV237" s="1" t="s">
        <v>104</v>
      </c>
      <c r="AX237" s="1" t="str">
        <f>IFERROR(__xludf.DUMMYFUNCTION("""COMPUTED_VALUE"""),"")</f>
        <v/>
      </c>
      <c r="AZ237" s="1" t="str">
        <f>IFERROR(__xludf.DUMMYFUNCTION("""COMPUTED_VALUE"""),"")</f>
        <v/>
      </c>
      <c r="BB237" s="1" t="s">
        <v>104</v>
      </c>
      <c r="BC237" s="1" t="s">
        <v>104</v>
      </c>
      <c r="BE237" s="1" t="s">
        <v>104</v>
      </c>
      <c r="BG237" s="1" t="s">
        <v>104</v>
      </c>
      <c r="BH237" s="1" t="s">
        <v>104</v>
      </c>
      <c r="BI237" s="1" t="s">
        <v>104</v>
      </c>
      <c r="BJ237" s="1" t="s">
        <v>104</v>
      </c>
      <c r="BK237" s="1" t="s">
        <v>104</v>
      </c>
      <c r="BL237" s="1" t="s">
        <v>104</v>
      </c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N238" s="1" t="s">
        <v>104</v>
      </c>
      <c r="AO238" s="1" t="s">
        <v>104</v>
      </c>
      <c r="AP238" s="1" t="s">
        <v>104</v>
      </c>
      <c r="AQ238" s="1" t="s">
        <v>104</v>
      </c>
      <c r="AR238" s="1" t="s">
        <v>104</v>
      </c>
      <c r="AS238" s="1" t="s">
        <v>104</v>
      </c>
      <c r="AU238" s="1" t="s">
        <v>104</v>
      </c>
      <c r="AV238" s="1" t="s">
        <v>104</v>
      </c>
      <c r="AX238" s="1" t="str">
        <f>IFERROR(__xludf.DUMMYFUNCTION("""COMPUTED_VALUE"""),"")</f>
        <v/>
      </c>
      <c r="AZ238" s="1" t="str">
        <f>IFERROR(__xludf.DUMMYFUNCTION("""COMPUTED_VALUE"""),"")</f>
        <v/>
      </c>
      <c r="BB238" s="1" t="s">
        <v>104</v>
      </c>
      <c r="BC238" s="1" t="s">
        <v>104</v>
      </c>
      <c r="BE238" s="1" t="s">
        <v>104</v>
      </c>
      <c r="BG238" s="1" t="s">
        <v>104</v>
      </c>
      <c r="BH238" s="1" t="s">
        <v>104</v>
      </c>
      <c r="BI238" s="1" t="s">
        <v>104</v>
      </c>
      <c r="BJ238" s="1" t="s">
        <v>104</v>
      </c>
      <c r="BK238" s="1" t="s">
        <v>104</v>
      </c>
      <c r="BL238" s="1" t="s">
        <v>104</v>
      </c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N239" s="1" t="s">
        <v>104</v>
      </c>
      <c r="AO239" s="1" t="s">
        <v>104</v>
      </c>
      <c r="AP239" s="1" t="s">
        <v>104</v>
      </c>
      <c r="AQ239" s="1" t="s">
        <v>104</v>
      </c>
      <c r="AR239" s="1" t="s">
        <v>104</v>
      </c>
      <c r="AS239" s="1" t="s">
        <v>104</v>
      </c>
      <c r="AU239" s="1" t="s">
        <v>104</v>
      </c>
      <c r="AV239" s="1" t="s">
        <v>104</v>
      </c>
      <c r="AX239" s="1" t="str">
        <f>IFERROR(__xludf.DUMMYFUNCTION("""COMPUTED_VALUE"""),"")</f>
        <v/>
      </c>
      <c r="AZ239" s="1" t="str">
        <f>IFERROR(__xludf.DUMMYFUNCTION("""COMPUTED_VALUE"""),"")</f>
        <v/>
      </c>
      <c r="BB239" s="1" t="s">
        <v>104</v>
      </c>
      <c r="BC239" s="1" t="s">
        <v>104</v>
      </c>
      <c r="BE239" s="1" t="s">
        <v>104</v>
      </c>
      <c r="BG239" s="1" t="s">
        <v>104</v>
      </c>
      <c r="BH239" s="1" t="s">
        <v>104</v>
      </c>
      <c r="BI239" s="1" t="s">
        <v>104</v>
      </c>
      <c r="BJ239" s="1" t="s">
        <v>104</v>
      </c>
      <c r="BK239" s="1" t="s">
        <v>104</v>
      </c>
      <c r="BL239" s="1" t="s">
        <v>104</v>
      </c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N240" s="1" t="s">
        <v>104</v>
      </c>
      <c r="AO240" s="1" t="s">
        <v>104</v>
      </c>
      <c r="AP240" s="1" t="s">
        <v>104</v>
      </c>
      <c r="AQ240" s="1" t="s">
        <v>104</v>
      </c>
      <c r="AR240" s="1" t="s">
        <v>104</v>
      </c>
      <c r="AS240" s="1" t="s">
        <v>104</v>
      </c>
      <c r="AU240" s="1" t="s">
        <v>104</v>
      </c>
      <c r="AV240" s="1" t="s">
        <v>104</v>
      </c>
      <c r="AX240" s="1" t="str">
        <f>IFERROR(__xludf.DUMMYFUNCTION("""COMPUTED_VALUE"""),"")</f>
        <v/>
      </c>
      <c r="AZ240" s="1" t="str">
        <f>IFERROR(__xludf.DUMMYFUNCTION("""COMPUTED_VALUE"""),"")</f>
        <v/>
      </c>
      <c r="BB240" s="1" t="s">
        <v>104</v>
      </c>
      <c r="BC240" s="1" t="s">
        <v>104</v>
      </c>
      <c r="BE240" s="1" t="s">
        <v>104</v>
      </c>
      <c r="BG240" s="1" t="s">
        <v>104</v>
      </c>
      <c r="BH240" s="1" t="s">
        <v>104</v>
      </c>
      <c r="BI240" s="1" t="s">
        <v>104</v>
      </c>
      <c r="BJ240" s="1" t="s">
        <v>104</v>
      </c>
      <c r="BK240" s="1" t="s">
        <v>104</v>
      </c>
      <c r="BL240" s="1" t="s">
        <v>104</v>
      </c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N241" s="1" t="s">
        <v>104</v>
      </c>
      <c r="AO241" s="1" t="s">
        <v>104</v>
      </c>
      <c r="AP241" s="1" t="s">
        <v>104</v>
      </c>
      <c r="AQ241" s="1" t="s">
        <v>104</v>
      </c>
      <c r="AR241" s="1" t="s">
        <v>104</v>
      </c>
      <c r="AS241" s="1" t="s">
        <v>104</v>
      </c>
      <c r="AU241" s="1" t="s">
        <v>104</v>
      </c>
      <c r="AV241" s="1" t="s">
        <v>104</v>
      </c>
      <c r="AX241" s="1" t="str">
        <f>IFERROR(__xludf.DUMMYFUNCTION("""COMPUTED_VALUE"""),"")</f>
        <v/>
      </c>
      <c r="AZ241" s="1" t="str">
        <f>IFERROR(__xludf.DUMMYFUNCTION("""COMPUTED_VALUE"""),"")</f>
        <v/>
      </c>
      <c r="BB241" s="1" t="s">
        <v>104</v>
      </c>
      <c r="BC241" s="1" t="s">
        <v>104</v>
      </c>
      <c r="BE241" s="1" t="s">
        <v>104</v>
      </c>
      <c r="BG241" s="1" t="s">
        <v>104</v>
      </c>
      <c r="BH241" s="1" t="s">
        <v>104</v>
      </c>
      <c r="BI241" s="1" t="s">
        <v>104</v>
      </c>
      <c r="BJ241" s="1" t="s">
        <v>104</v>
      </c>
      <c r="BK241" s="1" t="s">
        <v>104</v>
      </c>
      <c r="BL241" s="1" t="s">
        <v>104</v>
      </c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N242" s="1" t="s">
        <v>104</v>
      </c>
      <c r="AO242" s="1" t="s">
        <v>104</v>
      </c>
      <c r="AP242" s="1" t="s">
        <v>104</v>
      </c>
      <c r="AQ242" s="1" t="s">
        <v>104</v>
      </c>
      <c r="AR242" s="1" t="s">
        <v>104</v>
      </c>
      <c r="AS242" s="1" t="s">
        <v>104</v>
      </c>
      <c r="AU242" s="1" t="s">
        <v>104</v>
      </c>
      <c r="AV242" s="1" t="s">
        <v>104</v>
      </c>
      <c r="AX242" s="1" t="str">
        <f>IFERROR(__xludf.DUMMYFUNCTION("""COMPUTED_VALUE"""),"")</f>
        <v/>
      </c>
      <c r="AZ242" s="1" t="str">
        <f>IFERROR(__xludf.DUMMYFUNCTION("""COMPUTED_VALUE"""),"")</f>
        <v/>
      </c>
      <c r="BB242" s="1" t="s">
        <v>104</v>
      </c>
      <c r="BC242" s="1" t="s">
        <v>104</v>
      </c>
      <c r="BE242" s="1" t="s">
        <v>104</v>
      </c>
      <c r="BG242" s="1" t="s">
        <v>104</v>
      </c>
      <c r="BH242" s="1" t="s">
        <v>104</v>
      </c>
      <c r="BI242" s="1" t="s">
        <v>104</v>
      </c>
      <c r="BJ242" s="1" t="s">
        <v>104</v>
      </c>
      <c r="BK242" s="1" t="s">
        <v>104</v>
      </c>
      <c r="BL242" s="1" t="s">
        <v>104</v>
      </c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N243" s="1" t="s">
        <v>104</v>
      </c>
      <c r="AO243" s="1" t="s">
        <v>104</v>
      </c>
      <c r="AP243" s="1" t="s">
        <v>104</v>
      </c>
      <c r="AQ243" s="1" t="s">
        <v>104</v>
      </c>
      <c r="AR243" s="1" t="s">
        <v>104</v>
      </c>
      <c r="AS243" s="1" t="s">
        <v>104</v>
      </c>
      <c r="AU243" s="1" t="s">
        <v>104</v>
      </c>
      <c r="AV243" s="1" t="s">
        <v>104</v>
      </c>
      <c r="AX243" s="1" t="str">
        <f>IFERROR(__xludf.DUMMYFUNCTION("""COMPUTED_VALUE"""),"")</f>
        <v/>
      </c>
      <c r="AZ243" s="1" t="str">
        <f>IFERROR(__xludf.DUMMYFUNCTION("""COMPUTED_VALUE"""),"")</f>
        <v/>
      </c>
      <c r="BB243" s="1" t="s">
        <v>104</v>
      </c>
      <c r="BC243" s="1" t="s">
        <v>104</v>
      </c>
      <c r="BE243" s="1" t="s">
        <v>104</v>
      </c>
      <c r="BG243" s="1" t="s">
        <v>104</v>
      </c>
      <c r="BH243" s="1" t="s">
        <v>104</v>
      </c>
      <c r="BI243" s="1" t="s">
        <v>104</v>
      </c>
      <c r="BJ243" s="1" t="s">
        <v>104</v>
      </c>
      <c r="BK243" s="1" t="s">
        <v>104</v>
      </c>
      <c r="BL243" s="1" t="s">
        <v>104</v>
      </c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N244" s="1" t="s">
        <v>104</v>
      </c>
      <c r="AO244" s="1" t="s">
        <v>104</v>
      </c>
      <c r="AP244" s="1" t="s">
        <v>104</v>
      </c>
      <c r="AQ244" s="1" t="s">
        <v>104</v>
      </c>
      <c r="AR244" s="1" t="s">
        <v>104</v>
      </c>
      <c r="AS244" s="1" t="s">
        <v>104</v>
      </c>
      <c r="AU244" s="1" t="s">
        <v>104</v>
      </c>
      <c r="AV244" s="1" t="s">
        <v>104</v>
      </c>
      <c r="AX244" s="1" t="str">
        <f>IFERROR(__xludf.DUMMYFUNCTION("""COMPUTED_VALUE"""),"")</f>
        <v/>
      </c>
      <c r="AZ244" s="1" t="str">
        <f>IFERROR(__xludf.DUMMYFUNCTION("""COMPUTED_VALUE"""),"")</f>
        <v/>
      </c>
      <c r="BB244" s="1" t="s">
        <v>104</v>
      </c>
      <c r="BC244" s="1" t="s">
        <v>104</v>
      </c>
      <c r="BE244" s="1" t="s">
        <v>104</v>
      </c>
      <c r="BG244" s="1" t="s">
        <v>104</v>
      </c>
      <c r="BH244" s="1" t="s">
        <v>104</v>
      </c>
      <c r="BI244" s="1" t="s">
        <v>104</v>
      </c>
      <c r="BJ244" s="1" t="s">
        <v>104</v>
      </c>
      <c r="BK244" s="1" t="s">
        <v>104</v>
      </c>
      <c r="BL244" s="1" t="s">
        <v>104</v>
      </c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N245" s="1" t="s">
        <v>104</v>
      </c>
      <c r="AO245" s="1" t="s">
        <v>104</v>
      </c>
      <c r="AP245" s="1" t="s">
        <v>104</v>
      </c>
      <c r="AQ245" s="1" t="s">
        <v>104</v>
      </c>
      <c r="AR245" s="1" t="s">
        <v>104</v>
      </c>
      <c r="AS245" s="1" t="s">
        <v>104</v>
      </c>
      <c r="AU245" s="1" t="s">
        <v>104</v>
      </c>
      <c r="AV245" s="1" t="s">
        <v>104</v>
      </c>
      <c r="AX245" s="1" t="str">
        <f>IFERROR(__xludf.DUMMYFUNCTION("""COMPUTED_VALUE"""),"")</f>
        <v/>
      </c>
      <c r="AZ245" s="1" t="str">
        <f>IFERROR(__xludf.DUMMYFUNCTION("""COMPUTED_VALUE"""),"")</f>
        <v/>
      </c>
      <c r="BB245" s="1" t="s">
        <v>104</v>
      </c>
      <c r="BC245" s="1" t="s">
        <v>104</v>
      </c>
      <c r="BE245" s="1" t="s">
        <v>104</v>
      </c>
      <c r="BG245" s="1" t="s">
        <v>104</v>
      </c>
      <c r="BH245" s="1" t="s">
        <v>104</v>
      </c>
      <c r="BI245" s="1" t="s">
        <v>104</v>
      </c>
      <c r="BJ245" s="1" t="s">
        <v>104</v>
      </c>
      <c r="BK245" s="1" t="s">
        <v>104</v>
      </c>
      <c r="BL245" s="1" t="s">
        <v>104</v>
      </c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N246" s="1" t="s">
        <v>104</v>
      </c>
      <c r="AO246" s="1" t="s">
        <v>104</v>
      </c>
      <c r="AP246" s="1" t="s">
        <v>104</v>
      </c>
      <c r="AQ246" s="1" t="s">
        <v>104</v>
      </c>
      <c r="AR246" s="1" t="s">
        <v>104</v>
      </c>
      <c r="AS246" s="1" t="s">
        <v>104</v>
      </c>
      <c r="AU246" s="1" t="s">
        <v>104</v>
      </c>
      <c r="AV246" s="1" t="s">
        <v>104</v>
      </c>
      <c r="AX246" s="1" t="str">
        <f>IFERROR(__xludf.DUMMYFUNCTION("""COMPUTED_VALUE"""),"")</f>
        <v/>
      </c>
      <c r="AZ246" s="1" t="str">
        <f>IFERROR(__xludf.DUMMYFUNCTION("""COMPUTED_VALUE"""),"")</f>
        <v/>
      </c>
      <c r="BB246" s="1" t="s">
        <v>104</v>
      </c>
      <c r="BC246" s="1" t="s">
        <v>104</v>
      </c>
      <c r="BE246" s="1" t="s">
        <v>104</v>
      </c>
      <c r="BG246" s="1" t="s">
        <v>104</v>
      </c>
      <c r="BH246" s="1" t="s">
        <v>104</v>
      </c>
      <c r="BI246" s="1" t="s">
        <v>104</v>
      </c>
      <c r="BJ246" s="1" t="s">
        <v>104</v>
      </c>
      <c r="BK246" s="1" t="s">
        <v>104</v>
      </c>
      <c r="BL246" s="1" t="s">
        <v>104</v>
      </c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N247" s="1" t="s">
        <v>104</v>
      </c>
      <c r="AO247" s="1" t="s">
        <v>104</v>
      </c>
      <c r="AP247" s="1" t="s">
        <v>104</v>
      </c>
      <c r="AQ247" s="1" t="s">
        <v>104</v>
      </c>
      <c r="AR247" s="1" t="s">
        <v>104</v>
      </c>
      <c r="AS247" s="1" t="s">
        <v>104</v>
      </c>
      <c r="AU247" s="1" t="s">
        <v>104</v>
      </c>
      <c r="AV247" s="1" t="s">
        <v>104</v>
      </c>
      <c r="AX247" s="1" t="str">
        <f>IFERROR(__xludf.DUMMYFUNCTION("""COMPUTED_VALUE"""),"")</f>
        <v/>
      </c>
      <c r="AZ247" s="1" t="str">
        <f>IFERROR(__xludf.DUMMYFUNCTION("""COMPUTED_VALUE"""),"")</f>
        <v/>
      </c>
      <c r="BB247" s="1" t="s">
        <v>104</v>
      </c>
      <c r="BC247" s="1" t="s">
        <v>104</v>
      </c>
      <c r="BE247" s="1" t="s">
        <v>104</v>
      </c>
      <c r="BG247" s="1" t="s">
        <v>104</v>
      </c>
      <c r="BH247" s="1" t="s">
        <v>104</v>
      </c>
      <c r="BI247" s="1" t="s">
        <v>104</v>
      </c>
      <c r="BJ247" s="1" t="s">
        <v>104</v>
      </c>
      <c r="BK247" s="1" t="s">
        <v>104</v>
      </c>
      <c r="BL247" s="1" t="s">
        <v>104</v>
      </c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N248" s="1" t="s">
        <v>104</v>
      </c>
      <c r="AO248" s="1" t="s">
        <v>104</v>
      </c>
      <c r="AP248" s="1" t="s">
        <v>104</v>
      </c>
      <c r="AQ248" s="1" t="s">
        <v>104</v>
      </c>
      <c r="AR248" s="1" t="s">
        <v>104</v>
      </c>
      <c r="AS248" s="1" t="s">
        <v>104</v>
      </c>
      <c r="AU248" s="1" t="s">
        <v>104</v>
      </c>
      <c r="AV248" s="1" t="s">
        <v>104</v>
      </c>
      <c r="AX248" s="1" t="str">
        <f>IFERROR(__xludf.DUMMYFUNCTION("""COMPUTED_VALUE"""),"")</f>
        <v/>
      </c>
      <c r="AZ248" s="1" t="str">
        <f>IFERROR(__xludf.DUMMYFUNCTION("""COMPUTED_VALUE"""),"")</f>
        <v/>
      </c>
      <c r="BB248" s="1" t="s">
        <v>104</v>
      </c>
      <c r="BC248" s="1" t="s">
        <v>104</v>
      </c>
      <c r="BE248" s="1" t="s">
        <v>104</v>
      </c>
      <c r="BG248" s="1" t="s">
        <v>104</v>
      </c>
      <c r="BH248" s="1" t="s">
        <v>104</v>
      </c>
      <c r="BI248" s="1" t="s">
        <v>104</v>
      </c>
      <c r="BJ248" s="1" t="s">
        <v>104</v>
      </c>
      <c r="BK248" s="1" t="s">
        <v>104</v>
      </c>
      <c r="BL248" s="1" t="s">
        <v>104</v>
      </c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N249" s="1" t="s">
        <v>104</v>
      </c>
      <c r="AO249" s="1" t="s">
        <v>104</v>
      </c>
      <c r="AP249" s="1" t="s">
        <v>104</v>
      </c>
      <c r="AQ249" s="1" t="s">
        <v>104</v>
      </c>
      <c r="AR249" s="1" t="s">
        <v>104</v>
      </c>
      <c r="AS249" s="1" t="s">
        <v>104</v>
      </c>
      <c r="AU249" s="1" t="s">
        <v>104</v>
      </c>
      <c r="AV249" s="1" t="s">
        <v>104</v>
      </c>
      <c r="AX249" s="1" t="str">
        <f>IFERROR(__xludf.DUMMYFUNCTION("""COMPUTED_VALUE"""),"")</f>
        <v/>
      </c>
      <c r="AZ249" s="1" t="str">
        <f>IFERROR(__xludf.DUMMYFUNCTION("""COMPUTED_VALUE"""),"")</f>
        <v/>
      </c>
      <c r="BB249" s="1" t="s">
        <v>104</v>
      </c>
      <c r="BC249" s="1" t="s">
        <v>104</v>
      </c>
      <c r="BE249" s="1" t="s">
        <v>104</v>
      </c>
      <c r="BG249" s="1" t="s">
        <v>104</v>
      </c>
      <c r="BH249" s="1" t="s">
        <v>104</v>
      </c>
      <c r="BI249" s="1" t="s">
        <v>104</v>
      </c>
      <c r="BJ249" s="1" t="s">
        <v>104</v>
      </c>
      <c r="BK249" s="1" t="s">
        <v>104</v>
      </c>
      <c r="BL249" s="1" t="s">
        <v>104</v>
      </c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N250" s="1" t="s">
        <v>104</v>
      </c>
      <c r="AO250" s="1" t="s">
        <v>104</v>
      </c>
      <c r="AP250" s="1" t="s">
        <v>104</v>
      </c>
      <c r="AQ250" s="1" t="s">
        <v>104</v>
      </c>
      <c r="AR250" s="1" t="s">
        <v>104</v>
      </c>
      <c r="AS250" s="1" t="s">
        <v>104</v>
      </c>
      <c r="AU250" s="1" t="s">
        <v>104</v>
      </c>
      <c r="AV250" s="1" t="s">
        <v>104</v>
      </c>
      <c r="AX250" s="1" t="str">
        <f>IFERROR(__xludf.DUMMYFUNCTION("""COMPUTED_VALUE"""),"")</f>
        <v/>
      </c>
      <c r="AZ250" s="1" t="str">
        <f>IFERROR(__xludf.DUMMYFUNCTION("""COMPUTED_VALUE"""),"")</f>
        <v/>
      </c>
      <c r="BB250" s="1" t="s">
        <v>104</v>
      </c>
      <c r="BC250" s="1" t="s">
        <v>104</v>
      </c>
      <c r="BE250" s="1" t="s">
        <v>104</v>
      </c>
      <c r="BG250" s="1" t="s">
        <v>104</v>
      </c>
      <c r="BH250" s="1" t="s">
        <v>104</v>
      </c>
      <c r="BI250" s="1" t="s">
        <v>104</v>
      </c>
      <c r="BJ250" s="1" t="s">
        <v>104</v>
      </c>
      <c r="BK250" s="1" t="s">
        <v>104</v>
      </c>
      <c r="BL250" s="1" t="s">
        <v>104</v>
      </c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N251" s="1" t="s">
        <v>104</v>
      </c>
      <c r="AO251" s="1" t="s">
        <v>104</v>
      </c>
      <c r="AP251" s="1" t="s">
        <v>104</v>
      </c>
      <c r="AQ251" s="1" t="s">
        <v>104</v>
      </c>
      <c r="AR251" s="1" t="s">
        <v>104</v>
      </c>
      <c r="AS251" s="1" t="s">
        <v>104</v>
      </c>
      <c r="AU251" s="1" t="s">
        <v>104</v>
      </c>
      <c r="AV251" s="1" t="s">
        <v>104</v>
      </c>
      <c r="AX251" s="1" t="str">
        <f>IFERROR(__xludf.DUMMYFUNCTION("""COMPUTED_VALUE"""),"")</f>
        <v/>
      </c>
      <c r="AZ251" s="1" t="str">
        <f>IFERROR(__xludf.DUMMYFUNCTION("""COMPUTED_VALUE"""),"")</f>
        <v/>
      </c>
      <c r="BB251" s="1" t="s">
        <v>104</v>
      </c>
      <c r="BC251" s="1" t="s">
        <v>104</v>
      </c>
      <c r="BE251" s="1" t="s">
        <v>104</v>
      </c>
      <c r="BG251" s="1" t="s">
        <v>104</v>
      </c>
      <c r="BH251" s="1" t="s">
        <v>104</v>
      </c>
      <c r="BI251" s="1" t="s">
        <v>104</v>
      </c>
      <c r="BJ251" s="1" t="s">
        <v>104</v>
      </c>
      <c r="BK251" s="1" t="s">
        <v>104</v>
      </c>
      <c r="BL251" s="1" t="s">
        <v>104</v>
      </c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N252" s="1" t="s">
        <v>104</v>
      </c>
      <c r="AO252" s="1" t="s">
        <v>104</v>
      </c>
      <c r="AP252" s="1" t="s">
        <v>104</v>
      </c>
      <c r="AQ252" s="1" t="s">
        <v>104</v>
      </c>
      <c r="AR252" s="1" t="s">
        <v>104</v>
      </c>
      <c r="AS252" s="1" t="s">
        <v>104</v>
      </c>
      <c r="AU252" s="1" t="s">
        <v>104</v>
      </c>
      <c r="AV252" s="1" t="s">
        <v>104</v>
      </c>
      <c r="AX252" s="1" t="str">
        <f>IFERROR(__xludf.DUMMYFUNCTION("""COMPUTED_VALUE"""),"")</f>
        <v/>
      </c>
      <c r="AZ252" s="1" t="str">
        <f>IFERROR(__xludf.DUMMYFUNCTION("""COMPUTED_VALUE"""),"")</f>
        <v/>
      </c>
      <c r="BB252" s="1" t="s">
        <v>104</v>
      </c>
      <c r="BC252" s="1" t="s">
        <v>104</v>
      </c>
      <c r="BE252" s="1" t="s">
        <v>104</v>
      </c>
      <c r="BG252" s="1" t="s">
        <v>104</v>
      </c>
      <c r="BH252" s="1" t="s">
        <v>104</v>
      </c>
      <c r="BI252" s="1" t="s">
        <v>104</v>
      </c>
      <c r="BJ252" s="1" t="s">
        <v>104</v>
      </c>
      <c r="BK252" s="1" t="s">
        <v>104</v>
      </c>
      <c r="BL252" s="1" t="s">
        <v>104</v>
      </c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N253" s="1" t="s">
        <v>104</v>
      </c>
      <c r="AO253" s="1" t="s">
        <v>104</v>
      </c>
      <c r="AP253" s="1" t="s">
        <v>104</v>
      </c>
      <c r="AQ253" s="1" t="s">
        <v>104</v>
      </c>
      <c r="AR253" s="1" t="s">
        <v>104</v>
      </c>
      <c r="AS253" s="1" t="s">
        <v>104</v>
      </c>
      <c r="AU253" s="1" t="s">
        <v>104</v>
      </c>
      <c r="AV253" s="1" t="s">
        <v>104</v>
      </c>
      <c r="AX253" s="1" t="str">
        <f>IFERROR(__xludf.DUMMYFUNCTION("""COMPUTED_VALUE"""),"")</f>
        <v/>
      </c>
      <c r="AZ253" s="1" t="str">
        <f>IFERROR(__xludf.DUMMYFUNCTION("""COMPUTED_VALUE"""),"")</f>
        <v/>
      </c>
      <c r="BB253" s="1" t="s">
        <v>104</v>
      </c>
      <c r="BC253" s="1" t="s">
        <v>104</v>
      </c>
      <c r="BE253" s="1" t="s">
        <v>104</v>
      </c>
      <c r="BG253" s="1" t="s">
        <v>104</v>
      </c>
      <c r="BH253" s="1" t="s">
        <v>104</v>
      </c>
      <c r="BI253" s="1" t="s">
        <v>104</v>
      </c>
      <c r="BJ253" s="1" t="s">
        <v>104</v>
      </c>
      <c r="BK253" s="1" t="s">
        <v>104</v>
      </c>
      <c r="BL253" s="1" t="s">
        <v>104</v>
      </c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N254" s="1" t="s">
        <v>104</v>
      </c>
      <c r="AO254" s="1" t="s">
        <v>104</v>
      </c>
      <c r="AP254" s="1" t="s">
        <v>104</v>
      </c>
      <c r="AQ254" s="1" t="s">
        <v>104</v>
      </c>
      <c r="AR254" s="1" t="s">
        <v>104</v>
      </c>
      <c r="AS254" s="1" t="s">
        <v>104</v>
      </c>
      <c r="AU254" s="1" t="s">
        <v>104</v>
      </c>
      <c r="AV254" s="1" t="s">
        <v>104</v>
      </c>
      <c r="AX254" s="1" t="str">
        <f>IFERROR(__xludf.DUMMYFUNCTION("""COMPUTED_VALUE"""),"")</f>
        <v/>
      </c>
      <c r="AZ254" s="1" t="str">
        <f>IFERROR(__xludf.DUMMYFUNCTION("""COMPUTED_VALUE"""),"")</f>
        <v/>
      </c>
      <c r="BB254" s="1" t="s">
        <v>104</v>
      </c>
      <c r="BC254" s="1" t="s">
        <v>104</v>
      </c>
      <c r="BE254" s="1" t="s">
        <v>104</v>
      </c>
      <c r="BG254" s="1" t="s">
        <v>104</v>
      </c>
      <c r="BH254" s="1" t="s">
        <v>104</v>
      </c>
      <c r="BI254" s="1" t="s">
        <v>104</v>
      </c>
      <c r="BJ254" s="1" t="s">
        <v>104</v>
      </c>
      <c r="BK254" s="1" t="s">
        <v>104</v>
      </c>
      <c r="BL254" s="1" t="s">
        <v>104</v>
      </c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N255" s="1" t="s">
        <v>104</v>
      </c>
      <c r="AO255" s="1" t="s">
        <v>104</v>
      </c>
      <c r="AP255" s="1" t="s">
        <v>104</v>
      </c>
      <c r="AQ255" s="1" t="s">
        <v>104</v>
      </c>
      <c r="AR255" s="1" t="s">
        <v>104</v>
      </c>
      <c r="AS255" s="1" t="s">
        <v>104</v>
      </c>
      <c r="AU255" s="1" t="s">
        <v>104</v>
      </c>
      <c r="AV255" s="1" t="s">
        <v>104</v>
      </c>
      <c r="AX255" s="1" t="str">
        <f>IFERROR(__xludf.DUMMYFUNCTION("""COMPUTED_VALUE"""),"")</f>
        <v/>
      </c>
      <c r="AZ255" s="1" t="str">
        <f>IFERROR(__xludf.DUMMYFUNCTION("""COMPUTED_VALUE"""),"")</f>
        <v/>
      </c>
      <c r="BB255" s="1" t="s">
        <v>104</v>
      </c>
      <c r="BC255" s="1" t="s">
        <v>104</v>
      </c>
      <c r="BE255" s="1" t="s">
        <v>104</v>
      </c>
      <c r="BG255" s="1" t="s">
        <v>104</v>
      </c>
      <c r="BH255" s="1" t="s">
        <v>104</v>
      </c>
      <c r="BI255" s="1" t="s">
        <v>104</v>
      </c>
      <c r="BJ255" s="1" t="s">
        <v>104</v>
      </c>
      <c r="BK255" s="1" t="s">
        <v>104</v>
      </c>
      <c r="BL255" s="1" t="s">
        <v>104</v>
      </c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N256" s="1" t="s">
        <v>104</v>
      </c>
      <c r="AO256" s="1" t="s">
        <v>104</v>
      </c>
      <c r="AP256" s="1" t="s">
        <v>104</v>
      </c>
      <c r="AQ256" s="1" t="s">
        <v>104</v>
      </c>
      <c r="AR256" s="1" t="s">
        <v>104</v>
      </c>
      <c r="AS256" s="1" t="s">
        <v>104</v>
      </c>
      <c r="AU256" s="1" t="s">
        <v>104</v>
      </c>
      <c r="AV256" s="1" t="s">
        <v>104</v>
      </c>
      <c r="AX256" s="1" t="str">
        <f>IFERROR(__xludf.DUMMYFUNCTION("""COMPUTED_VALUE"""),"")</f>
        <v/>
      </c>
      <c r="AZ256" s="1" t="str">
        <f>IFERROR(__xludf.DUMMYFUNCTION("""COMPUTED_VALUE"""),"")</f>
        <v/>
      </c>
      <c r="BB256" s="1" t="s">
        <v>104</v>
      </c>
      <c r="BC256" s="1" t="s">
        <v>104</v>
      </c>
      <c r="BE256" s="1" t="s">
        <v>104</v>
      </c>
      <c r="BG256" s="1" t="s">
        <v>104</v>
      </c>
      <c r="BH256" s="1" t="s">
        <v>104</v>
      </c>
      <c r="BI256" s="1" t="s">
        <v>104</v>
      </c>
      <c r="BJ256" s="1" t="s">
        <v>104</v>
      </c>
      <c r="BK256" s="1" t="s">
        <v>104</v>
      </c>
      <c r="BL256" s="1" t="s">
        <v>104</v>
      </c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N257" s="1" t="s">
        <v>104</v>
      </c>
      <c r="AO257" s="1" t="s">
        <v>104</v>
      </c>
      <c r="AP257" s="1" t="s">
        <v>104</v>
      </c>
      <c r="AQ257" s="1" t="s">
        <v>104</v>
      </c>
      <c r="AR257" s="1" t="s">
        <v>104</v>
      </c>
      <c r="AS257" s="1" t="s">
        <v>104</v>
      </c>
      <c r="AU257" s="1" t="s">
        <v>104</v>
      </c>
      <c r="AV257" s="1" t="s">
        <v>104</v>
      </c>
      <c r="AX257" s="1" t="str">
        <f>IFERROR(__xludf.DUMMYFUNCTION("""COMPUTED_VALUE"""),"")</f>
        <v/>
      </c>
      <c r="AZ257" s="1" t="str">
        <f>IFERROR(__xludf.DUMMYFUNCTION("""COMPUTED_VALUE"""),"")</f>
        <v/>
      </c>
      <c r="BB257" s="1" t="s">
        <v>104</v>
      </c>
      <c r="BC257" s="1" t="s">
        <v>104</v>
      </c>
      <c r="BE257" s="1" t="s">
        <v>104</v>
      </c>
      <c r="BG257" s="1" t="s">
        <v>104</v>
      </c>
      <c r="BH257" s="1" t="s">
        <v>104</v>
      </c>
      <c r="BI257" s="1" t="s">
        <v>104</v>
      </c>
      <c r="BJ257" s="1" t="s">
        <v>104</v>
      </c>
      <c r="BK257" s="1" t="s">
        <v>104</v>
      </c>
      <c r="BL257" s="1" t="s">
        <v>104</v>
      </c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N258" s="1" t="s">
        <v>104</v>
      </c>
      <c r="AO258" s="1" t="s">
        <v>104</v>
      </c>
      <c r="AP258" s="1" t="s">
        <v>104</v>
      </c>
      <c r="AQ258" s="1" t="s">
        <v>104</v>
      </c>
      <c r="AR258" s="1" t="s">
        <v>104</v>
      </c>
      <c r="AS258" s="1" t="s">
        <v>104</v>
      </c>
      <c r="AU258" s="1" t="s">
        <v>104</v>
      </c>
      <c r="AV258" s="1" t="s">
        <v>104</v>
      </c>
      <c r="AX258" s="1" t="str">
        <f>IFERROR(__xludf.DUMMYFUNCTION("""COMPUTED_VALUE"""),"")</f>
        <v/>
      </c>
      <c r="AZ258" s="1" t="str">
        <f>IFERROR(__xludf.DUMMYFUNCTION("""COMPUTED_VALUE"""),"")</f>
        <v/>
      </c>
      <c r="BB258" s="1" t="s">
        <v>104</v>
      </c>
      <c r="BC258" s="1" t="s">
        <v>104</v>
      </c>
      <c r="BE258" s="1" t="s">
        <v>104</v>
      </c>
      <c r="BG258" s="1" t="s">
        <v>104</v>
      </c>
      <c r="BH258" s="1" t="s">
        <v>104</v>
      </c>
      <c r="BI258" s="1" t="s">
        <v>104</v>
      </c>
      <c r="BJ258" s="1" t="s">
        <v>104</v>
      </c>
      <c r="BK258" s="1" t="s">
        <v>104</v>
      </c>
      <c r="BL258" s="1" t="s">
        <v>104</v>
      </c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N259" s="1" t="s">
        <v>104</v>
      </c>
      <c r="AO259" s="1" t="s">
        <v>104</v>
      </c>
      <c r="AP259" s="1" t="s">
        <v>104</v>
      </c>
      <c r="AQ259" s="1" t="s">
        <v>104</v>
      </c>
      <c r="AR259" s="1" t="s">
        <v>104</v>
      </c>
      <c r="AS259" s="1" t="s">
        <v>104</v>
      </c>
      <c r="AU259" s="1" t="s">
        <v>104</v>
      </c>
      <c r="AV259" s="1" t="s">
        <v>104</v>
      </c>
      <c r="AX259" s="1" t="str">
        <f>IFERROR(__xludf.DUMMYFUNCTION("""COMPUTED_VALUE"""),"")</f>
        <v/>
      </c>
      <c r="AZ259" s="1" t="str">
        <f>IFERROR(__xludf.DUMMYFUNCTION("""COMPUTED_VALUE"""),"")</f>
        <v/>
      </c>
      <c r="BB259" s="1" t="s">
        <v>104</v>
      </c>
      <c r="BC259" s="1" t="s">
        <v>104</v>
      </c>
      <c r="BE259" s="1" t="s">
        <v>104</v>
      </c>
      <c r="BG259" s="1" t="s">
        <v>104</v>
      </c>
      <c r="BH259" s="1" t="s">
        <v>104</v>
      </c>
      <c r="BI259" s="1" t="s">
        <v>104</v>
      </c>
      <c r="BJ259" s="1" t="s">
        <v>104</v>
      </c>
      <c r="BK259" s="1" t="s">
        <v>104</v>
      </c>
      <c r="BL259" s="1" t="s">
        <v>104</v>
      </c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N260" s="1" t="s">
        <v>104</v>
      </c>
      <c r="AO260" s="1" t="s">
        <v>104</v>
      </c>
      <c r="AP260" s="1" t="s">
        <v>104</v>
      </c>
      <c r="AQ260" s="1" t="s">
        <v>104</v>
      </c>
      <c r="AR260" s="1" t="s">
        <v>104</v>
      </c>
      <c r="AS260" s="1" t="s">
        <v>104</v>
      </c>
      <c r="AU260" s="1" t="s">
        <v>104</v>
      </c>
      <c r="AV260" s="1" t="s">
        <v>104</v>
      </c>
      <c r="AX260" s="1" t="str">
        <f>IFERROR(__xludf.DUMMYFUNCTION("""COMPUTED_VALUE"""),"")</f>
        <v/>
      </c>
      <c r="AZ260" s="1" t="str">
        <f>IFERROR(__xludf.DUMMYFUNCTION("""COMPUTED_VALUE"""),"")</f>
        <v/>
      </c>
      <c r="BB260" s="1" t="s">
        <v>104</v>
      </c>
      <c r="BC260" s="1" t="s">
        <v>104</v>
      </c>
      <c r="BE260" s="1" t="s">
        <v>104</v>
      </c>
      <c r="BG260" s="1" t="s">
        <v>104</v>
      </c>
      <c r="BH260" s="1" t="s">
        <v>104</v>
      </c>
      <c r="BI260" s="1" t="s">
        <v>104</v>
      </c>
      <c r="BJ260" s="1" t="s">
        <v>104</v>
      </c>
      <c r="BK260" s="1" t="s">
        <v>104</v>
      </c>
      <c r="BL260" s="1" t="s">
        <v>104</v>
      </c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N261" s="1" t="s">
        <v>104</v>
      </c>
      <c r="AO261" s="1" t="s">
        <v>104</v>
      </c>
      <c r="AP261" s="1" t="s">
        <v>104</v>
      </c>
      <c r="AQ261" s="1" t="s">
        <v>104</v>
      </c>
      <c r="AR261" s="1" t="s">
        <v>104</v>
      </c>
      <c r="AS261" s="1" t="s">
        <v>104</v>
      </c>
      <c r="AU261" s="1" t="s">
        <v>104</v>
      </c>
      <c r="AV261" s="1" t="s">
        <v>104</v>
      </c>
      <c r="AX261" s="1" t="str">
        <f>IFERROR(__xludf.DUMMYFUNCTION("""COMPUTED_VALUE"""),"")</f>
        <v/>
      </c>
      <c r="AZ261" s="1" t="str">
        <f>IFERROR(__xludf.DUMMYFUNCTION("""COMPUTED_VALUE"""),"")</f>
        <v/>
      </c>
      <c r="BB261" s="1" t="s">
        <v>104</v>
      </c>
      <c r="BC261" s="1" t="s">
        <v>104</v>
      </c>
      <c r="BE261" s="1" t="s">
        <v>104</v>
      </c>
      <c r="BG261" s="1" t="s">
        <v>104</v>
      </c>
      <c r="BH261" s="1" t="s">
        <v>104</v>
      </c>
      <c r="BI261" s="1" t="s">
        <v>104</v>
      </c>
      <c r="BJ261" s="1" t="s">
        <v>104</v>
      </c>
      <c r="BK261" s="1" t="s">
        <v>104</v>
      </c>
      <c r="BL261" s="1" t="s">
        <v>104</v>
      </c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N262" s="1" t="s">
        <v>104</v>
      </c>
      <c r="AO262" s="1" t="s">
        <v>104</v>
      </c>
      <c r="AP262" s="1" t="s">
        <v>104</v>
      </c>
      <c r="AQ262" s="1" t="s">
        <v>104</v>
      </c>
      <c r="AR262" s="1" t="s">
        <v>104</v>
      </c>
      <c r="AS262" s="1" t="s">
        <v>104</v>
      </c>
      <c r="AU262" s="1" t="s">
        <v>104</v>
      </c>
      <c r="AV262" s="1" t="s">
        <v>104</v>
      </c>
      <c r="AX262" s="1" t="str">
        <f>IFERROR(__xludf.DUMMYFUNCTION("""COMPUTED_VALUE"""),"")</f>
        <v/>
      </c>
      <c r="AZ262" s="1" t="str">
        <f>IFERROR(__xludf.DUMMYFUNCTION("""COMPUTED_VALUE"""),"")</f>
        <v/>
      </c>
      <c r="BB262" s="1" t="s">
        <v>104</v>
      </c>
      <c r="BC262" s="1" t="s">
        <v>104</v>
      </c>
      <c r="BE262" s="1" t="s">
        <v>104</v>
      </c>
      <c r="BG262" s="1" t="s">
        <v>104</v>
      </c>
      <c r="BH262" s="1" t="s">
        <v>104</v>
      </c>
      <c r="BI262" s="1" t="s">
        <v>104</v>
      </c>
      <c r="BJ262" s="1" t="s">
        <v>104</v>
      </c>
      <c r="BK262" s="1" t="s">
        <v>104</v>
      </c>
      <c r="BL262" s="1" t="s">
        <v>104</v>
      </c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N263" s="1" t="s">
        <v>104</v>
      </c>
      <c r="AO263" s="1" t="s">
        <v>104</v>
      </c>
      <c r="AP263" s="1" t="s">
        <v>104</v>
      </c>
      <c r="AQ263" s="1" t="s">
        <v>104</v>
      </c>
      <c r="AR263" s="1" t="s">
        <v>104</v>
      </c>
      <c r="AS263" s="1" t="s">
        <v>104</v>
      </c>
      <c r="AU263" s="1" t="s">
        <v>104</v>
      </c>
      <c r="AV263" s="1" t="s">
        <v>104</v>
      </c>
      <c r="AX263" s="1" t="str">
        <f>IFERROR(__xludf.DUMMYFUNCTION("""COMPUTED_VALUE"""),"")</f>
        <v/>
      </c>
      <c r="AZ263" s="1" t="str">
        <f>IFERROR(__xludf.DUMMYFUNCTION("""COMPUTED_VALUE"""),"")</f>
        <v/>
      </c>
      <c r="BB263" s="1" t="s">
        <v>104</v>
      </c>
      <c r="BC263" s="1" t="s">
        <v>104</v>
      </c>
      <c r="BE263" s="1" t="s">
        <v>104</v>
      </c>
      <c r="BG263" s="1" t="s">
        <v>104</v>
      </c>
      <c r="BH263" s="1" t="s">
        <v>104</v>
      </c>
      <c r="BI263" s="1" t="s">
        <v>104</v>
      </c>
      <c r="BJ263" s="1" t="s">
        <v>104</v>
      </c>
      <c r="BK263" s="1" t="s">
        <v>104</v>
      </c>
      <c r="BL263" s="1" t="s">
        <v>104</v>
      </c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N264" s="1" t="s">
        <v>104</v>
      </c>
      <c r="AO264" s="1" t="s">
        <v>104</v>
      </c>
      <c r="AP264" s="1" t="s">
        <v>104</v>
      </c>
      <c r="AQ264" s="1" t="s">
        <v>104</v>
      </c>
      <c r="AR264" s="1" t="s">
        <v>104</v>
      </c>
      <c r="AS264" s="1" t="s">
        <v>104</v>
      </c>
      <c r="AU264" s="1" t="s">
        <v>104</v>
      </c>
      <c r="AV264" s="1" t="s">
        <v>104</v>
      </c>
      <c r="AX264" s="1" t="str">
        <f>IFERROR(__xludf.DUMMYFUNCTION("""COMPUTED_VALUE"""),"")</f>
        <v/>
      </c>
      <c r="AZ264" s="1" t="str">
        <f>IFERROR(__xludf.DUMMYFUNCTION("""COMPUTED_VALUE"""),"")</f>
        <v/>
      </c>
      <c r="BB264" s="1" t="s">
        <v>104</v>
      </c>
      <c r="BC264" s="1" t="s">
        <v>104</v>
      </c>
      <c r="BE264" s="1" t="s">
        <v>104</v>
      </c>
      <c r="BG264" s="1" t="s">
        <v>104</v>
      </c>
      <c r="BH264" s="1" t="s">
        <v>104</v>
      </c>
      <c r="BI264" s="1" t="s">
        <v>104</v>
      </c>
      <c r="BJ264" s="1" t="s">
        <v>104</v>
      </c>
      <c r="BK264" s="1" t="s">
        <v>104</v>
      </c>
      <c r="BL264" s="1" t="s">
        <v>104</v>
      </c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N265" s="1" t="s">
        <v>104</v>
      </c>
      <c r="AO265" s="1" t="s">
        <v>104</v>
      </c>
      <c r="AP265" s="1" t="s">
        <v>104</v>
      </c>
      <c r="AQ265" s="1" t="s">
        <v>104</v>
      </c>
      <c r="AR265" s="1" t="s">
        <v>104</v>
      </c>
      <c r="AS265" s="1" t="s">
        <v>104</v>
      </c>
      <c r="AU265" s="1" t="s">
        <v>104</v>
      </c>
      <c r="AV265" s="1" t="s">
        <v>104</v>
      </c>
      <c r="AX265" s="1" t="str">
        <f>IFERROR(__xludf.DUMMYFUNCTION("""COMPUTED_VALUE"""),"")</f>
        <v/>
      </c>
      <c r="AZ265" s="1" t="str">
        <f>IFERROR(__xludf.DUMMYFUNCTION("""COMPUTED_VALUE"""),"")</f>
        <v/>
      </c>
      <c r="BB265" s="1" t="s">
        <v>104</v>
      </c>
      <c r="BC265" s="1" t="s">
        <v>104</v>
      </c>
      <c r="BE265" s="1" t="s">
        <v>104</v>
      </c>
      <c r="BG265" s="1" t="s">
        <v>104</v>
      </c>
      <c r="BH265" s="1" t="s">
        <v>104</v>
      </c>
      <c r="BI265" s="1" t="s">
        <v>104</v>
      </c>
      <c r="BJ265" s="1" t="s">
        <v>104</v>
      </c>
      <c r="BK265" s="1" t="s">
        <v>104</v>
      </c>
      <c r="BL265" s="1" t="s">
        <v>104</v>
      </c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N266" s="1" t="s">
        <v>104</v>
      </c>
      <c r="AO266" s="1" t="s">
        <v>104</v>
      </c>
      <c r="AP266" s="1" t="s">
        <v>104</v>
      </c>
      <c r="AQ266" s="1" t="s">
        <v>104</v>
      </c>
      <c r="AR266" s="1" t="s">
        <v>104</v>
      </c>
      <c r="AS266" s="1" t="s">
        <v>104</v>
      </c>
      <c r="AU266" s="1" t="s">
        <v>104</v>
      </c>
      <c r="AV266" s="1" t="s">
        <v>104</v>
      </c>
      <c r="AX266" s="1" t="str">
        <f>IFERROR(__xludf.DUMMYFUNCTION("""COMPUTED_VALUE"""),"")</f>
        <v/>
      </c>
      <c r="AZ266" s="1" t="str">
        <f>IFERROR(__xludf.DUMMYFUNCTION("""COMPUTED_VALUE"""),"")</f>
        <v/>
      </c>
      <c r="BB266" s="1" t="s">
        <v>104</v>
      </c>
      <c r="BC266" s="1" t="s">
        <v>104</v>
      </c>
      <c r="BE266" s="1" t="s">
        <v>104</v>
      </c>
      <c r="BG266" s="1" t="s">
        <v>104</v>
      </c>
      <c r="BH266" s="1" t="s">
        <v>104</v>
      </c>
      <c r="BI266" s="1" t="s">
        <v>104</v>
      </c>
      <c r="BJ266" s="1" t="s">
        <v>104</v>
      </c>
      <c r="BK266" s="1" t="s">
        <v>104</v>
      </c>
      <c r="BL266" s="1" t="s">
        <v>104</v>
      </c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N267" s="1" t="s">
        <v>104</v>
      </c>
      <c r="AO267" s="1" t="s">
        <v>104</v>
      </c>
      <c r="AP267" s="1" t="s">
        <v>104</v>
      </c>
      <c r="AQ267" s="1" t="s">
        <v>104</v>
      </c>
      <c r="AR267" s="1" t="s">
        <v>104</v>
      </c>
      <c r="AS267" s="1" t="s">
        <v>104</v>
      </c>
      <c r="AU267" s="1" t="s">
        <v>104</v>
      </c>
      <c r="AV267" s="1" t="s">
        <v>104</v>
      </c>
      <c r="AX267" s="1" t="str">
        <f>IFERROR(__xludf.DUMMYFUNCTION("""COMPUTED_VALUE"""),"")</f>
        <v/>
      </c>
      <c r="AZ267" s="1" t="str">
        <f>IFERROR(__xludf.DUMMYFUNCTION("""COMPUTED_VALUE"""),"")</f>
        <v/>
      </c>
      <c r="BB267" s="1" t="s">
        <v>104</v>
      </c>
      <c r="BC267" s="1" t="s">
        <v>104</v>
      </c>
      <c r="BE267" s="1" t="s">
        <v>104</v>
      </c>
      <c r="BG267" s="1" t="s">
        <v>104</v>
      </c>
      <c r="BH267" s="1" t="s">
        <v>104</v>
      </c>
      <c r="BI267" s="1" t="s">
        <v>104</v>
      </c>
      <c r="BJ267" s="1" t="s">
        <v>104</v>
      </c>
      <c r="BK267" s="1" t="s">
        <v>104</v>
      </c>
      <c r="BL267" s="1" t="s">
        <v>104</v>
      </c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N268" s="1" t="s">
        <v>104</v>
      </c>
      <c r="AO268" s="1" t="s">
        <v>104</v>
      </c>
      <c r="AP268" s="1" t="s">
        <v>104</v>
      </c>
      <c r="AQ268" s="1" t="s">
        <v>104</v>
      </c>
      <c r="AR268" s="1" t="s">
        <v>104</v>
      </c>
      <c r="AS268" s="1" t="s">
        <v>104</v>
      </c>
      <c r="AU268" s="1" t="s">
        <v>104</v>
      </c>
      <c r="AV268" s="1" t="s">
        <v>104</v>
      </c>
      <c r="AX268" s="1" t="str">
        <f>IFERROR(__xludf.DUMMYFUNCTION("""COMPUTED_VALUE"""),"")</f>
        <v/>
      </c>
      <c r="AZ268" s="1" t="str">
        <f>IFERROR(__xludf.DUMMYFUNCTION("""COMPUTED_VALUE"""),"")</f>
        <v/>
      </c>
      <c r="BB268" s="1" t="s">
        <v>104</v>
      </c>
      <c r="BC268" s="1" t="s">
        <v>104</v>
      </c>
      <c r="BE268" s="1" t="s">
        <v>104</v>
      </c>
      <c r="BG268" s="1" t="s">
        <v>104</v>
      </c>
      <c r="BH268" s="1" t="s">
        <v>104</v>
      </c>
      <c r="BI268" s="1" t="s">
        <v>104</v>
      </c>
      <c r="BJ268" s="1" t="s">
        <v>104</v>
      </c>
      <c r="BK268" s="1" t="s">
        <v>104</v>
      </c>
      <c r="BL268" s="1" t="s">
        <v>104</v>
      </c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N269" s="1" t="s">
        <v>104</v>
      </c>
      <c r="AO269" s="1" t="s">
        <v>104</v>
      </c>
      <c r="AP269" s="1" t="s">
        <v>104</v>
      </c>
      <c r="AQ269" s="1" t="s">
        <v>104</v>
      </c>
      <c r="AR269" s="1" t="s">
        <v>104</v>
      </c>
      <c r="AS269" s="1" t="s">
        <v>104</v>
      </c>
      <c r="AU269" s="1" t="s">
        <v>104</v>
      </c>
      <c r="AV269" s="1" t="s">
        <v>104</v>
      </c>
      <c r="AX269" s="1" t="str">
        <f>IFERROR(__xludf.DUMMYFUNCTION("""COMPUTED_VALUE"""),"")</f>
        <v/>
      </c>
      <c r="AZ269" s="1" t="str">
        <f>IFERROR(__xludf.DUMMYFUNCTION("""COMPUTED_VALUE"""),"")</f>
        <v/>
      </c>
      <c r="BB269" s="1" t="s">
        <v>104</v>
      </c>
      <c r="BC269" s="1" t="s">
        <v>104</v>
      </c>
      <c r="BE269" s="1" t="s">
        <v>104</v>
      </c>
      <c r="BG269" s="1" t="s">
        <v>104</v>
      </c>
      <c r="BH269" s="1" t="s">
        <v>104</v>
      </c>
      <c r="BI269" s="1" t="s">
        <v>104</v>
      </c>
      <c r="BJ269" s="1" t="s">
        <v>104</v>
      </c>
      <c r="BK269" s="1" t="s">
        <v>104</v>
      </c>
      <c r="BL269" s="1" t="s">
        <v>104</v>
      </c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N270" s="1" t="s">
        <v>104</v>
      </c>
      <c r="AO270" s="1" t="s">
        <v>104</v>
      </c>
      <c r="AP270" s="1" t="s">
        <v>104</v>
      </c>
      <c r="AQ270" s="1" t="s">
        <v>104</v>
      </c>
      <c r="AR270" s="1" t="s">
        <v>104</v>
      </c>
      <c r="AS270" s="1" t="s">
        <v>104</v>
      </c>
      <c r="AU270" s="1" t="s">
        <v>104</v>
      </c>
      <c r="AV270" s="1" t="s">
        <v>104</v>
      </c>
      <c r="AX270" s="1" t="str">
        <f>IFERROR(__xludf.DUMMYFUNCTION("""COMPUTED_VALUE"""),"")</f>
        <v/>
      </c>
      <c r="AZ270" s="1" t="str">
        <f>IFERROR(__xludf.DUMMYFUNCTION("""COMPUTED_VALUE"""),"")</f>
        <v/>
      </c>
      <c r="BB270" s="1" t="s">
        <v>104</v>
      </c>
      <c r="BC270" s="1" t="s">
        <v>104</v>
      </c>
      <c r="BE270" s="1" t="s">
        <v>104</v>
      </c>
      <c r="BG270" s="1" t="s">
        <v>104</v>
      </c>
      <c r="BH270" s="1" t="s">
        <v>104</v>
      </c>
      <c r="BI270" s="1" t="s">
        <v>104</v>
      </c>
      <c r="BJ270" s="1" t="s">
        <v>104</v>
      </c>
      <c r="BK270" s="1" t="s">
        <v>104</v>
      </c>
      <c r="BL270" s="1" t="s">
        <v>104</v>
      </c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N271" s="1" t="s">
        <v>104</v>
      </c>
      <c r="AO271" s="1" t="s">
        <v>104</v>
      </c>
      <c r="AP271" s="1" t="s">
        <v>104</v>
      </c>
      <c r="AQ271" s="1" t="s">
        <v>104</v>
      </c>
      <c r="AR271" s="1" t="s">
        <v>104</v>
      </c>
      <c r="AS271" s="1" t="s">
        <v>104</v>
      </c>
      <c r="AU271" s="1" t="s">
        <v>104</v>
      </c>
      <c r="AV271" s="1" t="s">
        <v>104</v>
      </c>
      <c r="AX271" s="1" t="str">
        <f>IFERROR(__xludf.DUMMYFUNCTION("""COMPUTED_VALUE"""),"")</f>
        <v/>
      </c>
      <c r="AZ271" s="1" t="str">
        <f>IFERROR(__xludf.DUMMYFUNCTION("""COMPUTED_VALUE"""),"")</f>
        <v/>
      </c>
      <c r="BB271" s="1" t="s">
        <v>104</v>
      </c>
      <c r="BC271" s="1" t="s">
        <v>104</v>
      </c>
      <c r="BE271" s="1" t="s">
        <v>104</v>
      </c>
      <c r="BG271" s="1" t="s">
        <v>104</v>
      </c>
      <c r="BH271" s="1" t="s">
        <v>104</v>
      </c>
      <c r="BI271" s="1" t="s">
        <v>104</v>
      </c>
      <c r="BJ271" s="1" t="s">
        <v>104</v>
      </c>
      <c r="BK271" s="1" t="s">
        <v>104</v>
      </c>
      <c r="BL271" s="1" t="s">
        <v>104</v>
      </c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N272" s="1" t="s">
        <v>104</v>
      </c>
      <c r="AO272" s="1" t="s">
        <v>104</v>
      </c>
      <c r="AP272" s="1" t="s">
        <v>104</v>
      </c>
      <c r="AQ272" s="1" t="s">
        <v>104</v>
      </c>
      <c r="AR272" s="1" t="s">
        <v>104</v>
      </c>
      <c r="AS272" s="1" t="s">
        <v>104</v>
      </c>
      <c r="AU272" s="1" t="s">
        <v>104</v>
      </c>
      <c r="AV272" s="1" t="s">
        <v>104</v>
      </c>
      <c r="AX272" s="1" t="str">
        <f>IFERROR(__xludf.DUMMYFUNCTION("""COMPUTED_VALUE"""),"")</f>
        <v/>
      </c>
      <c r="AZ272" s="1" t="str">
        <f>IFERROR(__xludf.DUMMYFUNCTION("""COMPUTED_VALUE"""),"")</f>
        <v/>
      </c>
      <c r="BB272" s="1" t="s">
        <v>104</v>
      </c>
      <c r="BC272" s="1" t="s">
        <v>104</v>
      </c>
      <c r="BE272" s="1" t="s">
        <v>104</v>
      </c>
      <c r="BG272" s="1" t="s">
        <v>104</v>
      </c>
      <c r="BH272" s="1" t="s">
        <v>104</v>
      </c>
      <c r="BI272" s="1" t="s">
        <v>104</v>
      </c>
      <c r="BJ272" s="1" t="s">
        <v>104</v>
      </c>
      <c r="BK272" s="1" t="s">
        <v>104</v>
      </c>
      <c r="BL272" s="1" t="s">
        <v>104</v>
      </c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N273" s="1" t="s">
        <v>104</v>
      </c>
      <c r="AO273" s="1" t="s">
        <v>104</v>
      </c>
      <c r="AP273" s="1" t="s">
        <v>104</v>
      </c>
      <c r="AQ273" s="1" t="s">
        <v>104</v>
      </c>
      <c r="AR273" s="1" t="s">
        <v>104</v>
      </c>
      <c r="AS273" s="1" t="s">
        <v>104</v>
      </c>
      <c r="AU273" s="1" t="s">
        <v>104</v>
      </c>
      <c r="AV273" s="1" t="s">
        <v>104</v>
      </c>
      <c r="AX273" s="1" t="str">
        <f>IFERROR(__xludf.DUMMYFUNCTION("""COMPUTED_VALUE"""),"")</f>
        <v/>
      </c>
      <c r="AZ273" s="1" t="str">
        <f>IFERROR(__xludf.DUMMYFUNCTION("""COMPUTED_VALUE"""),"")</f>
        <v/>
      </c>
      <c r="BB273" s="1" t="s">
        <v>104</v>
      </c>
      <c r="BC273" s="1" t="s">
        <v>104</v>
      </c>
      <c r="BE273" s="1" t="s">
        <v>104</v>
      </c>
      <c r="BG273" s="1" t="s">
        <v>104</v>
      </c>
      <c r="BH273" s="1" t="s">
        <v>104</v>
      </c>
      <c r="BI273" s="1" t="s">
        <v>104</v>
      </c>
      <c r="BJ273" s="1" t="s">
        <v>104</v>
      </c>
      <c r="BK273" s="1" t="s">
        <v>104</v>
      </c>
      <c r="BL273" s="1" t="s">
        <v>104</v>
      </c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N274" s="1" t="s">
        <v>104</v>
      </c>
      <c r="AO274" s="1" t="s">
        <v>104</v>
      </c>
      <c r="AP274" s="1" t="s">
        <v>104</v>
      </c>
      <c r="AQ274" s="1" t="s">
        <v>104</v>
      </c>
      <c r="AR274" s="1" t="s">
        <v>104</v>
      </c>
      <c r="AS274" s="1" t="s">
        <v>104</v>
      </c>
      <c r="AU274" s="1" t="s">
        <v>104</v>
      </c>
      <c r="AV274" s="1" t="s">
        <v>104</v>
      </c>
      <c r="AX274" s="1" t="str">
        <f>IFERROR(__xludf.DUMMYFUNCTION("""COMPUTED_VALUE"""),"")</f>
        <v/>
      </c>
      <c r="AZ274" s="1" t="str">
        <f>IFERROR(__xludf.DUMMYFUNCTION("""COMPUTED_VALUE"""),"")</f>
        <v/>
      </c>
      <c r="BB274" s="1" t="s">
        <v>104</v>
      </c>
      <c r="BC274" s="1" t="s">
        <v>104</v>
      </c>
      <c r="BE274" s="1" t="s">
        <v>104</v>
      </c>
      <c r="BG274" s="1" t="s">
        <v>104</v>
      </c>
      <c r="BH274" s="1" t="s">
        <v>104</v>
      </c>
      <c r="BI274" s="1" t="s">
        <v>104</v>
      </c>
      <c r="BJ274" s="1" t="s">
        <v>104</v>
      </c>
      <c r="BK274" s="1" t="s">
        <v>104</v>
      </c>
      <c r="BL274" s="1" t="s">
        <v>104</v>
      </c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N275" s="1" t="s">
        <v>104</v>
      </c>
      <c r="AO275" s="1" t="s">
        <v>104</v>
      </c>
      <c r="AP275" s="1" t="s">
        <v>104</v>
      </c>
      <c r="AQ275" s="1" t="s">
        <v>104</v>
      </c>
      <c r="AR275" s="1" t="s">
        <v>104</v>
      </c>
      <c r="AS275" s="1" t="s">
        <v>104</v>
      </c>
      <c r="AU275" s="1" t="s">
        <v>104</v>
      </c>
      <c r="AV275" s="1" t="s">
        <v>104</v>
      </c>
      <c r="AX275" s="1" t="str">
        <f>IFERROR(__xludf.DUMMYFUNCTION("""COMPUTED_VALUE"""),"")</f>
        <v/>
      </c>
      <c r="AZ275" s="1" t="str">
        <f>IFERROR(__xludf.DUMMYFUNCTION("""COMPUTED_VALUE"""),"")</f>
        <v/>
      </c>
      <c r="BB275" s="1" t="s">
        <v>104</v>
      </c>
      <c r="BC275" s="1" t="s">
        <v>104</v>
      </c>
      <c r="BE275" s="1" t="s">
        <v>104</v>
      </c>
      <c r="BG275" s="1" t="s">
        <v>104</v>
      </c>
      <c r="BH275" s="1" t="s">
        <v>104</v>
      </c>
      <c r="BI275" s="1" t="s">
        <v>104</v>
      </c>
      <c r="BJ275" s="1" t="s">
        <v>104</v>
      </c>
      <c r="BK275" s="1" t="s">
        <v>104</v>
      </c>
      <c r="BL275" s="1" t="s">
        <v>104</v>
      </c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N276" s="1" t="s">
        <v>104</v>
      </c>
      <c r="AO276" s="1" t="s">
        <v>104</v>
      </c>
      <c r="AP276" s="1" t="s">
        <v>104</v>
      </c>
      <c r="AQ276" s="1" t="s">
        <v>104</v>
      </c>
      <c r="AR276" s="1" t="s">
        <v>104</v>
      </c>
      <c r="AS276" s="1" t="s">
        <v>104</v>
      </c>
      <c r="AU276" s="1" t="s">
        <v>104</v>
      </c>
      <c r="AV276" s="1" t="s">
        <v>104</v>
      </c>
      <c r="AX276" s="1" t="str">
        <f>IFERROR(__xludf.DUMMYFUNCTION("""COMPUTED_VALUE"""),"")</f>
        <v/>
      </c>
      <c r="AZ276" s="1" t="str">
        <f>IFERROR(__xludf.DUMMYFUNCTION("""COMPUTED_VALUE"""),"")</f>
        <v/>
      </c>
      <c r="BB276" s="1" t="s">
        <v>104</v>
      </c>
      <c r="BC276" s="1" t="s">
        <v>104</v>
      </c>
      <c r="BE276" s="1" t="s">
        <v>104</v>
      </c>
      <c r="BG276" s="1" t="s">
        <v>104</v>
      </c>
      <c r="BH276" s="1" t="s">
        <v>104</v>
      </c>
      <c r="BI276" s="1" t="s">
        <v>104</v>
      </c>
      <c r="BJ276" s="1" t="s">
        <v>104</v>
      </c>
      <c r="BK276" s="1" t="s">
        <v>104</v>
      </c>
      <c r="BL276" s="1" t="s">
        <v>104</v>
      </c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N277" s="1" t="s">
        <v>104</v>
      </c>
      <c r="AO277" s="1" t="s">
        <v>104</v>
      </c>
      <c r="AP277" s="1" t="s">
        <v>104</v>
      </c>
      <c r="AQ277" s="1" t="s">
        <v>104</v>
      </c>
      <c r="AR277" s="1" t="s">
        <v>104</v>
      </c>
      <c r="AS277" s="1" t="s">
        <v>104</v>
      </c>
      <c r="AU277" s="1" t="s">
        <v>104</v>
      </c>
      <c r="AV277" s="1" t="s">
        <v>104</v>
      </c>
      <c r="AX277" s="1" t="str">
        <f>IFERROR(__xludf.DUMMYFUNCTION("""COMPUTED_VALUE"""),"")</f>
        <v/>
      </c>
      <c r="AZ277" s="1" t="str">
        <f>IFERROR(__xludf.DUMMYFUNCTION("""COMPUTED_VALUE"""),"")</f>
        <v/>
      </c>
      <c r="BB277" s="1" t="s">
        <v>104</v>
      </c>
      <c r="BC277" s="1" t="s">
        <v>104</v>
      </c>
      <c r="BE277" s="1" t="s">
        <v>104</v>
      </c>
      <c r="BG277" s="1" t="s">
        <v>104</v>
      </c>
      <c r="BH277" s="1" t="s">
        <v>104</v>
      </c>
      <c r="BI277" s="1" t="s">
        <v>104</v>
      </c>
      <c r="BJ277" s="1" t="s">
        <v>104</v>
      </c>
      <c r="BK277" s="1" t="s">
        <v>104</v>
      </c>
      <c r="BL277" s="1" t="s">
        <v>104</v>
      </c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N278" s="1" t="s">
        <v>104</v>
      </c>
      <c r="AO278" s="1" t="s">
        <v>104</v>
      </c>
      <c r="AP278" s="1" t="s">
        <v>104</v>
      </c>
      <c r="AQ278" s="1" t="s">
        <v>104</v>
      </c>
      <c r="AR278" s="1" t="s">
        <v>104</v>
      </c>
      <c r="AS278" s="1" t="s">
        <v>104</v>
      </c>
      <c r="AU278" s="1" t="s">
        <v>104</v>
      </c>
      <c r="AV278" s="1" t="s">
        <v>104</v>
      </c>
      <c r="AX278" s="1" t="str">
        <f>IFERROR(__xludf.DUMMYFUNCTION("""COMPUTED_VALUE"""),"")</f>
        <v/>
      </c>
      <c r="AZ278" s="1" t="str">
        <f>IFERROR(__xludf.DUMMYFUNCTION("""COMPUTED_VALUE"""),"")</f>
        <v/>
      </c>
      <c r="BB278" s="1" t="s">
        <v>104</v>
      </c>
      <c r="BC278" s="1" t="s">
        <v>104</v>
      </c>
      <c r="BE278" s="1" t="s">
        <v>104</v>
      </c>
      <c r="BG278" s="1" t="s">
        <v>104</v>
      </c>
      <c r="BH278" s="1" t="s">
        <v>104</v>
      </c>
      <c r="BI278" s="1" t="s">
        <v>104</v>
      </c>
      <c r="BJ278" s="1" t="s">
        <v>104</v>
      </c>
      <c r="BK278" s="1" t="s">
        <v>104</v>
      </c>
      <c r="BL278" s="1" t="s">
        <v>104</v>
      </c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N279" s="1" t="s">
        <v>104</v>
      </c>
      <c r="AO279" s="1" t="s">
        <v>104</v>
      </c>
      <c r="AP279" s="1" t="s">
        <v>104</v>
      </c>
      <c r="AQ279" s="1" t="s">
        <v>104</v>
      </c>
      <c r="AR279" s="1" t="s">
        <v>104</v>
      </c>
      <c r="AS279" s="1" t="s">
        <v>104</v>
      </c>
      <c r="AU279" s="1" t="s">
        <v>104</v>
      </c>
      <c r="AV279" s="1" t="s">
        <v>104</v>
      </c>
      <c r="AX279" s="1" t="str">
        <f>IFERROR(__xludf.DUMMYFUNCTION("""COMPUTED_VALUE"""),"")</f>
        <v/>
      </c>
      <c r="AZ279" s="1" t="str">
        <f>IFERROR(__xludf.DUMMYFUNCTION("""COMPUTED_VALUE"""),"")</f>
        <v/>
      </c>
      <c r="BB279" s="1" t="s">
        <v>104</v>
      </c>
      <c r="BC279" s="1" t="s">
        <v>104</v>
      </c>
      <c r="BE279" s="1" t="s">
        <v>104</v>
      </c>
      <c r="BG279" s="1" t="s">
        <v>104</v>
      </c>
      <c r="BH279" s="1" t="s">
        <v>104</v>
      </c>
      <c r="BI279" s="1" t="s">
        <v>104</v>
      </c>
      <c r="BJ279" s="1" t="s">
        <v>104</v>
      </c>
      <c r="BK279" s="1" t="s">
        <v>104</v>
      </c>
      <c r="BL279" s="1" t="s">
        <v>104</v>
      </c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N280" s="1" t="s">
        <v>104</v>
      </c>
      <c r="AO280" s="1" t="s">
        <v>104</v>
      </c>
      <c r="AP280" s="1" t="s">
        <v>104</v>
      </c>
      <c r="AQ280" s="1" t="s">
        <v>104</v>
      </c>
      <c r="AR280" s="1" t="s">
        <v>104</v>
      </c>
      <c r="AS280" s="1" t="s">
        <v>104</v>
      </c>
      <c r="AU280" s="1" t="s">
        <v>104</v>
      </c>
      <c r="AV280" s="1" t="s">
        <v>104</v>
      </c>
      <c r="AX280" s="1" t="str">
        <f>IFERROR(__xludf.DUMMYFUNCTION("""COMPUTED_VALUE"""),"")</f>
        <v/>
      </c>
      <c r="AZ280" s="1" t="str">
        <f>IFERROR(__xludf.DUMMYFUNCTION("""COMPUTED_VALUE"""),"")</f>
        <v/>
      </c>
      <c r="BB280" s="1" t="s">
        <v>104</v>
      </c>
      <c r="BC280" s="1" t="s">
        <v>104</v>
      </c>
      <c r="BE280" s="1" t="s">
        <v>104</v>
      </c>
      <c r="BG280" s="1" t="s">
        <v>104</v>
      </c>
      <c r="BH280" s="1" t="s">
        <v>104</v>
      </c>
      <c r="BI280" s="1" t="s">
        <v>104</v>
      </c>
      <c r="BJ280" s="1" t="s">
        <v>104</v>
      </c>
      <c r="BK280" s="1" t="s">
        <v>104</v>
      </c>
      <c r="BL280" s="1" t="s">
        <v>104</v>
      </c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N281" s="1" t="s">
        <v>104</v>
      </c>
      <c r="AO281" s="1" t="s">
        <v>104</v>
      </c>
      <c r="AP281" s="1" t="s">
        <v>104</v>
      </c>
      <c r="AQ281" s="1" t="s">
        <v>104</v>
      </c>
      <c r="AR281" s="1" t="s">
        <v>104</v>
      </c>
      <c r="AS281" s="1" t="s">
        <v>104</v>
      </c>
      <c r="AU281" s="1" t="s">
        <v>104</v>
      </c>
      <c r="AV281" s="1" t="s">
        <v>104</v>
      </c>
      <c r="AX281" s="1" t="str">
        <f>IFERROR(__xludf.DUMMYFUNCTION("""COMPUTED_VALUE"""),"")</f>
        <v/>
      </c>
      <c r="AZ281" s="1" t="str">
        <f>IFERROR(__xludf.DUMMYFUNCTION("""COMPUTED_VALUE"""),"")</f>
        <v/>
      </c>
      <c r="BB281" s="1" t="s">
        <v>104</v>
      </c>
      <c r="BC281" s="1" t="s">
        <v>104</v>
      </c>
      <c r="BE281" s="1" t="s">
        <v>104</v>
      </c>
      <c r="BG281" s="1" t="s">
        <v>104</v>
      </c>
      <c r="BH281" s="1" t="s">
        <v>104</v>
      </c>
      <c r="BI281" s="1" t="s">
        <v>104</v>
      </c>
      <c r="BJ281" s="1" t="s">
        <v>104</v>
      </c>
      <c r="BK281" s="1" t="s">
        <v>104</v>
      </c>
      <c r="BL281" s="1" t="s">
        <v>104</v>
      </c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N282" s="1" t="s">
        <v>104</v>
      </c>
      <c r="AO282" s="1" t="s">
        <v>104</v>
      </c>
      <c r="AP282" s="1" t="s">
        <v>104</v>
      </c>
      <c r="AQ282" s="1" t="s">
        <v>104</v>
      </c>
      <c r="AR282" s="1" t="s">
        <v>104</v>
      </c>
      <c r="AS282" s="1" t="s">
        <v>104</v>
      </c>
      <c r="AU282" s="1" t="s">
        <v>104</v>
      </c>
      <c r="AV282" s="1" t="s">
        <v>104</v>
      </c>
      <c r="AX282" s="1" t="str">
        <f>IFERROR(__xludf.DUMMYFUNCTION("""COMPUTED_VALUE"""),"")</f>
        <v/>
      </c>
      <c r="AZ282" s="1" t="str">
        <f>IFERROR(__xludf.DUMMYFUNCTION("""COMPUTED_VALUE"""),"")</f>
        <v/>
      </c>
      <c r="BB282" s="1" t="s">
        <v>104</v>
      </c>
      <c r="BC282" s="1" t="s">
        <v>104</v>
      </c>
      <c r="BE282" s="1" t="s">
        <v>104</v>
      </c>
      <c r="BG282" s="1" t="s">
        <v>104</v>
      </c>
      <c r="BH282" s="1" t="s">
        <v>104</v>
      </c>
      <c r="BI282" s="1" t="s">
        <v>104</v>
      </c>
      <c r="BJ282" s="1" t="s">
        <v>104</v>
      </c>
      <c r="BK282" s="1" t="s">
        <v>104</v>
      </c>
      <c r="BL282" s="1" t="s">
        <v>104</v>
      </c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N283" s="1" t="s">
        <v>104</v>
      </c>
      <c r="AO283" s="1" t="s">
        <v>104</v>
      </c>
      <c r="AP283" s="1" t="s">
        <v>104</v>
      </c>
      <c r="AQ283" s="1" t="s">
        <v>104</v>
      </c>
      <c r="AR283" s="1" t="s">
        <v>104</v>
      </c>
      <c r="AS283" s="1" t="s">
        <v>104</v>
      </c>
      <c r="AU283" s="1" t="s">
        <v>104</v>
      </c>
      <c r="AV283" s="1" t="s">
        <v>104</v>
      </c>
      <c r="AX283" s="1" t="str">
        <f>IFERROR(__xludf.DUMMYFUNCTION("""COMPUTED_VALUE"""),"")</f>
        <v/>
      </c>
      <c r="AZ283" s="1" t="str">
        <f>IFERROR(__xludf.DUMMYFUNCTION("""COMPUTED_VALUE"""),"")</f>
        <v/>
      </c>
      <c r="BB283" s="1" t="s">
        <v>104</v>
      </c>
      <c r="BC283" s="1" t="s">
        <v>104</v>
      </c>
      <c r="BE283" s="1" t="s">
        <v>104</v>
      </c>
      <c r="BG283" s="1" t="s">
        <v>104</v>
      </c>
      <c r="BH283" s="1" t="s">
        <v>104</v>
      </c>
      <c r="BI283" s="1" t="s">
        <v>104</v>
      </c>
      <c r="BJ283" s="1" t="s">
        <v>104</v>
      </c>
      <c r="BK283" s="1" t="s">
        <v>104</v>
      </c>
      <c r="BL283" s="1" t="s">
        <v>104</v>
      </c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N284" s="1" t="s">
        <v>104</v>
      </c>
      <c r="AO284" s="1" t="s">
        <v>104</v>
      </c>
      <c r="AP284" s="1" t="s">
        <v>104</v>
      </c>
      <c r="AQ284" s="1" t="s">
        <v>104</v>
      </c>
      <c r="AR284" s="1" t="s">
        <v>104</v>
      </c>
      <c r="AS284" s="1" t="s">
        <v>104</v>
      </c>
      <c r="AU284" s="1" t="s">
        <v>104</v>
      </c>
      <c r="AV284" s="1" t="s">
        <v>104</v>
      </c>
      <c r="AX284" s="1" t="str">
        <f>IFERROR(__xludf.DUMMYFUNCTION("""COMPUTED_VALUE"""),"")</f>
        <v/>
      </c>
      <c r="AZ284" s="1" t="str">
        <f>IFERROR(__xludf.DUMMYFUNCTION("""COMPUTED_VALUE"""),"")</f>
        <v/>
      </c>
      <c r="BB284" s="1" t="s">
        <v>104</v>
      </c>
      <c r="BC284" s="1" t="s">
        <v>104</v>
      </c>
      <c r="BE284" s="1" t="s">
        <v>104</v>
      </c>
      <c r="BG284" s="1" t="s">
        <v>104</v>
      </c>
      <c r="BH284" s="1" t="s">
        <v>104</v>
      </c>
      <c r="BI284" s="1" t="s">
        <v>104</v>
      </c>
      <c r="BJ284" s="1" t="s">
        <v>104</v>
      </c>
      <c r="BK284" s="1" t="s">
        <v>104</v>
      </c>
      <c r="BL284" s="1" t="s">
        <v>104</v>
      </c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N285" s="1" t="s">
        <v>104</v>
      </c>
      <c r="AO285" s="1" t="s">
        <v>104</v>
      </c>
      <c r="AP285" s="1" t="s">
        <v>104</v>
      </c>
      <c r="AQ285" s="1" t="s">
        <v>104</v>
      </c>
      <c r="AR285" s="1" t="s">
        <v>104</v>
      </c>
      <c r="AS285" s="1" t="s">
        <v>104</v>
      </c>
      <c r="AU285" s="1" t="s">
        <v>104</v>
      </c>
      <c r="AV285" s="1" t="s">
        <v>104</v>
      </c>
      <c r="AX285" s="1" t="str">
        <f>IFERROR(__xludf.DUMMYFUNCTION("""COMPUTED_VALUE"""),"")</f>
        <v/>
      </c>
      <c r="AZ285" s="1" t="str">
        <f>IFERROR(__xludf.DUMMYFUNCTION("""COMPUTED_VALUE"""),"")</f>
        <v/>
      </c>
      <c r="BB285" s="1" t="s">
        <v>104</v>
      </c>
      <c r="BC285" s="1" t="s">
        <v>104</v>
      </c>
      <c r="BE285" s="1" t="s">
        <v>104</v>
      </c>
      <c r="BG285" s="1" t="s">
        <v>104</v>
      </c>
      <c r="BH285" s="1" t="s">
        <v>104</v>
      </c>
      <c r="BI285" s="1" t="s">
        <v>104</v>
      </c>
      <c r="BJ285" s="1" t="s">
        <v>104</v>
      </c>
      <c r="BK285" s="1" t="s">
        <v>104</v>
      </c>
      <c r="BL285" s="1" t="s">
        <v>104</v>
      </c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N286" s="1" t="s">
        <v>104</v>
      </c>
      <c r="AO286" s="1" t="s">
        <v>104</v>
      </c>
      <c r="AP286" s="1" t="s">
        <v>104</v>
      </c>
      <c r="AQ286" s="1" t="s">
        <v>104</v>
      </c>
      <c r="AR286" s="1" t="s">
        <v>104</v>
      </c>
      <c r="AS286" s="1" t="s">
        <v>104</v>
      </c>
      <c r="AU286" s="1" t="s">
        <v>104</v>
      </c>
      <c r="AV286" s="1" t="s">
        <v>104</v>
      </c>
      <c r="AX286" s="1" t="str">
        <f>IFERROR(__xludf.DUMMYFUNCTION("""COMPUTED_VALUE"""),"")</f>
        <v/>
      </c>
      <c r="AZ286" s="1" t="str">
        <f>IFERROR(__xludf.DUMMYFUNCTION("""COMPUTED_VALUE"""),"")</f>
        <v/>
      </c>
      <c r="BB286" s="1" t="s">
        <v>104</v>
      </c>
      <c r="BC286" s="1" t="s">
        <v>104</v>
      </c>
      <c r="BE286" s="1" t="s">
        <v>104</v>
      </c>
      <c r="BG286" s="1" t="s">
        <v>104</v>
      </c>
      <c r="BH286" s="1" t="s">
        <v>104</v>
      </c>
      <c r="BI286" s="1" t="s">
        <v>104</v>
      </c>
      <c r="BJ286" s="1" t="s">
        <v>104</v>
      </c>
      <c r="BK286" s="1" t="s">
        <v>104</v>
      </c>
      <c r="BL286" s="1" t="s">
        <v>104</v>
      </c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N287" s="1" t="s">
        <v>104</v>
      </c>
      <c r="AO287" s="1" t="s">
        <v>104</v>
      </c>
      <c r="AP287" s="1" t="s">
        <v>104</v>
      </c>
      <c r="AQ287" s="1" t="s">
        <v>104</v>
      </c>
      <c r="AR287" s="1" t="s">
        <v>104</v>
      </c>
      <c r="AS287" s="1" t="s">
        <v>104</v>
      </c>
      <c r="AU287" s="1" t="s">
        <v>104</v>
      </c>
      <c r="AV287" s="1" t="s">
        <v>104</v>
      </c>
      <c r="AX287" s="1" t="str">
        <f>IFERROR(__xludf.DUMMYFUNCTION("""COMPUTED_VALUE"""),"")</f>
        <v/>
      </c>
      <c r="AZ287" s="1" t="str">
        <f>IFERROR(__xludf.DUMMYFUNCTION("""COMPUTED_VALUE"""),"")</f>
        <v/>
      </c>
      <c r="BB287" s="1" t="s">
        <v>104</v>
      </c>
      <c r="BC287" s="1" t="s">
        <v>104</v>
      </c>
      <c r="BE287" s="1" t="s">
        <v>104</v>
      </c>
      <c r="BG287" s="1" t="s">
        <v>104</v>
      </c>
      <c r="BH287" s="1" t="s">
        <v>104</v>
      </c>
      <c r="BI287" s="1" t="s">
        <v>104</v>
      </c>
      <c r="BJ287" s="1" t="s">
        <v>104</v>
      </c>
      <c r="BK287" s="1" t="s">
        <v>104</v>
      </c>
      <c r="BL287" s="1" t="s">
        <v>104</v>
      </c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N288" s="1" t="s">
        <v>104</v>
      </c>
      <c r="AO288" s="1" t="s">
        <v>104</v>
      </c>
      <c r="AP288" s="1" t="s">
        <v>104</v>
      </c>
      <c r="AQ288" s="1" t="s">
        <v>104</v>
      </c>
      <c r="AR288" s="1" t="s">
        <v>104</v>
      </c>
      <c r="AS288" s="1" t="s">
        <v>104</v>
      </c>
      <c r="AU288" s="1" t="s">
        <v>104</v>
      </c>
      <c r="AV288" s="1" t="s">
        <v>104</v>
      </c>
      <c r="AX288" s="1" t="str">
        <f>IFERROR(__xludf.DUMMYFUNCTION("""COMPUTED_VALUE"""),"")</f>
        <v/>
      </c>
      <c r="AZ288" s="1" t="str">
        <f>IFERROR(__xludf.DUMMYFUNCTION("""COMPUTED_VALUE"""),"")</f>
        <v/>
      </c>
      <c r="BB288" s="1" t="s">
        <v>104</v>
      </c>
      <c r="BC288" s="1" t="s">
        <v>104</v>
      </c>
      <c r="BE288" s="1" t="s">
        <v>104</v>
      </c>
      <c r="BG288" s="1" t="s">
        <v>104</v>
      </c>
      <c r="BH288" s="1" t="s">
        <v>104</v>
      </c>
      <c r="BI288" s="1" t="s">
        <v>104</v>
      </c>
      <c r="BJ288" s="1" t="s">
        <v>104</v>
      </c>
      <c r="BK288" s="1" t="s">
        <v>104</v>
      </c>
      <c r="BL288" s="1" t="s">
        <v>104</v>
      </c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N289" s="1" t="s">
        <v>104</v>
      </c>
      <c r="AO289" s="1" t="s">
        <v>104</v>
      </c>
      <c r="AP289" s="1" t="s">
        <v>104</v>
      </c>
      <c r="AQ289" s="1" t="s">
        <v>104</v>
      </c>
      <c r="AR289" s="1" t="s">
        <v>104</v>
      </c>
      <c r="AS289" s="1" t="s">
        <v>104</v>
      </c>
      <c r="AU289" s="1" t="s">
        <v>104</v>
      </c>
      <c r="AV289" s="1" t="s">
        <v>104</v>
      </c>
      <c r="AX289" s="1" t="str">
        <f>IFERROR(__xludf.DUMMYFUNCTION("""COMPUTED_VALUE"""),"")</f>
        <v/>
      </c>
      <c r="AZ289" s="1" t="str">
        <f>IFERROR(__xludf.DUMMYFUNCTION("""COMPUTED_VALUE"""),"")</f>
        <v/>
      </c>
      <c r="BB289" s="1" t="s">
        <v>104</v>
      </c>
      <c r="BC289" s="1" t="s">
        <v>104</v>
      </c>
      <c r="BE289" s="1" t="s">
        <v>104</v>
      </c>
      <c r="BG289" s="1" t="s">
        <v>104</v>
      </c>
      <c r="BH289" s="1" t="s">
        <v>104</v>
      </c>
      <c r="BI289" s="1" t="s">
        <v>104</v>
      </c>
      <c r="BJ289" s="1" t="s">
        <v>104</v>
      </c>
      <c r="BK289" s="1" t="s">
        <v>104</v>
      </c>
      <c r="BL289" s="1" t="s">
        <v>104</v>
      </c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N290" s="1" t="s">
        <v>104</v>
      </c>
      <c r="AO290" s="1" t="s">
        <v>104</v>
      </c>
      <c r="AP290" s="1" t="s">
        <v>104</v>
      </c>
      <c r="AQ290" s="1" t="s">
        <v>104</v>
      </c>
      <c r="AR290" s="1" t="s">
        <v>104</v>
      </c>
      <c r="AS290" s="1" t="s">
        <v>104</v>
      </c>
      <c r="AU290" s="1" t="s">
        <v>104</v>
      </c>
      <c r="AV290" s="1" t="s">
        <v>104</v>
      </c>
      <c r="AX290" s="1" t="str">
        <f>IFERROR(__xludf.DUMMYFUNCTION("""COMPUTED_VALUE"""),"")</f>
        <v/>
      </c>
      <c r="AZ290" s="1" t="str">
        <f>IFERROR(__xludf.DUMMYFUNCTION("""COMPUTED_VALUE"""),"")</f>
        <v/>
      </c>
      <c r="BB290" s="1" t="s">
        <v>104</v>
      </c>
      <c r="BC290" s="1" t="s">
        <v>104</v>
      </c>
      <c r="BE290" s="1" t="s">
        <v>104</v>
      </c>
      <c r="BG290" s="1" t="s">
        <v>104</v>
      </c>
      <c r="BH290" s="1" t="s">
        <v>104</v>
      </c>
      <c r="BI290" s="1" t="s">
        <v>104</v>
      </c>
      <c r="BJ290" s="1" t="s">
        <v>104</v>
      </c>
      <c r="BK290" s="1" t="s">
        <v>104</v>
      </c>
      <c r="BL290" s="1" t="s">
        <v>104</v>
      </c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N291" s="1" t="s">
        <v>104</v>
      </c>
      <c r="AO291" s="1" t="s">
        <v>104</v>
      </c>
      <c r="AP291" s="1" t="s">
        <v>104</v>
      </c>
      <c r="AQ291" s="1" t="s">
        <v>104</v>
      </c>
      <c r="AR291" s="1" t="s">
        <v>104</v>
      </c>
      <c r="AS291" s="1" t="s">
        <v>104</v>
      </c>
      <c r="AU291" s="1" t="s">
        <v>104</v>
      </c>
      <c r="AV291" s="1" t="s">
        <v>104</v>
      </c>
      <c r="AX291" s="1" t="str">
        <f>IFERROR(__xludf.DUMMYFUNCTION("""COMPUTED_VALUE"""),"")</f>
        <v/>
      </c>
      <c r="AZ291" s="1" t="str">
        <f>IFERROR(__xludf.DUMMYFUNCTION("""COMPUTED_VALUE"""),"")</f>
        <v/>
      </c>
      <c r="BB291" s="1" t="s">
        <v>104</v>
      </c>
      <c r="BC291" s="1" t="s">
        <v>104</v>
      </c>
      <c r="BE291" s="1" t="s">
        <v>104</v>
      </c>
      <c r="BG291" s="1" t="s">
        <v>104</v>
      </c>
      <c r="BH291" s="1" t="s">
        <v>104</v>
      </c>
      <c r="BI291" s="1" t="s">
        <v>104</v>
      </c>
      <c r="BJ291" s="1" t="s">
        <v>104</v>
      </c>
      <c r="BK291" s="1" t="s">
        <v>104</v>
      </c>
      <c r="BL291" s="1" t="s">
        <v>104</v>
      </c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N292" s="1" t="s">
        <v>104</v>
      </c>
      <c r="AO292" s="1" t="s">
        <v>104</v>
      </c>
      <c r="AP292" s="1" t="s">
        <v>104</v>
      </c>
      <c r="AQ292" s="1" t="s">
        <v>104</v>
      </c>
      <c r="AR292" s="1" t="s">
        <v>104</v>
      </c>
      <c r="AS292" s="1" t="s">
        <v>104</v>
      </c>
      <c r="AU292" s="1" t="s">
        <v>104</v>
      </c>
      <c r="AV292" s="1" t="s">
        <v>104</v>
      </c>
      <c r="AX292" s="1" t="str">
        <f>IFERROR(__xludf.DUMMYFUNCTION("""COMPUTED_VALUE"""),"")</f>
        <v/>
      </c>
      <c r="AZ292" s="1" t="str">
        <f>IFERROR(__xludf.DUMMYFUNCTION("""COMPUTED_VALUE"""),"")</f>
        <v/>
      </c>
      <c r="BB292" s="1" t="s">
        <v>104</v>
      </c>
      <c r="BC292" s="1" t="s">
        <v>104</v>
      </c>
      <c r="BE292" s="1" t="s">
        <v>104</v>
      </c>
      <c r="BG292" s="1" t="s">
        <v>104</v>
      </c>
      <c r="BH292" s="1" t="s">
        <v>104</v>
      </c>
      <c r="BI292" s="1" t="s">
        <v>104</v>
      </c>
      <c r="BJ292" s="1" t="s">
        <v>104</v>
      </c>
      <c r="BK292" s="1" t="s">
        <v>104</v>
      </c>
      <c r="BL292" s="1" t="s">
        <v>104</v>
      </c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N293" s="1" t="s">
        <v>104</v>
      </c>
      <c r="AO293" s="1" t="s">
        <v>104</v>
      </c>
      <c r="AP293" s="1" t="s">
        <v>104</v>
      </c>
      <c r="AQ293" s="1" t="s">
        <v>104</v>
      </c>
      <c r="AR293" s="1" t="s">
        <v>104</v>
      </c>
      <c r="AS293" s="1" t="s">
        <v>104</v>
      </c>
      <c r="AU293" s="1" t="s">
        <v>104</v>
      </c>
      <c r="AV293" s="1" t="s">
        <v>104</v>
      </c>
      <c r="AX293" s="1" t="str">
        <f>IFERROR(__xludf.DUMMYFUNCTION("""COMPUTED_VALUE"""),"")</f>
        <v/>
      </c>
      <c r="AZ293" s="1" t="str">
        <f>IFERROR(__xludf.DUMMYFUNCTION("""COMPUTED_VALUE"""),"")</f>
        <v/>
      </c>
      <c r="BB293" s="1" t="s">
        <v>104</v>
      </c>
      <c r="BC293" s="1" t="s">
        <v>104</v>
      </c>
      <c r="BE293" s="1" t="s">
        <v>104</v>
      </c>
      <c r="BG293" s="1" t="s">
        <v>104</v>
      </c>
      <c r="BH293" s="1" t="s">
        <v>104</v>
      </c>
      <c r="BI293" s="1" t="s">
        <v>104</v>
      </c>
      <c r="BJ293" s="1" t="s">
        <v>104</v>
      </c>
      <c r="BK293" s="1" t="s">
        <v>104</v>
      </c>
      <c r="BL293" s="1" t="s">
        <v>104</v>
      </c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N294" s="1" t="s">
        <v>104</v>
      </c>
      <c r="AO294" s="1" t="s">
        <v>104</v>
      </c>
      <c r="AP294" s="1" t="s">
        <v>104</v>
      </c>
      <c r="AQ294" s="1" t="s">
        <v>104</v>
      </c>
      <c r="AR294" s="1" t="s">
        <v>104</v>
      </c>
      <c r="AS294" s="1" t="s">
        <v>104</v>
      </c>
      <c r="AU294" s="1" t="s">
        <v>104</v>
      </c>
      <c r="AV294" s="1" t="s">
        <v>104</v>
      </c>
      <c r="AX294" s="1" t="str">
        <f>IFERROR(__xludf.DUMMYFUNCTION("""COMPUTED_VALUE"""),"")</f>
        <v/>
      </c>
      <c r="AZ294" s="1" t="str">
        <f>IFERROR(__xludf.DUMMYFUNCTION("""COMPUTED_VALUE"""),"")</f>
        <v/>
      </c>
      <c r="BB294" s="1" t="s">
        <v>104</v>
      </c>
      <c r="BC294" s="1" t="s">
        <v>104</v>
      </c>
      <c r="BE294" s="1" t="s">
        <v>104</v>
      </c>
      <c r="BG294" s="1" t="s">
        <v>104</v>
      </c>
      <c r="BH294" s="1" t="s">
        <v>104</v>
      </c>
      <c r="BI294" s="1" t="s">
        <v>104</v>
      </c>
      <c r="BJ294" s="1" t="s">
        <v>104</v>
      </c>
      <c r="BK294" s="1" t="s">
        <v>104</v>
      </c>
      <c r="BL294" s="1" t="s">
        <v>104</v>
      </c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N295" s="1" t="s">
        <v>104</v>
      </c>
      <c r="AO295" s="1" t="s">
        <v>104</v>
      </c>
      <c r="AP295" s="1" t="s">
        <v>104</v>
      </c>
      <c r="AQ295" s="1" t="s">
        <v>104</v>
      </c>
      <c r="AR295" s="1" t="s">
        <v>104</v>
      </c>
      <c r="AS295" s="1" t="s">
        <v>104</v>
      </c>
      <c r="AU295" s="1" t="s">
        <v>104</v>
      </c>
      <c r="AV295" s="1" t="s">
        <v>104</v>
      </c>
      <c r="AX295" s="1" t="str">
        <f>IFERROR(__xludf.DUMMYFUNCTION("""COMPUTED_VALUE"""),"")</f>
        <v/>
      </c>
      <c r="AZ295" s="1" t="str">
        <f>IFERROR(__xludf.DUMMYFUNCTION("""COMPUTED_VALUE"""),"")</f>
        <v/>
      </c>
      <c r="BB295" s="1" t="s">
        <v>104</v>
      </c>
      <c r="BC295" s="1" t="s">
        <v>104</v>
      </c>
      <c r="BE295" s="1" t="s">
        <v>104</v>
      </c>
      <c r="BG295" s="1" t="s">
        <v>104</v>
      </c>
      <c r="BH295" s="1" t="s">
        <v>104</v>
      </c>
      <c r="BI295" s="1" t="s">
        <v>104</v>
      </c>
      <c r="BJ295" s="1" t="s">
        <v>104</v>
      </c>
      <c r="BK295" s="1" t="s">
        <v>104</v>
      </c>
      <c r="BL295" s="1" t="s">
        <v>104</v>
      </c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N296" s="1" t="s">
        <v>104</v>
      </c>
      <c r="AO296" s="1" t="s">
        <v>104</v>
      </c>
      <c r="AP296" s="1" t="s">
        <v>104</v>
      </c>
      <c r="AQ296" s="1" t="s">
        <v>104</v>
      </c>
      <c r="AR296" s="1" t="s">
        <v>104</v>
      </c>
      <c r="AS296" s="1" t="s">
        <v>104</v>
      </c>
      <c r="AU296" s="1" t="s">
        <v>104</v>
      </c>
      <c r="AV296" s="1" t="s">
        <v>104</v>
      </c>
      <c r="AX296" s="1" t="str">
        <f>IFERROR(__xludf.DUMMYFUNCTION("""COMPUTED_VALUE"""),"")</f>
        <v/>
      </c>
      <c r="AZ296" s="1" t="str">
        <f>IFERROR(__xludf.DUMMYFUNCTION("""COMPUTED_VALUE"""),"")</f>
        <v/>
      </c>
      <c r="BB296" s="1" t="s">
        <v>104</v>
      </c>
      <c r="BC296" s="1" t="s">
        <v>104</v>
      </c>
      <c r="BE296" s="1" t="s">
        <v>104</v>
      </c>
      <c r="BG296" s="1" t="s">
        <v>104</v>
      </c>
      <c r="BH296" s="1" t="s">
        <v>104</v>
      </c>
      <c r="BI296" s="1" t="s">
        <v>104</v>
      </c>
      <c r="BJ296" s="1" t="s">
        <v>104</v>
      </c>
      <c r="BK296" s="1" t="s">
        <v>104</v>
      </c>
      <c r="BL296" s="1" t="s">
        <v>104</v>
      </c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N297" s="1" t="s">
        <v>104</v>
      </c>
      <c r="AO297" s="1" t="s">
        <v>104</v>
      </c>
      <c r="AP297" s="1" t="s">
        <v>104</v>
      </c>
      <c r="AQ297" s="1" t="s">
        <v>104</v>
      </c>
      <c r="AR297" s="1" t="s">
        <v>104</v>
      </c>
      <c r="AS297" s="1" t="s">
        <v>104</v>
      </c>
      <c r="AU297" s="1" t="s">
        <v>104</v>
      </c>
      <c r="AV297" s="1" t="s">
        <v>104</v>
      </c>
      <c r="AX297" s="1" t="str">
        <f>IFERROR(__xludf.DUMMYFUNCTION("""COMPUTED_VALUE"""),"")</f>
        <v/>
      </c>
      <c r="AZ297" s="1" t="str">
        <f>IFERROR(__xludf.DUMMYFUNCTION("""COMPUTED_VALUE"""),"")</f>
        <v/>
      </c>
      <c r="BB297" s="1" t="s">
        <v>104</v>
      </c>
      <c r="BC297" s="1" t="s">
        <v>104</v>
      </c>
      <c r="BE297" s="1" t="s">
        <v>104</v>
      </c>
      <c r="BG297" s="1" t="s">
        <v>104</v>
      </c>
      <c r="BH297" s="1" t="s">
        <v>104</v>
      </c>
      <c r="BI297" s="1" t="s">
        <v>104</v>
      </c>
      <c r="BJ297" s="1" t="s">
        <v>104</v>
      </c>
      <c r="BK297" s="1" t="s">
        <v>104</v>
      </c>
      <c r="BL297" s="1" t="s">
        <v>104</v>
      </c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N298" s="1" t="s">
        <v>104</v>
      </c>
      <c r="AO298" s="1" t="s">
        <v>104</v>
      </c>
      <c r="AP298" s="1" t="s">
        <v>104</v>
      </c>
      <c r="AQ298" s="1" t="s">
        <v>104</v>
      </c>
      <c r="AR298" s="1" t="s">
        <v>104</v>
      </c>
      <c r="AS298" s="1" t="s">
        <v>104</v>
      </c>
      <c r="AU298" s="1" t="s">
        <v>104</v>
      </c>
      <c r="AV298" s="1" t="s">
        <v>104</v>
      </c>
      <c r="AX298" s="1" t="str">
        <f>IFERROR(__xludf.DUMMYFUNCTION("""COMPUTED_VALUE"""),"")</f>
        <v/>
      </c>
      <c r="AZ298" s="1" t="str">
        <f>IFERROR(__xludf.DUMMYFUNCTION("""COMPUTED_VALUE"""),"")</f>
        <v/>
      </c>
      <c r="BB298" s="1" t="s">
        <v>104</v>
      </c>
      <c r="BC298" s="1" t="s">
        <v>104</v>
      </c>
      <c r="BE298" s="1" t="s">
        <v>104</v>
      </c>
      <c r="BG298" s="1" t="s">
        <v>104</v>
      </c>
      <c r="BH298" s="1" t="s">
        <v>104</v>
      </c>
      <c r="BI298" s="1" t="s">
        <v>104</v>
      </c>
      <c r="BJ298" s="1" t="s">
        <v>104</v>
      </c>
      <c r="BK298" s="1" t="s">
        <v>104</v>
      </c>
      <c r="BL298" s="1" t="s">
        <v>104</v>
      </c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N299" s="1" t="s">
        <v>104</v>
      </c>
      <c r="AO299" s="1" t="s">
        <v>104</v>
      </c>
      <c r="AP299" s="1" t="s">
        <v>104</v>
      </c>
      <c r="AQ299" s="1" t="s">
        <v>104</v>
      </c>
      <c r="AR299" s="1" t="s">
        <v>104</v>
      </c>
      <c r="AS299" s="1" t="s">
        <v>104</v>
      </c>
      <c r="AU299" s="1" t="s">
        <v>104</v>
      </c>
      <c r="AV299" s="1" t="s">
        <v>104</v>
      </c>
      <c r="AX299" s="1" t="str">
        <f>IFERROR(__xludf.DUMMYFUNCTION("""COMPUTED_VALUE"""),"")</f>
        <v/>
      </c>
      <c r="AZ299" s="1" t="str">
        <f>IFERROR(__xludf.DUMMYFUNCTION("""COMPUTED_VALUE"""),"")</f>
        <v/>
      </c>
      <c r="BB299" s="1" t="s">
        <v>104</v>
      </c>
      <c r="BC299" s="1" t="s">
        <v>104</v>
      </c>
      <c r="BE299" s="1" t="s">
        <v>104</v>
      </c>
      <c r="BG299" s="1" t="s">
        <v>104</v>
      </c>
      <c r="BH299" s="1" t="s">
        <v>104</v>
      </c>
      <c r="BI299" s="1" t="s">
        <v>104</v>
      </c>
      <c r="BJ299" s="1" t="s">
        <v>104</v>
      </c>
      <c r="BK299" s="1" t="s">
        <v>104</v>
      </c>
      <c r="BL299" s="1" t="s">
        <v>104</v>
      </c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N300" s="1" t="s">
        <v>104</v>
      </c>
      <c r="AO300" s="1" t="s">
        <v>104</v>
      </c>
      <c r="AP300" s="1" t="s">
        <v>104</v>
      </c>
      <c r="AQ300" s="1" t="s">
        <v>104</v>
      </c>
      <c r="AR300" s="1" t="s">
        <v>104</v>
      </c>
      <c r="AS300" s="1" t="s">
        <v>104</v>
      </c>
      <c r="AU300" s="1" t="s">
        <v>104</v>
      </c>
      <c r="AV300" s="1" t="s">
        <v>104</v>
      </c>
      <c r="AX300" s="1" t="str">
        <f>IFERROR(__xludf.DUMMYFUNCTION("""COMPUTED_VALUE"""),"")</f>
        <v/>
      </c>
      <c r="AZ300" s="1" t="str">
        <f>IFERROR(__xludf.DUMMYFUNCTION("""COMPUTED_VALUE"""),"")</f>
        <v/>
      </c>
      <c r="BB300" s="1" t="s">
        <v>104</v>
      </c>
      <c r="BC300" s="1" t="s">
        <v>104</v>
      </c>
      <c r="BE300" s="1" t="s">
        <v>104</v>
      </c>
      <c r="BG300" s="1" t="s">
        <v>104</v>
      </c>
      <c r="BH300" s="1" t="s">
        <v>104</v>
      </c>
      <c r="BI300" s="1" t="s">
        <v>104</v>
      </c>
      <c r="BJ300" s="1" t="s">
        <v>104</v>
      </c>
      <c r="BK300" s="1" t="s">
        <v>104</v>
      </c>
      <c r="BL300" s="1" t="s">
        <v>104</v>
      </c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N301" s="1" t="s">
        <v>104</v>
      </c>
      <c r="AO301" s="1" t="s">
        <v>104</v>
      </c>
      <c r="AP301" s="1" t="s">
        <v>104</v>
      </c>
      <c r="AQ301" s="1" t="s">
        <v>104</v>
      </c>
      <c r="AR301" s="1" t="s">
        <v>104</v>
      </c>
      <c r="AS301" s="1" t="s">
        <v>104</v>
      </c>
      <c r="AU301" s="1" t="s">
        <v>104</v>
      </c>
      <c r="AV301" s="1" t="s">
        <v>104</v>
      </c>
      <c r="AX301" s="1" t="str">
        <f>IFERROR(__xludf.DUMMYFUNCTION("""COMPUTED_VALUE"""),"")</f>
        <v/>
      </c>
      <c r="AZ301" s="1" t="str">
        <f>IFERROR(__xludf.DUMMYFUNCTION("""COMPUTED_VALUE"""),"")</f>
        <v/>
      </c>
      <c r="BB301" s="1" t="s">
        <v>104</v>
      </c>
      <c r="BC301" s="1" t="s">
        <v>104</v>
      </c>
      <c r="BE301" s="1" t="s">
        <v>104</v>
      </c>
      <c r="BG301" s="1" t="s">
        <v>104</v>
      </c>
      <c r="BH301" s="1" t="s">
        <v>104</v>
      </c>
      <c r="BI301" s="1" t="s">
        <v>104</v>
      </c>
      <c r="BJ301" s="1" t="s">
        <v>104</v>
      </c>
      <c r="BK301" s="1" t="s">
        <v>104</v>
      </c>
      <c r="BL301" s="1" t="s">
        <v>104</v>
      </c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N302" s="1" t="s">
        <v>104</v>
      </c>
      <c r="AO302" s="1" t="s">
        <v>104</v>
      </c>
      <c r="AP302" s="1" t="s">
        <v>104</v>
      </c>
      <c r="AQ302" s="1" t="s">
        <v>104</v>
      </c>
      <c r="AR302" s="1" t="s">
        <v>104</v>
      </c>
      <c r="AS302" s="1" t="s">
        <v>104</v>
      </c>
      <c r="AU302" s="1" t="s">
        <v>104</v>
      </c>
      <c r="AV302" s="1" t="s">
        <v>104</v>
      </c>
      <c r="AX302" s="1" t="str">
        <f>IFERROR(__xludf.DUMMYFUNCTION("""COMPUTED_VALUE"""),"")</f>
        <v/>
      </c>
      <c r="AZ302" s="1" t="str">
        <f>IFERROR(__xludf.DUMMYFUNCTION("""COMPUTED_VALUE"""),"")</f>
        <v/>
      </c>
      <c r="BB302" s="1" t="s">
        <v>104</v>
      </c>
      <c r="BC302" s="1" t="s">
        <v>104</v>
      </c>
      <c r="BE302" s="1" t="s">
        <v>104</v>
      </c>
      <c r="BG302" s="1" t="s">
        <v>104</v>
      </c>
      <c r="BH302" s="1" t="s">
        <v>104</v>
      </c>
      <c r="BI302" s="1" t="s">
        <v>104</v>
      </c>
      <c r="BJ302" s="1" t="s">
        <v>104</v>
      </c>
      <c r="BK302" s="1" t="s">
        <v>104</v>
      </c>
      <c r="BL302" s="1" t="s">
        <v>104</v>
      </c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N303" s="1" t="s">
        <v>104</v>
      </c>
      <c r="AO303" s="1" t="s">
        <v>104</v>
      </c>
      <c r="AP303" s="1" t="s">
        <v>104</v>
      </c>
      <c r="AQ303" s="1" t="s">
        <v>104</v>
      </c>
      <c r="AR303" s="1" t="s">
        <v>104</v>
      </c>
      <c r="AS303" s="1" t="s">
        <v>104</v>
      </c>
      <c r="AU303" s="1" t="s">
        <v>104</v>
      </c>
      <c r="AV303" s="1" t="s">
        <v>104</v>
      </c>
      <c r="AX303" s="1" t="str">
        <f>IFERROR(__xludf.DUMMYFUNCTION("""COMPUTED_VALUE"""),"")</f>
        <v/>
      </c>
      <c r="AZ303" s="1" t="str">
        <f>IFERROR(__xludf.DUMMYFUNCTION("""COMPUTED_VALUE"""),"")</f>
        <v/>
      </c>
      <c r="BB303" s="1" t="s">
        <v>104</v>
      </c>
      <c r="BC303" s="1" t="s">
        <v>104</v>
      </c>
      <c r="BE303" s="1" t="s">
        <v>104</v>
      </c>
      <c r="BG303" s="1" t="s">
        <v>104</v>
      </c>
      <c r="BH303" s="1" t="s">
        <v>104</v>
      </c>
      <c r="BI303" s="1" t="s">
        <v>104</v>
      </c>
      <c r="BJ303" s="1" t="s">
        <v>104</v>
      </c>
      <c r="BK303" s="1" t="s">
        <v>104</v>
      </c>
      <c r="BL303" s="1" t="s">
        <v>104</v>
      </c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N304" s="1" t="s">
        <v>104</v>
      </c>
      <c r="AO304" s="1" t="s">
        <v>104</v>
      </c>
      <c r="AP304" s="1" t="s">
        <v>104</v>
      </c>
      <c r="AQ304" s="1" t="s">
        <v>104</v>
      </c>
      <c r="AR304" s="1" t="s">
        <v>104</v>
      </c>
      <c r="AS304" s="1" t="s">
        <v>104</v>
      </c>
      <c r="AU304" s="1" t="s">
        <v>104</v>
      </c>
      <c r="AV304" s="1" t="s">
        <v>104</v>
      </c>
      <c r="AX304" s="1" t="str">
        <f>IFERROR(__xludf.DUMMYFUNCTION("""COMPUTED_VALUE"""),"")</f>
        <v/>
      </c>
      <c r="AZ304" s="1" t="str">
        <f>IFERROR(__xludf.DUMMYFUNCTION("""COMPUTED_VALUE"""),"")</f>
        <v/>
      </c>
      <c r="BB304" s="1" t="s">
        <v>104</v>
      </c>
      <c r="BC304" s="1" t="s">
        <v>104</v>
      </c>
      <c r="BE304" s="1" t="s">
        <v>104</v>
      </c>
      <c r="BG304" s="1" t="s">
        <v>104</v>
      </c>
      <c r="BH304" s="1" t="s">
        <v>104</v>
      </c>
      <c r="BI304" s="1" t="s">
        <v>104</v>
      </c>
      <c r="BJ304" s="1" t="s">
        <v>104</v>
      </c>
      <c r="BK304" s="1" t="s">
        <v>104</v>
      </c>
      <c r="BL304" s="1" t="s">
        <v>104</v>
      </c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N305" s="1" t="s">
        <v>104</v>
      </c>
      <c r="AO305" s="1" t="s">
        <v>104</v>
      </c>
      <c r="AP305" s="1" t="s">
        <v>104</v>
      </c>
      <c r="AQ305" s="1" t="s">
        <v>104</v>
      </c>
      <c r="AR305" s="1" t="s">
        <v>104</v>
      </c>
      <c r="AS305" s="1" t="s">
        <v>104</v>
      </c>
      <c r="AU305" s="1" t="s">
        <v>104</v>
      </c>
      <c r="AV305" s="1" t="s">
        <v>104</v>
      </c>
      <c r="AX305" s="1" t="str">
        <f>IFERROR(__xludf.DUMMYFUNCTION("""COMPUTED_VALUE"""),"")</f>
        <v/>
      </c>
      <c r="AZ305" s="1" t="str">
        <f>IFERROR(__xludf.DUMMYFUNCTION("""COMPUTED_VALUE"""),"")</f>
        <v/>
      </c>
      <c r="BB305" s="1" t="s">
        <v>104</v>
      </c>
      <c r="BC305" s="1" t="s">
        <v>104</v>
      </c>
      <c r="BE305" s="1" t="s">
        <v>104</v>
      </c>
      <c r="BG305" s="1" t="s">
        <v>104</v>
      </c>
      <c r="BH305" s="1" t="s">
        <v>104</v>
      </c>
      <c r="BI305" s="1" t="s">
        <v>104</v>
      </c>
      <c r="BJ305" s="1" t="s">
        <v>104</v>
      </c>
      <c r="BK305" s="1" t="s">
        <v>104</v>
      </c>
      <c r="BL305" s="1" t="s">
        <v>104</v>
      </c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N306" s="1" t="s">
        <v>104</v>
      </c>
      <c r="AO306" s="1" t="s">
        <v>104</v>
      </c>
      <c r="AP306" s="1" t="s">
        <v>104</v>
      </c>
      <c r="AQ306" s="1" t="s">
        <v>104</v>
      </c>
      <c r="AR306" s="1" t="s">
        <v>104</v>
      </c>
      <c r="AS306" s="1" t="s">
        <v>104</v>
      </c>
      <c r="AU306" s="1" t="s">
        <v>104</v>
      </c>
      <c r="AV306" s="1" t="s">
        <v>104</v>
      </c>
      <c r="AX306" s="1" t="str">
        <f>IFERROR(__xludf.DUMMYFUNCTION("""COMPUTED_VALUE"""),"")</f>
        <v/>
      </c>
      <c r="AZ306" s="1" t="str">
        <f>IFERROR(__xludf.DUMMYFUNCTION("""COMPUTED_VALUE"""),"")</f>
        <v/>
      </c>
      <c r="BB306" s="1" t="s">
        <v>104</v>
      </c>
      <c r="BC306" s="1" t="s">
        <v>104</v>
      </c>
      <c r="BE306" s="1" t="s">
        <v>104</v>
      </c>
      <c r="BG306" s="1" t="s">
        <v>104</v>
      </c>
      <c r="BH306" s="1" t="s">
        <v>104</v>
      </c>
      <c r="BI306" s="1" t="s">
        <v>104</v>
      </c>
      <c r="BJ306" s="1" t="s">
        <v>104</v>
      </c>
      <c r="BK306" s="1" t="s">
        <v>104</v>
      </c>
      <c r="BL306" s="1" t="s">
        <v>104</v>
      </c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N307" s="1" t="s">
        <v>104</v>
      </c>
      <c r="AO307" s="1" t="s">
        <v>104</v>
      </c>
      <c r="AP307" s="1" t="s">
        <v>104</v>
      </c>
      <c r="AQ307" s="1" t="s">
        <v>104</v>
      </c>
      <c r="AR307" s="1" t="s">
        <v>104</v>
      </c>
      <c r="AS307" s="1" t="s">
        <v>104</v>
      </c>
      <c r="AU307" s="1" t="s">
        <v>104</v>
      </c>
      <c r="AV307" s="1" t="s">
        <v>104</v>
      </c>
      <c r="AX307" s="1" t="str">
        <f>IFERROR(__xludf.DUMMYFUNCTION("""COMPUTED_VALUE"""),"")</f>
        <v/>
      </c>
      <c r="AZ307" s="1" t="str">
        <f>IFERROR(__xludf.DUMMYFUNCTION("""COMPUTED_VALUE"""),"")</f>
        <v/>
      </c>
      <c r="BB307" s="1" t="s">
        <v>104</v>
      </c>
      <c r="BC307" s="1" t="s">
        <v>104</v>
      </c>
      <c r="BE307" s="1" t="s">
        <v>104</v>
      </c>
      <c r="BG307" s="1" t="s">
        <v>104</v>
      </c>
      <c r="BH307" s="1" t="s">
        <v>104</v>
      </c>
      <c r="BI307" s="1" t="s">
        <v>104</v>
      </c>
      <c r="BJ307" s="1" t="s">
        <v>104</v>
      </c>
      <c r="BK307" s="1" t="s">
        <v>104</v>
      </c>
      <c r="BL307" s="1" t="s">
        <v>104</v>
      </c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N308" s="1" t="s">
        <v>104</v>
      </c>
      <c r="AO308" s="1" t="s">
        <v>104</v>
      </c>
      <c r="AP308" s="1" t="s">
        <v>104</v>
      </c>
      <c r="AQ308" s="1" t="s">
        <v>104</v>
      </c>
      <c r="AR308" s="1" t="s">
        <v>104</v>
      </c>
      <c r="AS308" s="1" t="s">
        <v>104</v>
      </c>
      <c r="AU308" s="1" t="s">
        <v>104</v>
      </c>
      <c r="AV308" s="1" t="s">
        <v>104</v>
      </c>
      <c r="AX308" s="1" t="str">
        <f>IFERROR(__xludf.DUMMYFUNCTION("""COMPUTED_VALUE"""),"")</f>
        <v/>
      </c>
      <c r="AZ308" s="1" t="str">
        <f>IFERROR(__xludf.DUMMYFUNCTION("""COMPUTED_VALUE"""),"")</f>
        <v/>
      </c>
      <c r="BB308" s="1" t="s">
        <v>104</v>
      </c>
      <c r="BC308" s="1" t="s">
        <v>104</v>
      </c>
      <c r="BE308" s="1" t="s">
        <v>104</v>
      </c>
      <c r="BG308" s="1" t="s">
        <v>104</v>
      </c>
      <c r="BH308" s="1" t="s">
        <v>104</v>
      </c>
      <c r="BI308" s="1" t="s">
        <v>104</v>
      </c>
      <c r="BJ308" s="1" t="s">
        <v>104</v>
      </c>
      <c r="BK308" s="1" t="s">
        <v>104</v>
      </c>
      <c r="BL308" s="1" t="s">
        <v>104</v>
      </c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N309" s="1" t="s">
        <v>104</v>
      </c>
      <c r="AO309" s="1" t="s">
        <v>104</v>
      </c>
      <c r="AP309" s="1" t="s">
        <v>104</v>
      </c>
      <c r="AQ309" s="1" t="s">
        <v>104</v>
      </c>
      <c r="AR309" s="1" t="s">
        <v>104</v>
      </c>
      <c r="AS309" s="1" t="s">
        <v>104</v>
      </c>
      <c r="AU309" s="1" t="s">
        <v>104</v>
      </c>
      <c r="AV309" s="1" t="s">
        <v>104</v>
      </c>
      <c r="AX309" s="1" t="str">
        <f>IFERROR(__xludf.DUMMYFUNCTION("""COMPUTED_VALUE"""),"")</f>
        <v/>
      </c>
      <c r="AZ309" s="1" t="str">
        <f>IFERROR(__xludf.DUMMYFUNCTION("""COMPUTED_VALUE"""),"")</f>
        <v/>
      </c>
      <c r="BB309" s="1" t="s">
        <v>104</v>
      </c>
      <c r="BC309" s="1" t="s">
        <v>104</v>
      </c>
      <c r="BE309" s="1" t="s">
        <v>104</v>
      </c>
      <c r="BG309" s="1" t="s">
        <v>104</v>
      </c>
      <c r="BH309" s="1" t="s">
        <v>104</v>
      </c>
      <c r="BI309" s="1" t="s">
        <v>104</v>
      </c>
      <c r="BJ309" s="1" t="s">
        <v>104</v>
      </c>
      <c r="BK309" s="1" t="s">
        <v>104</v>
      </c>
      <c r="BL309" s="1" t="s">
        <v>104</v>
      </c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N310" s="1" t="s">
        <v>104</v>
      </c>
      <c r="AO310" s="1" t="s">
        <v>104</v>
      </c>
      <c r="AP310" s="1" t="s">
        <v>104</v>
      </c>
      <c r="AQ310" s="1" t="s">
        <v>104</v>
      </c>
      <c r="AR310" s="1" t="s">
        <v>104</v>
      </c>
      <c r="AS310" s="1" t="s">
        <v>104</v>
      </c>
      <c r="AU310" s="1" t="s">
        <v>104</v>
      </c>
      <c r="AV310" s="1" t="s">
        <v>104</v>
      </c>
      <c r="AX310" s="1" t="str">
        <f>IFERROR(__xludf.DUMMYFUNCTION("""COMPUTED_VALUE"""),"")</f>
        <v/>
      </c>
      <c r="AZ310" s="1" t="str">
        <f>IFERROR(__xludf.DUMMYFUNCTION("""COMPUTED_VALUE"""),"")</f>
        <v/>
      </c>
      <c r="BB310" s="1" t="s">
        <v>104</v>
      </c>
      <c r="BC310" s="1" t="s">
        <v>104</v>
      </c>
      <c r="BE310" s="1" t="s">
        <v>104</v>
      </c>
      <c r="BG310" s="1" t="s">
        <v>104</v>
      </c>
      <c r="BH310" s="1" t="s">
        <v>104</v>
      </c>
      <c r="BI310" s="1" t="s">
        <v>104</v>
      </c>
      <c r="BJ310" s="1" t="s">
        <v>104</v>
      </c>
      <c r="BK310" s="1" t="s">
        <v>104</v>
      </c>
      <c r="BL310" s="1" t="s">
        <v>104</v>
      </c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N311" s="1" t="s">
        <v>104</v>
      </c>
      <c r="AO311" s="1" t="s">
        <v>104</v>
      </c>
      <c r="AP311" s="1" t="s">
        <v>104</v>
      </c>
      <c r="AQ311" s="1" t="s">
        <v>104</v>
      </c>
      <c r="AR311" s="1" t="s">
        <v>104</v>
      </c>
      <c r="AS311" s="1" t="s">
        <v>104</v>
      </c>
      <c r="AU311" s="1" t="s">
        <v>104</v>
      </c>
      <c r="AV311" s="1" t="s">
        <v>104</v>
      </c>
      <c r="AX311" s="1" t="str">
        <f>IFERROR(__xludf.DUMMYFUNCTION("""COMPUTED_VALUE"""),"")</f>
        <v/>
      </c>
      <c r="AZ311" s="1" t="str">
        <f>IFERROR(__xludf.DUMMYFUNCTION("""COMPUTED_VALUE"""),"")</f>
        <v/>
      </c>
      <c r="BB311" s="1" t="s">
        <v>104</v>
      </c>
      <c r="BC311" s="1" t="s">
        <v>104</v>
      </c>
      <c r="BE311" s="1" t="s">
        <v>104</v>
      </c>
      <c r="BG311" s="1" t="s">
        <v>104</v>
      </c>
      <c r="BH311" s="1" t="s">
        <v>104</v>
      </c>
      <c r="BI311" s="1" t="s">
        <v>104</v>
      </c>
      <c r="BJ311" s="1" t="s">
        <v>104</v>
      </c>
      <c r="BK311" s="1" t="s">
        <v>104</v>
      </c>
      <c r="BL311" s="1" t="s">
        <v>104</v>
      </c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N312" s="1" t="s">
        <v>104</v>
      </c>
      <c r="AO312" s="1" t="s">
        <v>104</v>
      </c>
      <c r="AP312" s="1" t="s">
        <v>104</v>
      </c>
      <c r="AQ312" s="1" t="s">
        <v>104</v>
      </c>
      <c r="AR312" s="1" t="s">
        <v>104</v>
      </c>
      <c r="AS312" s="1" t="s">
        <v>104</v>
      </c>
      <c r="AU312" s="1" t="s">
        <v>104</v>
      </c>
      <c r="AV312" s="1" t="s">
        <v>104</v>
      </c>
      <c r="AX312" s="1" t="str">
        <f>IFERROR(__xludf.DUMMYFUNCTION("""COMPUTED_VALUE"""),"")</f>
        <v/>
      </c>
      <c r="AZ312" s="1" t="str">
        <f>IFERROR(__xludf.DUMMYFUNCTION("""COMPUTED_VALUE"""),"")</f>
        <v/>
      </c>
      <c r="BB312" s="1" t="s">
        <v>104</v>
      </c>
      <c r="BC312" s="1" t="s">
        <v>104</v>
      </c>
      <c r="BE312" s="1" t="s">
        <v>104</v>
      </c>
      <c r="BG312" s="1" t="s">
        <v>104</v>
      </c>
      <c r="BH312" s="1" t="s">
        <v>104</v>
      </c>
      <c r="BI312" s="1" t="s">
        <v>104</v>
      </c>
      <c r="BJ312" s="1" t="s">
        <v>104</v>
      </c>
      <c r="BK312" s="1" t="s">
        <v>104</v>
      </c>
      <c r="BL312" s="1" t="s">
        <v>104</v>
      </c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N313" s="1" t="s">
        <v>104</v>
      </c>
      <c r="AO313" s="1" t="s">
        <v>104</v>
      </c>
      <c r="AP313" s="1" t="s">
        <v>104</v>
      </c>
      <c r="AQ313" s="1" t="s">
        <v>104</v>
      </c>
      <c r="AR313" s="1" t="s">
        <v>104</v>
      </c>
      <c r="AS313" s="1" t="s">
        <v>104</v>
      </c>
      <c r="AU313" s="1" t="s">
        <v>104</v>
      </c>
      <c r="AV313" s="1" t="s">
        <v>104</v>
      </c>
      <c r="AX313" s="1" t="str">
        <f>IFERROR(__xludf.DUMMYFUNCTION("""COMPUTED_VALUE"""),"")</f>
        <v/>
      </c>
      <c r="AZ313" s="1" t="str">
        <f>IFERROR(__xludf.DUMMYFUNCTION("""COMPUTED_VALUE"""),"")</f>
        <v/>
      </c>
      <c r="BB313" s="1" t="s">
        <v>104</v>
      </c>
      <c r="BC313" s="1" t="s">
        <v>104</v>
      </c>
      <c r="BE313" s="1" t="s">
        <v>104</v>
      </c>
      <c r="BG313" s="1" t="s">
        <v>104</v>
      </c>
      <c r="BH313" s="1" t="s">
        <v>104</v>
      </c>
      <c r="BI313" s="1" t="s">
        <v>104</v>
      </c>
      <c r="BJ313" s="1" t="s">
        <v>104</v>
      </c>
      <c r="BK313" s="1" t="s">
        <v>104</v>
      </c>
      <c r="BL313" s="1" t="s">
        <v>104</v>
      </c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N314" s="1" t="s">
        <v>104</v>
      </c>
      <c r="AO314" s="1" t="s">
        <v>104</v>
      </c>
      <c r="AP314" s="1" t="s">
        <v>104</v>
      </c>
      <c r="AQ314" s="1" t="s">
        <v>104</v>
      </c>
      <c r="AR314" s="1" t="s">
        <v>104</v>
      </c>
      <c r="AS314" s="1" t="s">
        <v>104</v>
      </c>
      <c r="AU314" s="1" t="s">
        <v>104</v>
      </c>
      <c r="AV314" s="1" t="s">
        <v>104</v>
      </c>
      <c r="AX314" s="1" t="str">
        <f>IFERROR(__xludf.DUMMYFUNCTION("""COMPUTED_VALUE"""),"")</f>
        <v/>
      </c>
      <c r="AZ314" s="1" t="str">
        <f>IFERROR(__xludf.DUMMYFUNCTION("""COMPUTED_VALUE"""),"")</f>
        <v/>
      </c>
      <c r="BB314" s="1" t="s">
        <v>104</v>
      </c>
      <c r="BC314" s="1" t="s">
        <v>104</v>
      </c>
      <c r="BE314" s="1" t="s">
        <v>104</v>
      </c>
      <c r="BG314" s="1" t="s">
        <v>104</v>
      </c>
      <c r="BH314" s="1" t="s">
        <v>104</v>
      </c>
      <c r="BI314" s="1" t="s">
        <v>104</v>
      </c>
      <c r="BJ314" s="1" t="s">
        <v>104</v>
      </c>
      <c r="BK314" s="1" t="s">
        <v>104</v>
      </c>
      <c r="BL314" s="1" t="s">
        <v>104</v>
      </c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N315" s="1" t="s">
        <v>104</v>
      </c>
      <c r="AO315" s="1" t="s">
        <v>104</v>
      </c>
      <c r="AP315" s="1" t="s">
        <v>104</v>
      </c>
      <c r="AQ315" s="1" t="s">
        <v>104</v>
      </c>
      <c r="AR315" s="1" t="s">
        <v>104</v>
      </c>
      <c r="AS315" s="1" t="s">
        <v>104</v>
      </c>
      <c r="AU315" s="1" t="s">
        <v>104</v>
      </c>
      <c r="AV315" s="1" t="s">
        <v>104</v>
      </c>
      <c r="AX315" s="1" t="str">
        <f>IFERROR(__xludf.DUMMYFUNCTION("""COMPUTED_VALUE"""),"")</f>
        <v/>
      </c>
      <c r="AZ315" s="1" t="str">
        <f>IFERROR(__xludf.DUMMYFUNCTION("""COMPUTED_VALUE"""),"")</f>
        <v/>
      </c>
      <c r="BB315" s="1" t="s">
        <v>104</v>
      </c>
      <c r="BC315" s="1" t="s">
        <v>104</v>
      </c>
      <c r="BE315" s="1" t="s">
        <v>104</v>
      </c>
      <c r="BG315" s="1" t="s">
        <v>104</v>
      </c>
      <c r="BH315" s="1" t="s">
        <v>104</v>
      </c>
      <c r="BI315" s="1" t="s">
        <v>104</v>
      </c>
      <c r="BJ315" s="1" t="s">
        <v>104</v>
      </c>
      <c r="BK315" s="1" t="s">
        <v>104</v>
      </c>
      <c r="BL315" s="1" t="s">
        <v>104</v>
      </c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N316" s="1" t="s">
        <v>104</v>
      </c>
      <c r="AO316" s="1" t="s">
        <v>104</v>
      </c>
      <c r="AP316" s="1" t="s">
        <v>104</v>
      </c>
      <c r="AQ316" s="1" t="s">
        <v>104</v>
      </c>
      <c r="AR316" s="1" t="s">
        <v>104</v>
      </c>
      <c r="AS316" s="1" t="s">
        <v>104</v>
      </c>
      <c r="AU316" s="1" t="s">
        <v>104</v>
      </c>
      <c r="AV316" s="1" t="s">
        <v>104</v>
      </c>
      <c r="AX316" s="1" t="str">
        <f>IFERROR(__xludf.DUMMYFUNCTION("""COMPUTED_VALUE"""),"")</f>
        <v/>
      </c>
      <c r="AZ316" s="1" t="str">
        <f>IFERROR(__xludf.DUMMYFUNCTION("""COMPUTED_VALUE"""),"")</f>
        <v/>
      </c>
      <c r="BB316" s="1" t="s">
        <v>104</v>
      </c>
      <c r="BC316" s="1" t="s">
        <v>104</v>
      </c>
      <c r="BE316" s="1" t="s">
        <v>104</v>
      </c>
      <c r="BG316" s="1" t="s">
        <v>104</v>
      </c>
      <c r="BH316" s="1" t="s">
        <v>104</v>
      </c>
      <c r="BI316" s="1" t="s">
        <v>104</v>
      </c>
      <c r="BJ316" s="1" t="s">
        <v>104</v>
      </c>
      <c r="BK316" s="1" t="s">
        <v>104</v>
      </c>
      <c r="BL316" s="1" t="s">
        <v>104</v>
      </c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N317" s="1" t="s">
        <v>104</v>
      </c>
      <c r="AO317" s="1" t="s">
        <v>104</v>
      </c>
      <c r="AP317" s="1" t="s">
        <v>104</v>
      </c>
      <c r="AQ317" s="1" t="s">
        <v>104</v>
      </c>
      <c r="AR317" s="1" t="s">
        <v>104</v>
      </c>
      <c r="AS317" s="1" t="s">
        <v>104</v>
      </c>
      <c r="AU317" s="1" t="s">
        <v>104</v>
      </c>
      <c r="AV317" s="1" t="s">
        <v>104</v>
      </c>
      <c r="AX317" s="1" t="str">
        <f>IFERROR(__xludf.DUMMYFUNCTION("""COMPUTED_VALUE"""),"")</f>
        <v/>
      </c>
      <c r="AZ317" s="1" t="str">
        <f>IFERROR(__xludf.DUMMYFUNCTION("""COMPUTED_VALUE"""),"")</f>
        <v/>
      </c>
      <c r="BB317" s="1" t="s">
        <v>104</v>
      </c>
      <c r="BC317" s="1" t="s">
        <v>104</v>
      </c>
      <c r="BE317" s="1" t="s">
        <v>104</v>
      </c>
      <c r="BG317" s="1" t="s">
        <v>104</v>
      </c>
      <c r="BH317" s="1" t="s">
        <v>104</v>
      </c>
      <c r="BI317" s="1" t="s">
        <v>104</v>
      </c>
      <c r="BJ317" s="1" t="s">
        <v>104</v>
      </c>
      <c r="BK317" s="1" t="s">
        <v>104</v>
      </c>
      <c r="BL317" s="1" t="s">
        <v>104</v>
      </c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N318" s="1" t="s">
        <v>104</v>
      </c>
      <c r="AO318" s="1" t="s">
        <v>104</v>
      </c>
      <c r="AP318" s="1" t="s">
        <v>104</v>
      </c>
      <c r="AQ318" s="1" t="s">
        <v>104</v>
      </c>
      <c r="AR318" s="1" t="s">
        <v>104</v>
      </c>
      <c r="AS318" s="1" t="s">
        <v>104</v>
      </c>
      <c r="AU318" s="1" t="s">
        <v>104</v>
      </c>
      <c r="AV318" s="1" t="s">
        <v>104</v>
      </c>
      <c r="AX318" s="1" t="str">
        <f>IFERROR(__xludf.DUMMYFUNCTION("""COMPUTED_VALUE"""),"")</f>
        <v/>
      </c>
      <c r="AZ318" s="1" t="str">
        <f>IFERROR(__xludf.DUMMYFUNCTION("""COMPUTED_VALUE"""),"")</f>
        <v/>
      </c>
      <c r="BB318" s="1" t="s">
        <v>104</v>
      </c>
      <c r="BC318" s="1" t="s">
        <v>104</v>
      </c>
      <c r="BE318" s="1" t="s">
        <v>104</v>
      </c>
      <c r="BG318" s="1" t="s">
        <v>104</v>
      </c>
      <c r="BH318" s="1" t="s">
        <v>104</v>
      </c>
      <c r="BI318" s="1" t="s">
        <v>104</v>
      </c>
      <c r="BJ318" s="1" t="s">
        <v>104</v>
      </c>
      <c r="BK318" s="1" t="s">
        <v>104</v>
      </c>
      <c r="BL318" s="1" t="s">
        <v>104</v>
      </c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N319" s="1" t="s">
        <v>104</v>
      </c>
      <c r="AO319" s="1" t="s">
        <v>104</v>
      </c>
      <c r="AP319" s="1" t="s">
        <v>104</v>
      </c>
      <c r="AQ319" s="1" t="s">
        <v>104</v>
      </c>
      <c r="AR319" s="1" t="s">
        <v>104</v>
      </c>
      <c r="AS319" s="1" t="s">
        <v>104</v>
      </c>
      <c r="AU319" s="1" t="s">
        <v>104</v>
      </c>
      <c r="AV319" s="1" t="s">
        <v>104</v>
      </c>
      <c r="AX319" s="1" t="str">
        <f>IFERROR(__xludf.DUMMYFUNCTION("""COMPUTED_VALUE"""),"")</f>
        <v/>
      </c>
      <c r="AZ319" s="1" t="str">
        <f>IFERROR(__xludf.DUMMYFUNCTION("""COMPUTED_VALUE"""),"")</f>
        <v/>
      </c>
      <c r="BB319" s="1" t="s">
        <v>104</v>
      </c>
      <c r="BC319" s="1" t="s">
        <v>104</v>
      </c>
      <c r="BE319" s="1" t="s">
        <v>104</v>
      </c>
      <c r="BG319" s="1" t="s">
        <v>104</v>
      </c>
      <c r="BH319" s="1" t="s">
        <v>104</v>
      </c>
      <c r="BI319" s="1" t="s">
        <v>104</v>
      </c>
      <c r="BJ319" s="1" t="s">
        <v>104</v>
      </c>
      <c r="BK319" s="1" t="s">
        <v>104</v>
      </c>
      <c r="BL319" s="1" t="s">
        <v>104</v>
      </c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N320" s="1" t="s">
        <v>104</v>
      </c>
      <c r="AO320" s="1" t="s">
        <v>104</v>
      </c>
      <c r="AP320" s="1" t="s">
        <v>104</v>
      </c>
      <c r="AQ320" s="1" t="s">
        <v>104</v>
      </c>
      <c r="AR320" s="1" t="s">
        <v>104</v>
      </c>
      <c r="AS320" s="1" t="s">
        <v>104</v>
      </c>
      <c r="AU320" s="1" t="s">
        <v>104</v>
      </c>
      <c r="AV320" s="1" t="s">
        <v>104</v>
      </c>
      <c r="AX320" s="1" t="str">
        <f>IFERROR(__xludf.DUMMYFUNCTION("""COMPUTED_VALUE"""),"")</f>
        <v/>
      </c>
      <c r="AZ320" s="1" t="str">
        <f>IFERROR(__xludf.DUMMYFUNCTION("""COMPUTED_VALUE"""),"")</f>
        <v/>
      </c>
      <c r="BB320" s="1" t="s">
        <v>104</v>
      </c>
      <c r="BC320" s="1" t="s">
        <v>104</v>
      </c>
      <c r="BE320" s="1" t="s">
        <v>104</v>
      </c>
      <c r="BG320" s="1" t="s">
        <v>104</v>
      </c>
      <c r="BH320" s="1" t="s">
        <v>104</v>
      </c>
      <c r="BI320" s="1" t="s">
        <v>104</v>
      </c>
      <c r="BJ320" s="1" t="s">
        <v>104</v>
      </c>
      <c r="BK320" s="1" t="s">
        <v>104</v>
      </c>
      <c r="BL320" s="1" t="s">
        <v>104</v>
      </c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N321" s="1" t="s">
        <v>104</v>
      </c>
      <c r="AO321" s="1" t="s">
        <v>104</v>
      </c>
      <c r="AP321" s="1" t="s">
        <v>104</v>
      </c>
      <c r="AQ321" s="1" t="s">
        <v>104</v>
      </c>
      <c r="AR321" s="1" t="s">
        <v>104</v>
      </c>
      <c r="AS321" s="1" t="s">
        <v>104</v>
      </c>
      <c r="AU321" s="1" t="s">
        <v>104</v>
      </c>
      <c r="AV321" s="1" t="s">
        <v>104</v>
      </c>
      <c r="AX321" s="1" t="str">
        <f>IFERROR(__xludf.DUMMYFUNCTION("""COMPUTED_VALUE"""),"")</f>
        <v/>
      </c>
      <c r="AZ321" s="1" t="str">
        <f>IFERROR(__xludf.DUMMYFUNCTION("""COMPUTED_VALUE"""),"")</f>
        <v/>
      </c>
      <c r="BB321" s="1" t="s">
        <v>104</v>
      </c>
      <c r="BC321" s="1" t="s">
        <v>104</v>
      </c>
      <c r="BE321" s="1" t="s">
        <v>104</v>
      </c>
      <c r="BG321" s="1" t="s">
        <v>104</v>
      </c>
      <c r="BH321" s="1" t="s">
        <v>104</v>
      </c>
      <c r="BI321" s="1" t="s">
        <v>104</v>
      </c>
      <c r="BJ321" s="1" t="s">
        <v>104</v>
      </c>
      <c r="BK321" s="1" t="s">
        <v>104</v>
      </c>
      <c r="BL321" s="1" t="s">
        <v>104</v>
      </c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N322" s="1" t="s">
        <v>104</v>
      </c>
      <c r="AO322" s="1" t="s">
        <v>104</v>
      </c>
      <c r="AP322" s="1" t="s">
        <v>104</v>
      </c>
      <c r="AQ322" s="1" t="s">
        <v>104</v>
      </c>
      <c r="AR322" s="1" t="s">
        <v>104</v>
      </c>
      <c r="AS322" s="1" t="s">
        <v>104</v>
      </c>
      <c r="AU322" s="1" t="s">
        <v>104</v>
      </c>
      <c r="AV322" s="1" t="s">
        <v>104</v>
      </c>
      <c r="AX322" s="1" t="str">
        <f>IFERROR(__xludf.DUMMYFUNCTION("""COMPUTED_VALUE"""),"")</f>
        <v/>
      </c>
      <c r="AZ322" s="1" t="str">
        <f>IFERROR(__xludf.DUMMYFUNCTION("""COMPUTED_VALUE"""),"")</f>
        <v/>
      </c>
      <c r="BB322" s="1" t="s">
        <v>104</v>
      </c>
      <c r="BC322" s="1" t="s">
        <v>104</v>
      </c>
      <c r="BE322" s="1" t="s">
        <v>104</v>
      </c>
      <c r="BG322" s="1" t="s">
        <v>104</v>
      </c>
      <c r="BH322" s="1" t="s">
        <v>104</v>
      </c>
      <c r="BI322" s="1" t="s">
        <v>104</v>
      </c>
      <c r="BJ322" s="1" t="s">
        <v>104</v>
      </c>
      <c r="BK322" s="1" t="s">
        <v>104</v>
      </c>
      <c r="BL322" s="1" t="s">
        <v>104</v>
      </c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N323" s="1" t="s">
        <v>104</v>
      </c>
      <c r="AO323" s="1" t="s">
        <v>104</v>
      </c>
      <c r="AP323" s="1" t="s">
        <v>104</v>
      </c>
      <c r="AQ323" s="1" t="s">
        <v>104</v>
      </c>
      <c r="AR323" s="1" t="s">
        <v>104</v>
      </c>
      <c r="AS323" s="1" t="s">
        <v>104</v>
      </c>
      <c r="AU323" s="1" t="s">
        <v>104</v>
      </c>
      <c r="AV323" s="1" t="s">
        <v>104</v>
      </c>
      <c r="AX323" s="1" t="str">
        <f>IFERROR(__xludf.DUMMYFUNCTION("""COMPUTED_VALUE"""),"")</f>
        <v/>
      </c>
      <c r="AZ323" s="1" t="str">
        <f>IFERROR(__xludf.DUMMYFUNCTION("""COMPUTED_VALUE"""),"")</f>
        <v/>
      </c>
      <c r="BB323" s="1" t="s">
        <v>104</v>
      </c>
      <c r="BC323" s="1" t="s">
        <v>104</v>
      </c>
      <c r="BE323" s="1" t="s">
        <v>104</v>
      </c>
      <c r="BG323" s="1" t="s">
        <v>104</v>
      </c>
      <c r="BH323" s="1" t="s">
        <v>104</v>
      </c>
      <c r="BI323" s="1" t="s">
        <v>104</v>
      </c>
      <c r="BJ323" s="1" t="s">
        <v>104</v>
      </c>
      <c r="BK323" s="1" t="s">
        <v>104</v>
      </c>
      <c r="BL323" s="1" t="s">
        <v>104</v>
      </c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N324" s="1" t="s">
        <v>104</v>
      </c>
      <c r="AO324" s="1" t="s">
        <v>104</v>
      </c>
      <c r="AP324" s="1" t="s">
        <v>104</v>
      </c>
      <c r="AQ324" s="1" t="s">
        <v>104</v>
      </c>
      <c r="AR324" s="1" t="s">
        <v>104</v>
      </c>
      <c r="AS324" s="1" t="s">
        <v>104</v>
      </c>
      <c r="AU324" s="1" t="s">
        <v>104</v>
      </c>
      <c r="AV324" s="1" t="s">
        <v>104</v>
      </c>
      <c r="AX324" s="1" t="str">
        <f>IFERROR(__xludf.DUMMYFUNCTION("""COMPUTED_VALUE"""),"")</f>
        <v/>
      </c>
      <c r="AZ324" s="1" t="str">
        <f>IFERROR(__xludf.DUMMYFUNCTION("""COMPUTED_VALUE"""),"")</f>
        <v/>
      </c>
      <c r="BB324" s="1" t="s">
        <v>104</v>
      </c>
      <c r="BC324" s="1" t="s">
        <v>104</v>
      </c>
      <c r="BE324" s="1" t="s">
        <v>104</v>
      </c>
      <c r="BG324" s="1" t="s">
        <v>104</v>
      </c>
      <c r="BH324" s="1" t="s">
        <v>104</v>
      </c>
      <c r="BI324" s="1" t="s">
        <v>104</v>
      </c>
      <c r="BJ324" s="1" t="s">
        <v>104</v>
      </c>
      <c r="BK324" s="1" t="s">
        <v>104</v>
      </c>
      <c r="BL324" s="1" t="s">
        <v>104</v>
      </c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N325" s="1" t="s">
        <v>104</v>
      </c>
      <c r="AO325" s="1" t="s">
        <v>104</v>
      </c>
      <c r="AP325" s="1" t="s">
        <v>104</v>
      </c>
      <c r="AQ325" s="1" t="s">
        <v>104</v>
      </c>
      <c r="AR325" s="1" t="s">
        <v>104</v>
      </c>
      <c r="AS325" s="1" t="s">
        <v>104</v>
      </c>
      <c r="AU325" s="1" t="s">
        <v>104</v>
      </c>
      <c r="AV325" s="1" t="s">
        <v>104</v>
      </c>
      <c r="AX325" s="1" t="str">
        <f>IFERROR(__xludf.DUMMYFUNCTION("""COMPUTED_VALUE"""),"")</f>
        <v/>
      </c>
      <c r="AZ325" s="1" t="str">
        <f>IFERROR(__xludf.DUMMYFUNCTION("""COMPUTED_VALUE"""),"")</f>
        <v/>
      </c>
      <c r="BB325" s="1" t="s">
        <v>104</v>
      </c>
      <c r="BC325" s="1" t="s">
        <v>104</v>
      </c>
      <c r="BE325" s="1" t="s">
        <v>104</v>
      </c>
      <c r="BG325" s="1" t="s">
        <v>104</v>
      </c>
      <c r="BH325" s="1" t="s">
        <v>104</v>
      </c>
      <c r="BI325" s="1" t="s">
        <v>104</v>
      </c>
      <c r="BJ325" s="1" t="s">
        <v>104</v>
      </c>
      <c r="BK325" s="1" t="s">
        <v>104</v>
      </c>
      <c r="BL325" s="1" t="s">
        <v>104</v>
      </c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N326" s="1" t="s">
        <v>104</v>
      </c>
      <c r="AO326" s="1" t="s">
        <v>104</v>
      </c>
      <c r="AP326" s="1" t="s">
        <v>104</v>
      </c>
      <c r="AQ326" s="1" t="s">
        <v>104</v>
      </c>
      <c r="AR326" s="1" t="s">
        <v>104</v>
      </c>
      <c r="AS326" s="1" t="s">
        <v>104</v>
      </c>
      <c r="AU326" s="1" t="s">
        <v>104</v>
      </c>
      <c r="AV326" s="1" t="s">
        <v>104</v>
      </c>
      <c r="AX326" s="1" t="str">
        <f>IFERROR(__xludf.DUMMYFUNCTION("""COMPUTED_VALUE"""),"")</f>
        <v/>
      </c>
      <c r="AZ326" s="1" t="str">
        <f>IFERROR(__xludf.DUMMYFUNCTION("""COMPUTED_VALUE"""),"")</f>
        <v/>
      </c>
      <c r="BB326" s="1" t="s">
        <v>104</v>
      </c>
      <c r="BC326" s="1" t="s">
        <v>104</v>
      </c>
      <c r="BE326" s="1" t="s">
        <v>104</v>
      </c>
      <c r="BG326" s="1" t="s">
        <v>104</v>
      </c>
      <c r="BH326" s="1" t="s">
        <v>104</v>
      </c>
      <c r="BI326" s="1" t="s">
        <v>104</v>
      </c>
      <c r="BJ326" s="1" t="s">
        <v>104</v>
      </c>
      <c r="BK326" s="1" t="s">
        <v>104</v>
      </c>
      <c r="BL326" s="1" t="s">
        <v>104</v>
      </c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N327" s="1" t="s">
        <v>104</v>
      </c>
      <c r="AO327" s="1" t="s">
        <v>104</v>
      </c>
      <c r="AP327" s="1" t="s">
        <v>104</v>
      </c>
      <c r="AQ327" s="1" t="s">
        <v>104</v>
      </c>
      <c r="AR327" s="1" t="s">
        <v>104</v>
      </c>
      <c r="AS327" s="1" t="s">
        <v>104</v>
      </c>
      <c r="AU327" s="1" t="s">
        <v>104</v>
      </c>
      <c r="AV327" s="1" t="s">
        <v>104</v>
      </c>
      <c r="AX327" s="1" t="str">
        <f>IFERROR(__xludf.DUMMYFUNCTION("""COMPUTED_VALUE"""),"")</f>
        <v/>
      </c>
      <c r="AZ327" s="1" t="str">
        <f>IFERROR(__xludf.DUMMYFUNCTION("""COMPUTED_VALUE"""),"")</f>
        <v/>
      </c>
      <c r="BB327" s="1" t="s">
        <v>104</v>
      </c>
      <c r="BC327" s="1" t="s">
        <v>104</v>
      </c>
      <c r="BE327" s="1" t="s">
        <v>104</v>
      </c>
      <c r="BG327" s="1" t="s">
        <v>104</v>
      </c>
      <c r="BH327" s="1" t="s">
        <v>104</v>
      </c>
      <c r="BI327" s="1" t="s">
        <v>104</v>
      </c>
      <c r="BJ327" s="1" t="s">
        <v>104</v>
      </c>
      <c r="BK327" s="1" t="s">
        <v>104</v>
      </c>
      <c r="BL327" s="1" t="s">
        <v>104</v>
      </c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N328" s="1" t="s">
        <v>104</v>
      </c>
      <c r="AO328" s="1" t="s">
        <v>104</v>
      </c>
      <c r="AP328" s="1" t="s">
        <v>104</v>
      </c>
      <c r="AQ328" s="1" t="s">
        <v>104</v>
      </c>
      <c r="AR328" s="1" t="s">
        <v>104</v>
      </c>
      <c r="AS328" s="1" t="s">
        <v>104</v>
      </c>
      <c r="AU328" s="1" t="s">
        <v>104</v>
      </c>
      <c r="AV328" s="1" t="s">
        <v>104</v>
      </c>
      <c r="AX328" s="1" t="str">
        <f>IFERROR(__xludf.DUMMYFUNCTION("""COMPUTED_VALUE"""),"")</f>
        <v/>
      </c>
      <c r="AZ328" s="1" t="str">
        <f>IFERROR(__xludf.DUMMYFUNCTION("""COMPUTED_VALUE"""),"")</f>
        <v/>
      </c>
      <c r="BB328" s="1" t="s">
        <v>104</v>
      </c>
      <c r="BC328" s="1" t="s">
        <v>104</v>
      </c>
      <c r="BE328" s="1" t="s">
        <v>104</v>
      </c>
      <c r="BG328" s="1" t="s">
        <v>104</v>
      </c>
      <c r="BH328" s="1" t="s">
        <v>104</v>
      </c>
      <c r="BI328" s="1" t="s">
        <v>104</v>
      </c>
      <c r="BJ328" s="1" t="s">
        <v>104</v>
      </c>
      <c r="BK328" s="1" t="s">
        <v>104</v>
      </c>
      <c r="BL328" s="1" t="s">
        <v>104</v>
      </c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N329" s="1" t="s">
        <v>104</v>
      </c>
      <c r="AO329" s="1" t="s">
        <v>104</v>
      </c>
      <c r="AP329" s="1" t="s">
        <v>104</v>
      </c>
      <c r="AQ329" s="1" t="s">
        <v>104</v>
      </c>
      <c r="AR329" s="1" t="s">
        <v>104</v>
      </c>
      <c r="AS329" s="1" t="s">
        <v>104</v>
      </c>
      <c r="AU329" s="1" t="s">
        <v>104</v>
      </c>
      <c r="AV329" s="1" t="s">
        <v>104</v>
      </c>
      <c r="AX329" s="1" t="str">
        <f>IFERROR(__xludf.DUMMYFUNCTION("""COMPUTED_VALUE"""),"")</f>
        <v/>
      </c>
      <c r="AZ329" s="1" t="str">
        <f>IFERROR(__xludf.DUMMYFUNCTION("""COMPUTED_VALUE"""),"")</f>
        <v/>
      </c>
      <c r="BB329" s="1" t="s">
        <v>104</v>
      </c>
      <c r="BC329" s="1" t="s">
        <v>104</v>
      </c>
      <c r="BE329" s="1" t="s">
        <v>104</v>
      </c>
      <c r="BG329" s="1" t="s">
        <v>104</v>
      </c>
      <c r="BH329" s="1" t="s">
        <v>104</v>
      </c>
      <c r="BI329" s="1" t="s">
        <v>104</v>
      </c>
      <c r="BJ329" s="1" t="s">
        <v>104</v>
      </c>
      <c r="BK329" s="1" t="s">
        <v>104</v>
      </c>
      <c r="BL329" s="1" t="s">
        <v>104</v>
      </c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N330" s="1" t="s">
        <v>104</v>
      </c>
      <c r="AO330" s="1" t="s">
        <v>104</v>
      </c>
      <c r="AP330" s="1" t="s">
        <v>104</v>
      </c>
      <c r="AQ330" s="1" t="s">
        <v>104</v>
      </c>
      <c r="AR330" s="1" t="s">
        <v>104</v>
      </c>
      <c r="AS330" s="1" t="s">
        <v>104</v>
      </c>
      <c r="AU330" s="1" t="s">
        <v>104</v>
      </c>
      <c r="AV330" s="1" t="s">
        <v>104</v>
      </c>
      <c r="AX330" s="1" t="str">
        <f>IFERROR(__xludf.DUMMYFUNCTION("""COMPUTED_VALUE"""),"")</f>
        <v/>
      </c>
      <c r="AZ330" s="1" t="str">
        <f>IFERROR(__xludf.DUMMYFUNCTION("""COMPUTED_VALUE"""),"")</f>
        <v/>
      </c>
      <c r="BB330" s="1" t="s">
        <v>104</v>
      </c>
      <c r="BC330" s="1" t="s">
        <v>104</v>
      </c>
      <c r="BE330" s="1" t="s">
        <v>104</v>
      </c>
      <c r="BG330" s="1" t="s">
        <v>104</v>
      </c>
      <c r="BH330" s="1" t="s">
        <v>104</v>
      </c>
      <c r="BI330" s="1" t="s">
        <v>104</v>
      </c>
      <c r="BJ330" s="1" t="s">
        <v>104</v>
      </c>
      <c r="BK330" s="1" t="s">
        <v>104</v>
      </c>
      <c r="BL330" s="1" t="s">
        <v>104</v>
      </c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N331" s="1" t="s">
        <v>104</v>
      </c>
      <c r="AO331" s="1" t="s">
        <v>104</v>
      </c>
      <c r="AP331" s="1" t="s">
        <v>104</v>
      </c>
      <c r="AQ331" s="1" t="s">
        <v>104</v>
      </c>
      <c r="AR331" s="1" t="s">
        <v>104</v>
      </c>
      <c r="AS331" s="1" t="s">
        <v>104</v>
      </c>
      <c r="AU331" s="1" t="s">
        <v>104</v>
      </c>
      <c r="AV331" s="1" t="s">
        <v>104</v>
      </c>
      <c r="AX331" s="1" t="str">
        <f>IFERROR(__xludf.DUMMYFUNCTION("""COMPUTED_VALUE"""),"")</f>
        <v/>
      </c>
      <c r="AZ331" s="1" t="str">
        <f>IFERROR(__xludf.DUMMYFUNCTION("""COMPUTED_VALUE"""),"")</f>
        <v/>
      </c>
      <c r="BB331" s="1" t="s">
        <v>104</v>
      </c>
      <c r="BC331" s="1" t="s">
        <v>104</v>
      </c>
      <c r="BE331" s="1" t="s">
        <v>104</v>
      </c>
      <c r="BG331" s="1" t="s">
        <v>104</v>
      </c>
      <c r="BH331" s="1" t="s">
        <v>104</v>
      </c>
      <c r="BI331" s="1" t="s">
        <v>104</v>
      </c>
      <c r="BJ331" s="1" t="s">
        <v>104</v>
      </c>
      <c r="BK331" s="1" t="s">
        <v>104</v>
      </c>
      <c r="BL331" s="1" t="s">
        <v>104</v>
      </c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N332" s="1" t="s">
        <v>104</v>
      </c>
      <c r="AO332" s="1" t="s">
        <v>104</v>
      </c>
      <c r="AP332" s="1" t="s">
        <v>104</v>
      </c>
      <c r="AQ332" s="1" t="s">
        <v>104</v>
      </c>
      <c r="AR332" s="1" t="s">
        <v>104</v>
      </c>
      <c r="AS332" s="1" t="s">
        <v>104</v>
      </c>
      <c r="AU332" s="1" t="s">
        <v>104</v>
      </c>
      <c r="AV332" s="1" t="s">
        <v>104</v>
      </c>
      <c r="AX332" s="1" t="str">
        <f>IFERROR(__xludf.DUMMYFUNCTION("""COMPUTED_VALUE"""),"")</f>
        <v/>
      </c>
      <c r="AZ332" s="1" t="str">
        <f>IFERROR(__xludf.DUMMYFUNCTION("""COMPUTED_VALUE"""),"")</f>
        <v/>
      </c>
      <c r="BB332" s="1" t="s">
        <v>104</v>
      </c>
      <c r="BC332" s="1" t="s">
        <v>104</v>
      </c>
      <c r="BE332" s="1" t="s">
        <v>104</v>
      </c>
      <c r="BG332" s="1" t="s">
        <v>104</v>
      </c>
      <c r="BH332" s="1" t="s">
        <v>104</v>
      </c>
      <c r="BI332" s="1" t="s">
        <v>104</v>
      </c>
      <c r="BJ332" s="1" t="s">
        <v>104</v>
      </c>
      <c r="BK332" s="1" t="s">
        <v>104</v>
      </c>
      <c r="BL332" s="1" t="s">
        <v>104</v>
      </c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N333" s="1" t="s">
        <v>104</v>
      </c>
      <c r="AO333" s="1" t="s">
        <v>104</v>
      </c>
      <c r="AP333" s="1" t="s">
        <v>104</v>
      </c>
      <c r="AQ333" s="1" t="s">
        <v>104</v>
      </c>
      <c r="AR333" s="1" t="s">
        <v>104</v>
      </c>
      <c r="AS333" s="1" t="s">
        <v>104</v>
      </c>
      <c r="AU333" s="1" t="s">
        <v>104</v>
      </c>
      <c r="AV333" s="1" t="s">
        <v>104</v>
      </c>
      <c r="AX333" s="1" t="str">
        <f>IFERROR(__xludf.DUMMYFUNCTION("""COMPUTED_VALUE"""),"")</f>
        <v/>
      </c>
      <c r="AZ333" s="1" t="str">
        <f>IFERROR(__xludf.DUMMYFUNCTION("""COMPUTED_VALUE"""),"")</f>
        <v/>
      </c>
      <c r="BB333" s="1" t="s">
        <v>104</v>
      </c>
      <c r="BC333" s="1" t="s">
        <v>104</v>
      </c>
      <c r="BE333" s="1" t="s">
        <v>104</v>
      </c>
      <c r="BG333" s="1" t="s">
        <v>104</v>
      </c>
      <c r="BH333" s="1" t="s">
        <v>104</v>
      </c>
      <c r="BI333" s="1" t="s">
        <v>104</v>
      </c>
      <c r="BJ333" s="1" t="s">
        <v>104</v>
      </c>
      <c r="BK333" s="1" t="s">
        <v>104</v>
      </c>
      <c r="BL333" s="1" t="s">
        <v>104</v>
      </c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N334" s="1" t="s">
        <v>104</v>
      </c>
      <c r="AO334" s="1" t="s">
        <v>104</v>
      </c>
      <c r="AP334" s="1" t="s">
        <v>104</v>
      </c>
      <c r="AQ334" s="1" t="s">
        <v>104</v>
      </c>
      <c r="AR334" s="1" t="s">
        <v>104</v>
      </c>
      <c r="AS334" s="1" t="s">
        <v>104</v>
      </c>
      <c r="AU334" s="1" t="s">
        <v>104</v>
      </c>
      <c r="AV334" s="1" t="s">
        <v>104</v>
      </c>
      <c r="AX334" s="1" t="str">
        <f>IFERROR(__xludf.DUMMYFUNCTION("""COMPUTED_VALUE"""),"")</f>
        <v/>
      </c>
      <c r="AZ334" s="1" t="str">
        <f>IFERROR(__xludf.DUMMYFUNCTION("""COMPUTED_VALUE"""),"")</f>
        <v/>
      </c>
      <c r="BB334" s="1" t="s">
        <v>104</v>
      </c>
      <c r="BC334" s="1" t="s">
        <v>104</v>
      </c>
      <c r="BE334" s="1" t="s">
        <v>104</v>
      </c>
      <c r="BG334" s="1" t="s">
        <v>104</v>
      </c>
      <c r="BH334" s="1" t="s">
        <v>104</v>
      </c>
      <c r="BI334" s="1" t="s">
        <v>104</v>
      </c>
      <c r="BJ334" s="1" t="s">
        <v>104</v>
      </c>
      <c r="BK334" s="1" t="s">
        <v>104</v>
      </c>
      <c r="BL334" s="1" t="s">
        <v>104</v>
      </c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N335" s="1" t="s">
        <v>104</v>
      </c>
      <c r="AO335" s="1" t="s">
        <v>104</v>
      </c>
      <c r="AP335" s="1" t="s">
        <v>104</v>
      </c>
      <c r="AQ335" s="1" t="s">
        <v>104</v>
      </c>
      <c r="AR335" s="1" t="s">
        <v>104</v>
      </c>
      <c r="AS335" s="1" t="s">
        <v>104</v>
      </c>
      <c r="AU335" s="1" t="s">
        <v>104</v>
      </c>
      <c r="AV335" s="1" t="s">
        <v>104</v>
      </c>
      <c r="AX335" s="1" t="str">
        <f>IFERROR(__xludf.DUMMYFUNCTION("""COMPUTED_VALUE"""),"")</f>
        <v/>
      </c>
      <c r="AZ335" s="1" t="str">
        <f>IFERROR(__xludf.DUMMYFUNCTION("""COMPUTED_VALUE"""),"")</f>
        <v/>
      </c>
      <c r="BB335" s="1" t="s">
        <v>104</v>
      </c>
      <c r="BC335" s="1" t="s">
        <v>104</v>
      </c>
      <c r="BE335" s="1" t="s">
        <v>104</v>
      </c>
      <c r="BG335" s="1" t="s">
        <v>104</v>
      </c>
      <c r="BH335" s="1" t="s">
        <v>104</v>
      </c>
      <c r="BI335" s="1" t="s">
        <v>104</v>
      </c>
      <c r="BJ335" s="1" t="s">
        <v>104</v>
      </c>
      <c r="BK335" s="1" t="s">
        <v>104</v>
      </c>
      <c r="BL335" s="1" t="s">
        <v>104</v>
      </c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N336" s="1" t="s">
        <v>104</v>
      </c>
      <c r="AO336" s="1" t="s">
        <v>104</v>
      </c>
      <c r="AP336" s="1" t="s">
        <v>104</v>
      </c>
      <c r="AQ336" s="1" t="s">
        <v>104</v>
      </c>
      <c r="AR336" s="1" t="s">
        <v>104</v>
      </c>
      <c r="AS336" s="1" t="s">
        <v>104</v>
      </c>
      <c r="AU336" s="1" t="s">
        <v>104</v>
      </c>
      <c r="AV336" s="1" t="s">
        <v>104</v>
      </c>
      <c r="AX336" s="1" t="str">
        <f>IFERROR(__xludf.DUMMYFUNCTION("""COMPUTED_VALUE"""),"")</f>
        <v/>
      </c>
      <c r="AZ336" s="1" t="str">
        <f>IFERROR(__xludf.DUMMYFUNCTION("""COMPUTED_VALUE"""),"")</f>
        <v/>
      </c>
      <c r="BB336" s="1" t="s">
        <v>104</v>
      </c>
      <c r="BC336" s="1" t="s">
        <v>104</v>
      </c>
      <c r="BE336" s="1" t="s">
        <v>104</v>
      </c>
      <c r="BG336" s="1" t="s">
        <v>104</v>
      </c>
      <c r="BH336" s="1" t="s">
        <v>104</v>
      </c>
      <c r="BI336" s="1" t="s">
        <v>104</v>
      </c>
      <c r="BJ336" s="1" t="s">
        <v>104</v>
      </c>
      <c r="BK336" s="1" t="s">
        <v>104</v>
      </c>
      <c r="BL336" s="1" t="s">
        <v>104</v>
      </c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N337" s="1" t="s">
        <v>104</v>
      </c>
      <c r="AO337" s="1" t="s">
        <v>104</v>
      </c>
      <c r="AP337" s="1" t="s">
        <v>104</v>
      </c>
      <c r="AQ337" s="1" t="s">
        <v>104</v>
      </c>
      <c r="AR337" s="1" t="s">
        <v>104</v>
      </c>
      <c r="AS337" s="1" t="s">
        <v>104</v>
      </c>
      <c r="AU337" s="1" t="s">
        <v>104</v>
      </c>
      <c r="AV337" s="1" t="s">
        <v>104</v>
      </c>
      <c r="AX337" s="1" t="str">
        <f>IFERROR(__xludf.DUMMYFUNCTION("""COMPUTED_VALUE"""),"")</f>
        <v/>
      </c>
      <c r="AZ337" s="1" t="str">
        <f>IFERROR(__xludf.DUMMYFUNCTION("""COMPUTED_VALUE"""),"")</f>
        <v/>
      </c>
      <c r="BB337" s="1" t="s">
        <v>104</v>
      </c>
      <c r="BC337" s="1" t="s">
        <v>104</v>
      </c>
      <c r="BE337" s="1" t="s">
        <v>104</v>
      </c>
      <c r="BG337" s="1" t="s">
        <v>104</v>
      </c>
      <c r="BH337" s="1" t="s">
        <v>104</v>
      </c>
      <c r="BI337" s="1" t="s">
        <v>104</v>
      </c>
      <c r="BJ337" s="1" t="s">
        <v>104</v>
      </c>
      <c r="BK337" s="1" t="s">
        <v>104</v>
      </c>
      <c r="BL337" s="1" t="s">
        <v>104</v>
      </c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N338" s="1" t="s">
        <v>104</v>
      </c>
      <c r="AO338" s="1" t="s">
        <v>104</v>
      </c>
      <c r="AP338" s="1" t="s">
        <v>104</v>
      </c>
      <c r="AQ338" s="1" t="s">
        <v>104</v>
      </c>
      <c r="AR338" s="1" t="s">
        <v>104</v>
      </c>
      <c r="AS338" s="1" t="s">
        <v>104</v>
      </c>
      <c r="AU338" s="1" t="s">
        <v>104</v>
      </c>
      <c r="AV338" s="1" t="s">
        <v>104</v>
      </c>
      <c r="AX338" s="1" t="str">
        <f>IFERROR(__xludf.DUMMYFUNCTION("""COMPUTED_VALUE"""),"")</f>
        <v/>
      </c>
      <c r="AZ338" s="1" t="str">
        <f>IFERROR(__xludf.DUMMYFUNCTION("""COMPUTED_VALUE"""),"")</f>
        <v/>
      </c>
      <c r="BB338" s="1" t="s">
        <v>104</v>
      </c>
      <c r="BC338" s="1" t="s">
        <v>104</v>
      </c>
      <c r="BE338" s="1" t="s">
        <v>104</v>
      </c>
      <c r="BG338" s="1" t="s">
        <v>104</v>
      </c>
      <c r="BH338" s="1" t="s">
        <v>104</v>
      </c>
      <c r="BI338" s="1" t="s">
        <v>104</v>
      </c>
      <c r="BJ338" s="1" t="s">
        <v>104</v>
      </c>
      <c r="BK338" s="1" t="s">
        <v>104</v>
      </c>
      <c r="BL338" s="1" t="s">
        <v>104</v>
      </c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N339" s="1" t="s">
        <v>104</v>
      </c>
      <c r="AO339" s="1" t="s">
        <v>104</v>
      </c>
      <c r="AP339" s="1" t="s">
        <v>104</v>
      </c>
      <c r="AQ339" s="1" t="s">
        <v>104</v>
      </c>
      <c r="AR339" s="1" t="s">
        <v>104</v>
      </c>
      <c r="AS339" s="1" t="s">
        <v>104</v>
      </c>
      <c r="AU339" s="1" t="s">
        <v>104</v>
      </c>
      <c r="AV339" s="1" t="s">
        <v>104</v>
      </c>
      <c r="AX339" s="1" t="str">
        <f>IFERROR(__xludf.DUMMYFUNCTION("""COMPUTED_VALUE"""),"")</f>
        <v/>
      </c>
      <c r="AZ339" s="1" t="str">
        <f>IFERROR(__xludf.DUMMYFUNCTION("""COMPUTED_VALUE"""),"")</f>
        <v/>
      </c>
      <c r="BB339" s="1" t="s">
        <v>104</v>
      </c>
      <c r="BC339" s="1" t="s">
        <v>104</v>
      </c>
      <c r="BE339" s="1" t="s">
        <v>104</v>
      </c>
      <c r="BG339" s="1" t="s">
        <v>104</v>
      </c>
      <c r="BH339" s="1" t="s">
        <v>104</v>
      </c>
      <c r="BI339" s="1" t="s">
        <v>104</v>
      </c>
      <c r="BJ339" s="1" t="s">
        <v>104</v>
      </c>
      <c r="BK339" s="1" t="s">
        <v>104</v>
      </c>
      <c r="BL339" s="1" t="s">
        <v>104</v>
      </c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N340" s="1" t="s">
        <v>104</v>
      </c>
      <c r="AO340" s="1" t="s">
        <v>104</v>
      </c>
      <c r="AP340" s="1" t="s">
        <v>104</v>
      </c>
      <c r="AQ340" s="1" t="s">
        <v>104</v>
      </c>
      <c r="AR340" s="1" t="s">
        <v>104</v>
      </c>
      <c r="AS340" s="1" t="s">
        <v>104</v>
      </c>
      <c r="AU340" s="1" t="s">
        <v>104</v>
      </c>
      <c r="AV340" s="1" t="s">
        <v>104</v>
      </c>
      <c r="AX340" s="1" t="str">
        <f>IFERROR(__xludf.DUMMYFUNCTION("""COMPUTED_VALUE"""),"")</f>
        <v/>
      </c>
      <c r="AZ340" s="1" t="str">
        <f>IFERROR(__xludf.DUMMYFUNCTION("""COMPUTED_VALUE"""),"")</f>
        <v/>
      </c>
      <c r="BB340" s="1" t="s">
        <v>104</v>
      </c>
      <c r="BC340" s="1" t="s">
        <v>104</v>
      </c>
      <c r="BE340" s="1" t="s">
        <v>104</v>
      </c>
      <c r="BG340" s="1" t="s">
        <v>104</v>
      </c>
      <c r="BH340" s="1" t="s">
        <v>104</v>
      </c>
      <c r="BI340" s="1" t="s">
        <v>104</v>
      </c>
      <c r="BJ340" s="1" t="s">
        <v>104</v>
      </c>
      <c r="BK340" s="1" t="s">
        <v>104</v>
      </c>
      <c r="BL340" s="1" t="s">
        <v>104</v>
      </c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N341" s="1" t="s">
        <v>104</v>
      </c>
      <c r="AO341" s="1" t="s">
        <v>104</v>
      </c>
      <c r="AP341" s="1" t="s">
        <v>104</v>
      </c>
      <c r="AQ341" s="1" t="s">
        <v>104</v>
      </c>
      <c r="AR341" s="1" t="s">
        <v>104</v>
      </c>
      <c r="AS341" s="1" t="s">
        <v>104</v>
      </c>
      <c r="AU341" s="1" t="s">
        <v>104</v>
      </c>
      <c r="AV341" s="1" t="s">
        <v>104</v>
      </c>
      <c r="AX341" s="1" t="str">
        <f>IFERROR(__xludf.DUMMYFUNCTION("""COMPUTED_VALUE"""),"")</f>
        <v/>
      </c>
      <c r="AZ341" s="1" t="str">
        <f>IFERROR(__xludf.DUMMYFUNCTION("""COMPUTED_VALUE"""),"")</f>
        <v/>
      </c>
      <c r="BB341" s="1" t="s">
        <v>104</v>
      </c>
      <c r="BC341" s="1" t="s">
        <v>104</v>
      </c>
      <c r="BE341" s="1" t="s">
        <v>104</v>
      </c>
      <c r="BG341" s="1" t="s">
        <v>104</v>
      </c>
      <c r="BH341" s="1" t="s">
        <v>104</v>
      </c>
      <c r="BI341" s="1" t="s">
        <v>104</v>
      </c>
      <c r="BJ341" s="1" t="s">
        <v>104</v>
      </c>
      <c r="BK341" s="1" t="s">
        <v>104</v>
      </c>
      <c r="BL341" s="1" t="s">
        <v>104</v>
      </c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N342" s="1" t="s">
        <v>104</v>
      </c>
      <c r="AO342" s="1" t="s">
        <v>104</v>
      </c>
      <c r="AP342" s="1" t="s">
        <v>104</v>
      </c>
      <c r="AQ342" s="1" t="s">
        <v>104</v>
      </c>
      <c r="AR342" s="1" t="s">
        <v>104</v>
      </c>
      <c r="AS342" s="1" t="s">
        <v>104</v>
      </c>
      <c r="AU342" s="1" t="s">
        <v>104</v>
      </c>
      <c r="AV342" s="1" t="s">
        <v>104</v>
      </c>
      <c r="AX342" s="1" t="str">
        <f>IFERROR(__xludf.DUMMYFUNCTION("""COMPUTED_VALUE"""),"")</f>
        <v/>
      </c>
      <c r="AZ342" s="1" t="str">
        <f>IFERROR(__xludf.DUMMYFUNCTION("""COMPUTED_VALUE"""),"")</f>
        <v/>
      </c>
      <c r="BB342" s="1" t="s">
        <v>104</v>
      </c>
      <c r="BC342" s="1" t="s">
        <v>104</v>
      </c>
      <c r="BE342" s="1" t="s">
        <v>104</v>
      </c>
      <c r="BG342" s="1" t="s">
        <v>104</v>
      </c>
      <c r="BH342" s="1" t="s">
        <v>104</v>
      </c>
      <c r="BI342" s="1" t="s">
        <v>104</v>
      </c>
      <c r="BJ342" s="1" t="s">
        <v>104</v>
      </c>
      <c r="BK342" s="1" t="s">
        <v>104</v>
      </c>
      <c r="BL342" s="1" t="s">
        <v>104</v>
      </c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N343" s="1" t="s">
        <v>104</v>
      </c>
      <c r="AO343" s="1" t="s">
        <v>104</v>
      </c>
      <c r="AP343" s="1" t="s">
        <v>104</v>
      </c>
      <c r="AQ343" s="1" t="s">
        <v>104</v>
      </c>
      <c r="AR343" s="1" t="s">
        <v>104</v>
      </c>
      <c r="AS343" s="1" t="s">
        <v>104</v>
      </c>
      <c r="AU343" s="1" t="s">
        <v>104</v>
      </c>
      <c r="AV343" s="1" t="s">
        <v>104</v>
      </c>
      <c r="AX343" s="1" t="str">
        <f>IFERROR(__xludf.DUMMYFUNCTION("""COMPUTED_VALUE"""),"")</f>
        <v/>
      </c>
      <c r="AZ343" s="1" t="str">
        <f>IFERROR(__xludf.DUMMYFUNCTION("""COMPUTED_VALUE"""),"")</f>
        <v/>
      </c>
      <c r="BB343" s="1" t="s">
        <v>104</v>
      </c>
      <c r="BC343" s="1" t="s">
        <v>104</v>
      </c>
      <c r="BE343" s="1" t="s">
        <v>104</v>
      </c>
      <c r="BG343" s="1" t="s">
        <v>104</v>
      </c>
      <c r="BH343" s="1" t="s">
        <v>104</v>
      </c>
      <c r="BI343" s="1" t="s">
        <v>104</v>
      </c>
      <c r="BJ343" s="1" t="s">
        <v>104</v>
      </c>
      <c r="BK343" s="1" t="s">
        <v>104</v>
      </c>
      <c r="BL343" s="1" t="s">
        <v>104</v>
      </c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N344" s="1" t="s">
        <v>104</v>
      </c>
      <c r="AO344" s="1" t="s">
        <v>104</v>
      </c>
      <c r="AP344" s="1" t="s">
        <v>104</v>
      </c>
      <c r="AQ344" s="1" t="s">
        <v>104</v>
      </c>
      <c r="AR344" s="1" t="s">
        <v>104</v>
      </c>
      <c r="AS344" s="1" t="s">
        <v>104</v>
      </c>
      <c r="AU344" s="1" t="s">
        <v>104</v>
      </c>
      <c r="AV344" s="1" t="s">
        <v>104</v>
      </c>
      <c r="AX344" s="1" t="str">
        <f>IFERROR(__xludf.DUMMYFUNCTION("""COMPUTED_VALUE"""),"")</f>
        <v/>
      </c>
      <c r="AZ344" s="1" t="str">
        <f>IFERROR(__xludf.DUMMYFUNCTION("""COMPUTED_VALUE"""),"")</f>
        <v/>
      </c>
      <c r="BB344" s="1" t="s">
        <v>104</v>
      </c>
      <c r="BC344" s="1" t="s">
        <v>104</v>
      </c>
      <c r="BE344" s="1" t="s">
        <v>104</v>
      </c>
      <c r="BG344" s="1" t="s">
        <v>104</v>
      </c>
      <c r="BH344" s="1" t="s">
        <v>104</v>
      </c>
      <c r="BI344" s="1" t="s">
        <v>104</v>
      </c>
      <c r="BJ344" s="1" t="s">
        <v>104</v>
      </c>
      <c r="BK344" s="1" t="s">
        <v>104</v>
      </c>
      <c r="BL344" s="1" t="s">
        <v>104</v>
      </c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N345" s="1" t="s">
        <v>104</v>
      </c>
      <c r="AO345" s="1" t="s">
        <v>104</v>
      </c>
      <c r="AP345" s="1" t="s">
        <v>104</v>
      </c>
      <c r="AQ345" s="1" t="s">
        <v>104</v>
      </c>
      <c r="AR345" s="1" t="s">
        <v>104</v>
      </c>
      <c r="AS345" s="1" t="s">
        <v>104</v>
      </c>
      <c r="AU345" s="1" t="s">
        <v>104</v>
      </c>
      <c r="AV345" s="1" t="s">
        <v>104</v>
      </c>
      <c r="AX345" s="1" t="str">
        <f>IFERROR(__xludf.DUMMYFUNCTION("""COMPUTED_VALUE"""),"")</f>
        <v/>
      </c>
      <c r="AZ345" s="1" t="str">
        <f>IFERROR(__xludf.DUMMYFUNCTION("""COMPUTED_VALUE"""),"")</f>
        <v/>
      </c>
      <c r="BB345" s="1" t="s">
        <v>104</v>
      </c>
      <c r="BC345" s="1" t="s">
        <v>104</v>
      </c>
      <c r="BE345" s="1" t="s">
        <v>104</v>
      </c>
      <c r="BG345" s="1" t="s">
        <v>104</v>
      </c>
      <c r="BH345" s="1" t="s">
        <v>104</v>
      </c>
      <c r="BI345" s="1" t="s">
        <v>104</v>
      </c>
      <c r="BJ345" s="1" t="s">
        <v>104</v>
      </c>
      <c r="BK345" s="1" t="s">
        <v>104</v>
      </c>
      <c r="BL345" s="1" t="s">
        <v>104</v>
      </c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N346" s="1" t="s">
        <v>104</v>
      </c>
      <c r="AO346" s="1" t="s">
        <v>104</v>
      </c>
      <c r="AP346" s="1" t="s">
        <v>104</v>
      </c>
      <c r="AQ346" s="1" t="s">
        <v>104</v>
      </c>
      <c r="AR346" s="1" t="s">
        <v>104</v>
      </c>
      <c r="AS346" s="1" t="s">
        <v>104</v>
      </c>
      <c r="AU346" s="1" t="s">
        <v>104</v>
      </c>
      <c r="AV346" s="1" t="s">
        <v>104</v>
      </c>
      <c r="AX346" s="1" t="str">
        <f>IFERROR(__xludf.DUMMYFUNCTION("""COMPUTED_VALUE"""),"")</f>
        <v/>
      </c>
      <c r="AZ346" s="1" t="str">
        <f>IFERROR(__xludf.DUMMYFUNCTION("""COMPUTED_VALUE"""),"")</f>
        <v/>
      </c>
      <c r="BB346" s="1" t="s">
        <v>104</v>
      </c>
      <c r="BC346" s="1" t="s">
        <v>104</v>
      </c>
      <c r="BE346" s="1" t="s">
        <v>104</v>
      </c>
      <c r="BG346" s="1" t="s">
        <v>104</v>
      </c>
      <c r="BH346" s="1" t="s">
        <v>104</v>
      </c>
      <c r="BI346" s="1" t="s">
        <v>104</v>
      </c>
      <c r="BJ346" s="1" t="s">
        <v>104</v>
      </c>
      <c r="BK346" s="1" t="s">
        <v>104</v>
      </c>
      <c r="BL346" s="1" t="s">
        <v>104</v>
      </c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N347" s="1" t="s">
        <v>104</v>
      </c>
      <c r="AO347" s="1" t="s">
        <v>104</v>
      </c>
      <c r="AP347" s="1" t="s">
        <v>104</v>
      </c>
      <c r="AQ347" s="1" t="s">
        <v>104</v>
      </c>
      <c r="AR347" s="1" t="s">
        <v>104</v>
      </c>
      <c r="AS347" s="1" t="s">
        <v>104</v>
      </c>
      <c r="AU347" s="1" t="s">
        <v>104</v>
      </c>
      <c r="AV347" s="1" t="s">
        <v>104</v>
      </c>
      <c r="AX347" s="1" t="str">
        <f>IFERROR(__xludf.DUMMYFUNCTION("""COMPUTED_VALUE"""),"")</f>
        <v/>
      </c>
      <c r="AZ347" s="1" t="str">
        <f>IFERROR(__xludf.DUMMYFUNCTION("""COMPUTED_VALUE"""),"")</f>
        <v/>
      </c>
      <c r="BB347" s="1" t="s">
        <v>104</v>
      </c>
      <c r="BC347" s="1" t="s">
        <v>104</v>
      </c>
      <c r="BE347" s="1" t="s">
        <v>104</v>
      </c>
      <c r="BG347" s="1" t="s">
        <v>104</v>
      </c>
      <c r="BH347" s="1" t="s">
        <v>104</v>
      </c>
      <c r="BI347" s="1" t="s">
        <v>104</v>
      </c>
      <c r="BJ347" s="1" t="s">
        <v>104</v>
      </c>
      <c r="BK347" s="1" t="s">
        <v>104</v>
      </c>
      <c r="BL347" s="1" t="s">
        <v>104</v>
      </c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N348" s="1" t="s">
        <v>104</v>
      </c>
      <c r="AO348" s="1" t="s">
        <v>104</v>
      </c>
      <c r="AP348" s="1" t="s">
        <v>104</v>
      </c>
      <c r="AQ348" s="1" t="s">
        <v>104</v>
      </c>
      <c r="AR348" s="1" t="s">
        <v>104</v>
      </c>
      <c r="AS348" s="1" t="s">
        <v>104</v>
      </c>
      <c r="AU348" s="1" t="s">
        <v>104</v>
      </c>
      <c r="AV348" s="1" t="s">
        <v>104</v>
      </c>
      <c r="AX348" s="1" t="str">
        <f>IFERROR(__xludf.DUMMYFUNCTION("""COMPUTED_VALUE"""),"")</f>
        <v/>
      </c>
      <c r="AZ348" s="1" t="str">
        <f>IFERROR(__xludf.DUMMYFUNCTION("""COMPUTED_VALUE"""),"")</f>
        <v/>
      </c>
      <c r="BB348" s="1" t="s">
        <v>104</v>
      </c>
      <c r="BC348" s="1" t="s">
        <v>104</v>
      </c>
      <c r="BE348" s="1" t="s">
        <v>104</v>
      </c>
      <c r="BG348" s="1" t="s">
        <v>104</v>
      </c>
      <c r="BH348" s="1" t="s">
        <v>104</v>
      </c>
      <c r="BI348" s="1" t="s">
        <v>104</v>
      </c>
      <c r="BJ348" s="1" t="s">
        <v>104</v>
      </c>
      <c r="BK348" s="1" t="s">
        <v>104</v>
      </c>
      <c r="BL348" s="1" t="s">
        <v>104</v>
      </c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N349" s="1" t="s">
        <v>104</v>
      </c>
      <c r="AO349" s="1" t="s">
        <v>104</v>
      </c>
      <c r="AP349" s="1" t="s">
        <v>104</v>
      </c>
      <c r="AQ349" s="1" t="s">
        <v>104</v>
      </c>
      <c r="AR349" s="1" t="s">
        <v>104</v>
      </c>
      <c r="AS349" s="1" t="s">
        <v>104</v>
      </c>
      <c r="AU349" s="1" t="s">
        <v>104</v>
      </c>
      <c r="AV349" s="1" t="s">
        <v>104</v>
      </c>
      <c r="AX349" s="1" t="str">
        <f>IFERROR(__xludf.DUMMYFUNCTION("""COMPUTED_VALUE"""),"")</f>
        <v/>
      </c>
      <c r="AZ349" s="1" t="str">
        <f>IFERROR(__xludf.DUMMYFUNCTION("""COMPUTED_VALUE"""),"")</f>
        <v/>
      </c>
      <c r="BB349" s="1" t="s">
        <v>104</v>
      </c>
      <c r="BC349" s="1" t="s">
        <v>104</v>
      </c>
      <c r="BE349" s="1" t="s">
        <v>104</v>
      </c>
      <c r="BG349" s="1" t="s">
        <v>104</v>
      </c>
      <c r="BH349" s="1" t="s">
        <v>104</v>
      </c>
      <c r="BI349" s="1" t="s">
        <v>104</v>
      </c>
      <c r="BJ349" s="1" t="s">
        <v>104</v>
      </c>
      <c r="BK349" s="1" t="s">
        <v>104</v>
      </c>
      <c r="BL349" s="1" t="s">
        <v>104</v>
      </c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N350" s="1" t="s">
        <v>104</v>
      </c>
      <c r="AO350" s="1" t="s">
        <v>104</v>
      </c>
      <c r="AP350" s="1" t="s">
        <v>104</v>
      </c>
      <c r="AQ350" s="1" t="s">
        <v>104</v>
      </c>
      <c r="AR350" s="1" t="s">
        <v>104</v>
      </c>
      <c r="AS350" s="1" t="s">
        <v>104</v>
      </c>
      <c r="AU350" s="1" t="s">
        <v>104</v>
      </c>
      <c r="AV350" s="1" t="s">
        <v>104</v>
      </c>
      <c r="AX350" s="1" t="str">
        <f>IFERROR(__xludf.DUMMYFUNCTION("""COMPUTED_VALUE"""),"")</f>
        <v/>
      </c>
      <c r="AZ350" s="1" t="str">
        <f>IFERROR(__xludf.DUMMYFUNCTION("""COMPUTED_VALUE"""),"")</f>
        <v/>
      </c>
      <c r="BB350" s="1" t="s">
        <v>104</v>
      </c>
      <c r="BC350" s="1" t="s">
        <v>104</v>
      </c>
      <c r="BE350" s="1" t="s">
        <v>104</v>
      </c>
      <c r="BG350" s="1" t="s">
        <v>104</v>
      </c>
      <c r="BH350" s="1" t="s">
        <v>104</v>
      </c>
      <c r="BI350" s="1" t="s">
        <v>104</v>
      </c>
      <c r="BJ350" s="1" t="s">
        <v>104</v>
      </c>
      <c r="BK350" s="1" t="s">
        <v>104</v>
      </c>
      <c r="BL350" s="1" t="s">
        <v>104</v>
      </c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N351" s="1" t="s">
        <v>104</v>
      </c>
      <c r="AO351" s="1" t="s">
        <v>104</v>
      </c>
      <c r="AP351" s="1" t="s">
        <v>104</v>
      </c>
      <c r="AQ351" s="1" t="s">
        <v>104</v>
      </c>
      <c r="AR351" s="1" t="s">
        <v>104</v>
      </c>
      <c r="AS351" s="1" t="s">
        <v>104</v>
      </c>
      <c r="AU351" s="1" t="s">
        <v>104</v>
      </c>
      <c r="AV351" s="1" t="s">
        <v>104</v>
      </c>
      <c r="AX351" s="1" t="str">
        <f>IFERROR(__xludf.DUMMYFUNCTION("""COMPUTED_VALUE"""),"")</f>
        <v/>
      </c>
      <c r="AZ351" s="1" t="str">
        <f>IFERROR(__xludf.DUMMYFUNCTION("""COMPUTED_VALUE"""),"")</f>
        <v/>
      </c>
      <c r="BB351" s="1" t="s">
        <v>104</v>
      </c>
      <c r="BC351" s="1" t="s">
        <v>104</v>
      </c>
      <c r="BE351" s="1" t="s">
        <v>104</v>
      </c>
      <c r="BG351" s="1" t="s">
        <v>104</v>
      </c>
      <c r="BH351" s="1" t="s">
        <v>104</v>
      </c>
      <c r="BI351" s="1" t="s">
        <v>104</v>
      </c>
      <c r="BJ351" s="1" t="s">
        <v>104</v>
      </c>
      <c r="BK351" s="1" t="s">
        <v>104</v>
      </c>
      <c r="BL351" s="1" t="s">
        <v>104</v>
      </c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N352" s="1" t="s">
        <v>104</v>
      </c>
      <c r="AO352" s="1" t="s">
        <v>104</v>
      </c>
      <c r="AP352" s="1" t="s">
        <v>104</v>
      </c>
      <c r="AQ352" s="1" t="s">
        <v>104</v>
      </c>
      <c r="AR352" s="1" t="s">
        <v>104</v>
      </c>
      <c r="AS352" s="1" t="s">
        <v>104</v>
      </c>
      <c r="AU352" s="1" t="s">
        <v>104</v>
      </c>
      <c r="AV352" s="1" t="s">
        <v>104</v>
      </c>
      <c r="AX352" s="1" t="str">
        <f>IFERROR(__xludf.DUMMYFUNCTION("""COMPUTED_VALUE"""),"")</f>
        <v/>
      </c>
      <c r="AZ352" s="1" t="str">
        <f>IFERROR(__xludf.DUMMYFUNCTION("""COMPUTED_VALUE"""),"")</f>
        <v/>
      </c>
      <c r="BB352" s="1" t="s">
        <v>104</v>
      </c>
      <c r="BC352" s="1" t="s">
        <v>104</v>
      </c>
      <c r="BE352" s="1" t="s">
        <v>104</v>
      </c>
      <c r="BG352" s="1" t="s">
        <v>104</v>
      </c>
      <c r="BH352" s="1" t="s">
        <v>104</v>
      </c>
      <c r="BI352" s="1" t="s">
        <v>104</v>
      </c>
      <c r="BJ352" s="1" t="s">
        <v>104</v>
      </c>
      <c r="BK352" s="1" t="s">
        <v>104</v>
      </c>
      <c r="BL352" s="1" t="s">
        <v>104</v>
      </c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N353" s="1" t="s">
        <v>104</v>
      </c>
      <c r="AO353" s="1" t="s">
        <v>104</v>
      </c>
      <c r="AP353" s="1" t="s">
        <v>104</v>
      </c>
      <c r="AQ353" s="1" t="s">
        <v>104</v>
      </c>
      <c r="AR353" s="1" t="s">
        <v>104</v>
      </c>
      <c r="AS353" s="1" t="s">
        <v>104</v>
      </c>
      <c r="AU353" s="1" t="s">
        <v>104</v>
      </c>
      <c r="AV353" s="1" t="s">
        <v>104</v>
      </c>
      <c r="AX353" s="1" t="str">
        <f>IFERROR(__xludf.DUMMYFUNCTION("""COMPUTED_VALUE"""),"")</f>
        <v/>
      </c>
      <c r="AZ353" s="1" t="str">
        <f>IFERROR(__xludf.DUMMYFUNCTION("""COMPUTED_VALUE"""),"")</f>
        <v/>
      </c>
      <c r="BB353" s="1" t="s">
        <v>104</v>
      </c>
      <c r="BC353" s="1" t="s">
        <v>104</v>
      </c>
      <c r="BE353" s="1" t="s">
        <v>104</v>
      </c>
      <c r="BG353" s="1" t="s">
        <v>104</v>
      </c>
      <c r="BH353" s="1" t="s">
        <v>104</v>
      </c>
      <c r="BI353" s="1" t="s">
        <v>104</v>
      </c>
      <c r="BJ353" s="1" t="s">
        <v>104</v>
      </c>
      <c r="BK353" s="1" t="s">
        <v>104</v>
      </c>
      <c r="BL353" s="1" t="s">
        <v>104</v>
      </c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N354" s="1" t="s">
        <v>104</v>
      </c>
      <c r="AO354" s="1" t="s">
        <v>104</v>
      </c>
      <c r="AP354" s="1" t="s">
        <v>104</v>
      </c>
      <c r="AQ354" s="1" t="s">
        <v>104</v>
      </c>
      <c r="AR354" s="1" t="s">
        <v>104</v>
      </c>
      <c r="AS354" s="1" t="s">
        <v>104</v>
      </c>
      <c r="AU354" s="1" t="s">
        <v>104</v>
      </c>
      <c r="AV354" s="1" t="s">
        <v>104</v>
      </c>
      <c r="AX354" s="1" t="str">
        <f>IFERROR(__xludf.DUMMYFUNCTION("""COMPUTED_VALUE"""),"")</f>
        <v/>
      </c>
      <c r="AZ354" s="1" t="str">
        <f>IFERROR(__xludf.DUMMYFUNCTION("""COMPUTED_VALUE"""),"")</f>
        <v/>
      </c>
      <c r="BB354" s="1" t="s">
        <v>104</v>
      </c>
      <c r="BC354" s="1" t="s">
        <v>104</v>
      </c>
      <c r="BE354" s="1" t="s">
        <v>104</v>
      </c>
      <c r="BG354" s="1" t="s">
        <v>104</v>
      </c>
      <c r="BH354" s="1" t="s">
        <v>104</v>
      </c>
      <c r="BI354" s="1" t="s">
        <v>104</v>
      </c>
      <c r="BJ354" s="1" t="s">
        <v>104</v>
      </c>
      <c r="BK354" s="1" t="s">
        <v>104</v>
      </c>
      <c r="BL354" s="1" t="s">
        <v>104</v>
      </c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N355" s="1" t="s">
        <v>104</v>
      </c>
      <c r="AO355" s="1" t="s">
        <v>104</v>
      </c>
      <c r="AP355" s="1" t="s">
        <v>104</v>
      </c>
      <c r="AQ355" s="1" t="s">
        <v>104</v>
      </c>
      <c r="AR355" s="1" t="s">
        <v>104</v>
      </c>
      <c r="AS355" s="1" t="s">
        <v>104</v>
      </c>
      <c r="AU355" s="1" t="s">
        <v>104</v>
      </c>
      <c r="AV355" s="1" t="s">
        <v>104</v>
      </c>
      <c r="AX355" s="1" t="str">
        <f>IFERROR(__xludf.DUMMYFUNCTION("""COMPUTED_VALUE"""),"")</f>
        <v/>
      </c>
      <c r="AZ355" s="1" t="str">
        <f>IFERROR(__xludf.DUMMYFUNCTION("""COMPUTED_VALUE"""),"")</f>
        <v/>
      </c>
      <c r="BB355" s="1" t="s">
        <v>104</v>
      </c>
      <c r="BC355" s="1" t="s">
        <v>104</v>
      </c>
      <c r="BE355" s="1" t="s">
        <v>104</v>
      </c>
      <c r="BG355" s="1" t="s">
        <v>104</v>
      </c>
      <c r="BH355" s="1" t="s">
        <v>104</v>
      </c>
      <c r="BI355" s="1" t="s">
        <v>104</v>
      </c>
      <c r="BJ355" s="1" t="s">
        <v>104</v>
      </c>
      <c r="BK355" s="1" t="s">
        <v>104</v>
      </c>
      <c r="BL355" s="1" t="s">
        <v>104</v>
      </c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N356" s="1" t="s">
        <v>104</v>
      </c>
      <c r="AO356" s="1" t="s">
        <v>104</v>
      </c>
      <c r="AP356" s="1" t="s">
        <v>104</v>
      </c>
      <c r="AQ356" s="1" t="s">
        <v>104</v>
      </c>
      <c r="AR356" s="1" t="s">
        <v>104</v>
      </c>
      <c r="AS356" s="1" t="s">
        <v>104</v>
      </c>
      <c r="AU356" s="1" t="s">
        <v>104</v>
      </c>
      <c r="AV356" s="1" t="s">
        <v>104</v>
      </c>
      <c r="AX356" s="1" t="str">
        <f>IFERROR(__xludf.DUMMYFUNCTION("""COMPUTED_VALUE"""),"")</f>
        <v/>
      </c>
      <c r="AZ356" s="1" t="str">
        <f>IFERROR(__xludf.DUMMYFUNCTION("""COMPUTED_VALUE"""),"")</f>
        <v/>
      </c>
      <c r="BB356" s="1" t="s">
        <v>104</v>
      </c>
      <c r="BC356" s="1" t="s">
        <v>104</v>
      </c>
      <c r="BE356" s="1" t="s">
        <v>104</v>
      </c>
      <c r="BG356" s="1" t="s">
        <v>104</v>
      </c>
      <c r="BH356" s="1" t="s">
        <v>104</v>
      </c>
      <c r="BI356" s="1" t="s">
        <v>104</v>
      </c>
      <c r="BJ356" s="1" t="s">
        <v>104</v>
      </c>
      <c r="BK356" s="1" t="s">
        <v>104</v>
      </c>
      <c r="BL356" s="1" t="s">
        <v>104</v>
      </c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N357" s="1" t="s">
        <v>104</v>
      </c>
      <c r="AO357" s="1" t="s">
        <v>104</v>
      </c>
      <c r="AP357" s="1" t="s">
        <v>104</v>
      </c>
      <c r="AQ357" s="1" t="s">
        <v>104</v>
      </c>
      <c r="AR357" s="1" t="s">
        <v>104</v>
      </c>
      <c r="AS357" s="1" t="s">
        <v>104</v>
      </c>
      <c r="AU357" s="1" t="s">
        <v>104</v>
      </c>
      <c r="AV357" s="1" t="s">
        <v>104</v>
      </c>
      <c r="AX357" s="1" t="str">
        <f>IFERROR(__xludf.DUMMYFUNCTION("""COMPUTED_VALUE"""),"")</f>
        <v/>
      </c>
      <c r="AZ357" s="1" t="str">
        <f>IFERROR(__xludf.DUMMYFUNCTION("""COMPUTED_VALUE"""),"")</f>
        <v/>
      </c>
      <c r="BB357" s="1" t="s">
        <v>104</v>
      </c>
      <c r="BC357" s="1" t="s">
        <v>104</v>
      </c>
      <c r="BE357" s="1" t="s">
        <v>104</v>
      </c>
      <c r="BG357" s="1" t="s">
        <v>104</v>
      </c>
      <c r="BH357" s="1" t="s">
        <v>104</v>
      </c>
      <c r="BI357" s="1" t="s">
        <v>104</v>
      </c>
      <c r="BJ357" s="1" t="s">
        <v>104</v>
      </c>
      <c r="BK357" s="1" t="s">
        <v>104</v>
      </c>
      <c r="BL357" s="1" t="s">
        <v>104</v>
      </c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N358" s="1" t="s">
        <v>104</v>
      </c>
      <c r="AO358" s="1" t="s">
        <v>104</v>
      </c>
      <c r="AP358" s="1" t="s">
        <v>104</v>
      </c>
      <c r="AQ358" s="1" t="s">
        <v>104</v>
      </c>
      <c r="AR358" s="1" t="s">
        <v>104</v>
      </c>
      <c r="AS358" s="1" t="s">
        <v>104</v>
      </c>
      <c r="AU358" s="1" t="s">
        <v>104</v>
      </c>
      <c r="AV358" s="1" t="s">
        <v>104</v>
      </c>
      <c r="AX358" s="1" t="str">
        <f>IFERROR(__xludf.DUMMYFUNCTION("""COMPUTED_VALUE"""),"")</f>
        <v/>
      </c>
      <c r="AZ358" s="1" t="str">
        <f>IFERROR(__xludf.DUMMYFUNCTION("""COMPUTED_VALUE"""),"")</f>
        <v/>
      </c>
      <c r="BB358" s="1" t="s">
        <v>104</v>
      </c>
      <c r="BC358" s="1" t="s">
        <v>104</v>
      </c>
      <c r="BE358" s="1" t="s">
        <v>104</v>
      </c>
      <c r="BG358" s="1" t="s">
        <v>104</v>
      </c>
      <c r="BH358" s="1" t="s">
        <v>104</v>
      </c>
      <c r="BI358" s="1" t="s">
        <v>104</v>
      </c>
      <c r="BJ358" s="1" t="s">
        <v>104</v>
      </c>
      <c r="BK358" s="1" t="s">
        <v>104</v>
      </c>
      <c r="BL358" s="1" t="s">
        <v>104</v>
      </c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N359" s="1" t="s">
        <v>104</v>
      </c>
      <c r="AO359" s="1" t="s">
        <v>104</v>
      </c>
      <c r="AP359" s="1" t="s">
        <v>104</v>
      </c>
      <c r="AQ359" s="1" t="s">
        <v>104</v>
      </c>
      <c r="AR359" s="1" t="s">
        <v>104</v>
      </c>
      <c r="AS359" s="1" t="s">
        <v>104</v>
      </c>
      <c r="AU359" s="1" t="s">
        <v>104</v>
      </c>
      <c r="AV359" s="1" t="s">
        <v>104</v>
      </c>
      <c r="AX359" s="1" t="str">
        <f>IFERROR(__xludf.DUMMYFUNCTION("""COMPUTED_VALUE"""),"")</f>
        <v/>
      </c>
      <c r="AZ359" s="1" t="str">
        <f>IFERROR(__xludf.DUMMYFUNCTION("""COMPUTED_VALUE"""),"")</f>
        <v/>
      </c>
      <c r="BB359" s="1" t="s">
        <v>104</v>
      </c>
      <c r="BC359" s="1" t="s">
        <v>104</v>
      </c>
      <c r="BE359" s="1" t="s">
        <v>104</v>
      </c>
      <c r="BG359" s="1" t="s">
        <v>104</v>
      </c>
      <c r="BH359" s="1" t="s">
        <v>104</v>
      </c>
      <c r="BI359" s="1" t="s">
        <v>104</v>
      </c>
      <c r="BJ359" s="1" t="s">
        <v>104</v>
      </c>
      <c r="BK359" s="1" t="s">
        <v>104</v>
      </c>
      <c r="BL359" s="1" t="s">
        <v>104</v>
      </c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N360" s="1" t="s">
        <v>104</v>
      </c>
      <c r="AO360" s="1" t="s">
        <v>104</v>
      </c>
      <c r="AP360" s="1" t="s">
        <v>104</v>
      </c>
      <c r="AQ360" s="1" t="s">
        <v>104</v>
      </c>
      <c r="AR360" s="1" t="s">
        <v>104</v>
      </c>
      <c r="AS360" s="1" t="s">
        <v>104</v>
      </c>
      <c r="AU360" s="1" t="s">
        <v>104</v>
      </c>
      <c r="AV360" s="1" t="s">
        <v>104</v>
      </c>
      <c r="AX360" s="1" t="str">
        <f>IFERROR(__xludf.DUMMYFUNCTION("""COMPUTED_VALUE"""),"")</f>
        <v/>
      </c>
      <c r="AZ360" s="1" t="str">
        <f>IFERROR(__xludf.DUMMYFUNCTION("""COMPUTED_VALUE"""),"")</f>
        <v/>
      </c>
      <c r="BB360" s="1" t="s">
        <v>104</v>
      </c>
      <c r="BC360" s="1" t="s">
        <v>104</v>
      </c>
      <c r="BE360" s="1" t="s">
        <v>104</v>
      </c>
      <c r="BG360" s="1" t="s">
        <v>104</v>
      </c>
      <c r="BH360" s="1" t="s">
        <v>104</v>
      </c>
      <c r="BI360" s="1" t="s">
        <v>104</v>
      </c>
      <c r="BJ360" s="1" t="s">
        <v>104</v>
      </c>
      <c r="BK360" s="1" t="s">
        <v>104</v>
      </c>
      <c r="BL360" s="1" t="s">
        <v>104</v>
      </c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N361" s="1" t="s">
        <v>104</v>
      </c>
      <c r="AO361" s="1" t="s">
        <v>104</v>
      </c>
      <c r="AP361" s="1" t="s">
        <v>104</v>
      </c>
      <c r="AQ361" s="1" t="s">
        <v>104</v>
      </c>
      <c r="AR361" s="1" t="s">
        <v>104</v>
      </c>
      <c r="AS361" s="1" t="s">
        <v>104</v>
      </c>
      <c r="AU361" s="1" t="s">
        <v>104</v>
      </c>
      <c r="AV361" s="1" t="s">
        <v>104</v>
      </c>
      <c r="AX361" s="1" t="str">
        <f>IFERROR(__xludf.DUMMYFUNCTION("""COMPUTED_VALUE"""),"")</f>
        <v/>
      </c>
      <c r="AZ361" s="1" t="str">
        <f>IFERROR(__xludf.DUMMYFUNCTION("""COMPUTED_VALUE"""),"")</f>
        <v/>
      </c>
      <c r="BB361" s="1" t="s">
        <v>104</v>
      </c>
      <c r="BC361" s="1" t="s">
        <v>104</v>
      </c>
      <c r="BE361" s="1" t="s">
        <v>104</v>
      </c>
      <c r="BG361" s="1" t="s">
        <v>104</v>
      </c>
      <c r="BH361" s="1" t="s">
        <v>104</v>
      </c>
      <c r="BI361" s="1" t="s">
        <v>104</v>
      </c>
      <c r="BJ361" s="1" t="s">
        <v>104</v>
      </c>
      <c r="BK361" s="1" t="s">
        <v>104</v>
      </c>
      <c r="BL361" s="1" t="s">
        <v>104</v>
      </c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N362" s="1" t="s">
        <v>104</v>
      </c>
      <c r="AO362" s="1" t="s">
        <v>104</v>
      </c>
      <c r="AP362" s="1" t="s">
        <v>104</v>
      </c>
      <c r="AQ362" s="1" t="s">
        <v>104</v>
      </c>
      <c r="AR362" s="1" t="s">
        <v>104</v>
      </c>
      <c r="AS362" s="1" t="s">
        <v>104</v>
      </c>
      <c r="AU362" s="1" t="s">
        <v>104</v>
      </c>
      <c r="AV362" s="1" t="s">
        <v>104</v>
      </c>
      <c r="AX362" s="1" t="str">
        <f>IFERROR(__xludf.DUMMYFUNCTION("""COMPUTED_VALUE"""),"")</f>
        <v/>
      </c>
      <c r="AZ362" s="1" t="str">
        <f>IFERROR(__xludf.DUMMYFUNCTION("""COMPUTED_VALUE"""),"")</f>
        <v/>
      </c>
      <c r="BB362" s="1" t="s">
        <v>104</v>
      </c>
      <c r="BC362" s="1" t="s">
        <v>104</v>
      </c>
      <c r="BE362" s="1" t="s">
        <v>104</v>
      </c>
      <c r="BG362" s="1" t="s">
        <v>104</v>
      </c>
      <c r="BH362" s="1" t="s">
        <v>104</v>
      </c>
      <c r="BI362" s="1" t="s">
        <v>104</v>
      </c>
      <c r="BJ362" s="1" t="s">
        <v>104</v>
      </c>
      <c r="BK362" s="1" t="s">
        <v>104</v>
      </c>
      <c r="BL362" s="1" t="s">
        <v>104</v>
      </c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N363" s="1" t="s">
        <v>104</v>
      </c>
      <c r="AO363" s="1" t="s">
        <v>104</v>
      </c>
      <c r="AP363" s="1" t="s">
        <v>104</v>
      </c>
      <c r="AQ363" s="1" t="s">
        <v>104</v>
      </c>
      <c r="AR363" s="1" t="s">
        <v>104</v>
      </c>
      <c r="AS363" s="1" t="s">
        <v>104</v>
      </c>
      <c r="AU363" s="1" t="s">
        <v>104</v>
      </c>
      <c r="AV363" s="1" t="s">
        <v>104</v>
      </c>
      <c r="AX363" s="1" t="str">
        <f>IFERROR(__xludf.DUMMYFUNCTION("""COMPUTED_VALUE"""),"")</f>
        <v/>
      </c>
      <c r="AZ363" s="1" t="str">
        <f>IFERROR(__xludf.DUMMYFUNCTION("""COMPUTED_VALUE"""),"")</f>
        <v/>
      </c>
      <c r="BB363" s="1" t="s">
        <v>104</v>
      </c>
      <c r="BC363" s="1" t="s">
        <v>104</v>
      </c>
      <c r="BE363" s="1" t="s">
        <v>104</v>
      </c>
      <c r="BG363" s="1" t="s">
        <v>104</v>
      </c>
      <c r="BH363" s="1" t="s">
        <v>104</v>
      </c>
      <c r="BI363" s="1" t="s">
        <v>104</v>
      </c>
      <c r="BJ363" s="1" t="s">
        <v>104</v>
      </c>
      <c r="BK363" s="1" t="s">
        <v>104</v>
      </c>
      <c r="BL363" s="1" t="s">
        <v>104</v>
      </c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N364" s="1" t="s">
        <v>104</v>
      </c>
      <c r="AO364" s="1" t="s">
        <v>104</v>
      </c>
      <c r="AP364" s="1" t="s">
        <v>104</v>
      </c>
      <c r="AQ364" s="1" t="s">
        <v>104</v>
      </c>
      <c r="AR364" s="1" t="s">
        <v>104</v>
      </c>
      <c r="AS364" s="1" t="s">
        <v>104</v>
      </c>
      <c r="AU364" s="1" t="s">
        <v>104</v>
      </c>
      <c r="AV364" s="1" t="s">
        <v>104</v>
      </c>
      <c r="AX364" s="1" t="str">
        <f>IFERROR(__xludf.DUMMYFUNCTION("""COMPUTED_VALUE"""),"")</f>
        <v/>
      </c>
      <c r="AZ364" s="1" t="str">
        <f>IFERROR(__xludf.DUMMYFUNCTION("""COMPUTED_VALUE"""),"")</f>
        <v/>
      </c>
      <c r="BB364" s="1" t="s">
        <v>104</v>
      </c>
      <c r="BC364" s="1" t="s">
        <v>104</v>
      </c>
      <c r="BE364" s="1" t="s">
        <v>104</v>
      </c>
      <c r="BG364" s="1" t="s">
        <v>104</v>
      </c>
      <c r="BH364" s="1" t="s">
        <v>104</v>
      </c>
      <c r="BI364" s="1" t="s">
        <v>104</v>
      </c>
      <c r="BJ364" s="1" t="s">
        <v>104</v>
      </c>
      <c r="BK364" s="1" t="s">
        <v>104</v>
      </c>
      <c r="BL364" s="1" t="s">
        <v>104</v>
      </c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N365" s="1" t="s">
        <v>104</v>
      </c>
      <c r="AO365" s="1" t="s">
        <v>104</v>
      </c>
      <c r="AP365" s="1" t="s">
        <v>104</v>
      </c>
      <c r="AQ365" s="1" t="s">
        <v>104</v>
      </c>
      <c r="AR365" s="1" t="s">
        <v>104</v>
      </c>
      <c r="AS365" s="1" t="s">
        <v>104</v>
      </c>
      <c r="AU365" s="1" t="s">
        <v>104</v>
      </c>
      <c r="AV365" s="1" t="s">
        <v>104</v>
      </c>
      <c r="AX365" s="1" t="str">
        <f>IFERROR(__xludf.DUMMYFUNCTION("""COMPUTED_VALUE"""),"")</f>
        <v/>
      </c>
      <c r="AZ365" s="1" t="str">
        <f>IFERROR(__xludf.DUMMYFUNCTION("""COMPUTED_VALUE"""),"")</f>
        <v/>
      </c>
      <c r="BB365" s="1" t="s">
        <v>104</v>
      </c>
      <c r="BC365" s="1" t="s">
        <v>104</v>
      </c>
      <c r="BE365" s="1" t="s">
        <v>104</v>
      </c>
      <c r="BG365" s="1" t="s">
        <v>104</v>
      </c>
      <c r="BH365" s="1" t="s">
        <v>104</v>
      </c>
      <c r="BI365" s="1" t="s">
        <v>104</v>
      </c>
      <c r="BJ365" s="1" t="s">
        <v>104</v>
      </c>
      <c r="BK365" s="1" t="s">
        <v>104</v>
      </c>
      <c r="BL365" s="1" t="s">
        <v>104</v>
      </c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N366" s="1" t="s">
        <v>104</v>
      </c>
      <c r="AO366" s="1" t="s">
        <v>104</v>
      </c>
      <c r="AP366" s="1" t="s">
        <v>104</v>
      </c>
      <c r="AQ366" s="1" t="s">
        <v>104</v>
      </c>
      <c r="AR366" s="1" t="s">
        <v>104</v>
      </c>
      <c r="AS366" s="1" t="s">
        <v>104</v>
      </c>
      <c r="AU366" s="1" t="s">
        <v>104</v>
      </c>
      <c r="AV366" s="1" t="s">
        <v>104</v>
      </c>
      <c r="AX366" s="1" t="str">
        <f>IFERROR(__xludf.DUMMYFUNCTION("""COMPUTED_VALUE"""),"")</f>
        <v/>
      </c>
      <c r="AZ366" s="1" t="str">
        <f>IFERROR(__xludf.DUMMYFUNCTION("""COMPUTED_VALUE"""),"")</f>
        <v/>
      </c>
      <c r="BB366" s="1" t="s">
        <v>104</v>
      </c>
      <c r="BC366" s="1" t="s">
        <v>104</v>
      </c>
      <c r="BE366" s="1" t="s">
        <v>104</v>
      </c>
      <c r="BG366" s="1" t="s">
        <v>104</v>
      </c>
      <c r="BH366" s="1" t="s">
        <v>104</v>
      </c>
      <c r="BI366" s="1" t="s">
        <v>104</v>
      </c>
      <c r="BJ366" s="1" t="s">
        <v>104</v>
      </c>
      <c r="BK366" s="1" t="s">
        <v>104</v>
      </c>
      <c r="BL366" s="1" t="s">
        <v>104</v>
      </c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N367" s="1" t="s">
        <v>104</v>
      </c>
      <c r="AO367" s="1" t="s">
        <v>104</v>
      </c>
      <c r="AP367" s="1" t="s">
        <v>104</v>
      </c>
      <c r="AQ367" s="1" t="s">
        <v>104</v>
      </c>
      <c r="AR367" s="1" t="s">
        <v>104</v>
      </c>
      <c r="AS367" s="1" t="s">
        <v>104</v>
      </c>
      <c r="AU367" s="1" t="s">
        <v>104</v>
      </c>
      <c r="AV367" s="1" t="s">
        <v>104</v>
      </c>
      <c r="AX367" s="1" t="str">
        <f>IFERROR(__xludf.DUMMYFUNCTION("""COMPUTED_VALUE"""),"")</f>
        <v/>
      </c>
      <c r="AZ367" s="1" t="str">
        <f>IFERROR(__xludf.DUMMYFUNCTION("""COMPUTED_VALUE"""),"")</f>
        <v/>
      </c>
      <c r="BB367" s="1" t="s">
        <v>104</v>
      </c>
      <c r="BC367" s="1" t="s">
        <v>104</v>
      </c>
      <c r="BE367" s="1" t="s">
        <v>104</v>
      </c>
      <c r="BG367" s="1" t="s">
        <v>104</v>
      </c>
      <c r="BH367" s="1" t="s">
        <v>104</v>
      </c>
      <c r="BI367" s="1" t="s">
        <v>104</v>
      </c>
      <c r="BJ367" s="1" t="s">
        <v>104</v>
      </c>
      <c r="BK367" s="1" t="s">
        <v>104</v>
      </c>
      <c r="BL367" s="1" t="s">
        <v>104</v>
      </c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N368" s="1" t="s">
        <v>104</v>
      </c>
      <c r="AO368" s="1" t="s">
        <v>104</v>
      </c>
      <c r="AP368" s="1" t="s">
        <v>104</v>
      </c>
      <c r="AQ368" s="1" t="s">
        <v>104</v>
      </c>
      <c r="AR368" s="1" t="s">
        <v>104</v>
      </c>
      <c r="AS368" s="1" t="s">
        <v>104</v>
      </c>
      <c r="AU368" s="1" t="s">
        <v>104</v>
      </c>
      <c r="AV368" s="1" t="s">
        <v>104</v>
      </c>
      <c r="AX368" s="1" t="str">
        <f>IFERROR(__xludf.DUMMYFUNCTION("""COMPUTED_VALUE"""),"")</f>
        <v/>
      </c>
      <c r="AZ368" s="1" t="str">
        <f>IFERROR(__xludf.DUMMYFUNCTION("""COMPUTED_VALUE"""),"")</f>
        <v/>
      </c>
      <c r="BB368" s="1" t="s">
        <v>104</v>
      </c>
      <c r="BC368" s="1" t="s">
        <v>104</v>
      </c>
      <c r="BE368" s="1" t="s">
        <v>104</v>
      </c>
      <c r="BG368" s="1" t="s">
        <v>104</v>
      </c>
      <c r="BH368" s="1" t="s">
        <v>104</v>
      </c>
      <c r="BI368" s="1" t="s">
        <v>104</v>
      </c>
      <c r="BJ368" s="1" t="s">
        <v>104</v>
      </c>
      <c r="BK368" s="1" t="s">
        <v>104</v>
      </c>
      <c r="BL368" s="1" t="s">
        <v>104</v>
      </c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N369" s="1" t="s">
        <v>104</v>
      </c>
      <c r="AO369" s="1" t="s">
        <v>104</v>
      </c>
      <c r="AP369" s="1" t="s">
        <v>104</v>
      </c>
      <c r="AQ369" s="1" t="s">
        <v>104</v>
      </c>
      <c r="AR369" s="1" t="s">
        <v>104</v>
      </c>
      <c r="AS369" s="1" t="s">
        <v>104</v>
      </c>
      <c r="AU369" s="1" t="s">
        <v>104</v>
      </c>
      <c r="AV369" s="1" t="s">
        <v>104</v>
      </c>
      <c r="AX369" s="1" t="str">
        <f>IFERROR(__xludf.DUMMYFUNCTION("""COMPUTED_VALUE"""),"")</f>
        <v/>
      </c>
      <c r="AZ369" s="1" t="str">
        <f>IFERROR(__xludf.DUMMYFUNCTION("""COMPUTED_VALUE"""),"")</f>
        <v/>
      </c>
      <c r="BB369" s="1" t="s">
        <v>104</v>
      </c>
      <c r="BC369" s="1" t="s">
        <v>104</v>
      </c>
      <c r="BE369" s="1" t="s">
        <v>104</v>
      </c>
      <c r="BG369" s="1" t="s">
        <v>104</v>
      </c>
      <c r="BH369" s="1" t="s">
        <v>104</v>
      </c>
      <c r="BI369" s="1" t="s">
        <v>104</v>
      </c>
      <c r="BJ369" s="1" t="s">
        <v>104</v>
      </c>
      <c r="BK369" s="1" t="s">
        <v>104</v>
      </c>
      <c r="BL369" s="1" t="s">
        <v>104</v>
      </c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N370" s="1" t="s">
        <v>104</v>
      </c>
      <c r="AO370" s="1" t="s">
        <v>104</v>
      </c>
      <c r="AP370" s="1" t="s">
        <v>104</v>
      </c>
      <c r="AQ370" s="1" t="s">
        <v>104</v>
      </c>
      <c r="AR370" s="1" t="s">
        <v>104</v>
      </c>
      <c r="AS370" s="1" t="s">
        <v>104</v>
      </c>
      <c r="AU370" s="1" t="s">
        <v>104</v>
      </c>
      <c r="AV370" s="1" t="s">
        <v>104</v>
      </c>
      <c r="AX370" s="1" t="str">
        <f>IFERROR(__xludf.DUMMYFUNCTION("""COMPUTED_VALUE"""),"")</f>
        <v/>
      </c>
      <c r="AZ370" s="1" t="str">
        <f>IFERROR(__xludf.DUMMYFUNCTION("""COMPUTED_VALUE"""),"")</f>
        <v/>
      </c>
      <c r="BB370" s="1" t="s">
        <v>104</v>
      </c>
      <c r="BC370" s="1" t="s">
        <v>104</v>
      </c>
      <c r="BE370" s="1" t="s">
        <v>104</v>
      </c>
      <c r="BG370" s="1" t="s">
        <v>104</v>
      </c>
      <c r="BH370" s="1" t="s">
        <v>104</v>
      </c>
      <c r="BI370" s="1" t="s">
        <v>104</v>
      </c>
      <c r="BJ370" s="1" t="s">
        <v>104</v>
      </c>
      <c r="BK370" s="1" t="s">
        <v>104</v>
      </c>
      <c r="BL370" s="1" t="s">
        <v>104</v>
      </c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N371" s="1" t="s">
        <v>104</v>
      </c>
      <c r="AO371" s="1" t="s">
        <v>104</v>
      </c>
      <c r="AP371" s="1" t="s">
        <v>104</v>
      </c>
      <c r="AQ371" s="1" t="s">
        <v>104</v>
      </c>
      <c r="AR371" s="1" t="s">
        <v>104</v>
      </c>
      <c r="AS371" s="1" t="s">
        <v>104</v>
      </c>
      <c r="AU371" s="1" t="s">
        <v>104</v>
      </c>
      <c r="AV371" s="1" t="s">
        <v>104</v>
      </c>
      <c r="AX371" s="1" t="str">
        <f>IFERROR(__xludf.DUMMYFUNCTION("""COMPUTED_VALUE"""),"")</f>
        <v/>
      </c>
      <c r="AZ371" s="1" t="str">
        <f>IFERROR(__xludf.DUMMYFUNCTION("""COMPUTED_VALUE"""),"")</f>
        <v/>
      </c>
      <c r="BB371" s="1" t="s">
        <v>104</v>
      </c>
      <c r="BC371" s="1" t="s">
        <v>104</v>
      </c>
      <c r="BE371" s="1" t="s">
        <v>104</v>
      </c>
      <c r="BG371" s="1" t="s">
        <v>104</v>
      </c>
      <c r="BH371" s="1" t="s">
        <v>104</v>
      </c>
      <c r="BI371" s="1" t="s">
        <v>104</v>
      </c>
      <c r="BJ371" s="1" t="s">
        <v>104</v>
      </c>
      <c r="BK371" s="1" t="s">
        <v>104</v>
      </c>
      <c r="BL371" s="1" t="s">
        <v>104</v>
      </c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N372" s="1" t="s">
        <v>104</v>
      </c>
      <c r="AO372" s="1" t="s">
        <v>104</v>
      </c>
      <c r="AP372" s="1" t="s">
        <v>104</v>
      </c>
      <c r="AQ372" s="1" t="s">
        <v>104</v>
      </c>
      <c r="AR372" s="1" t="s">
        <v>104</v>
      </c>
      <c r="AS372" s="1" t="s">
        <v>104</v>
      </c>
      <c r="AU372" s="1" t="s">
        <v>104</v>
      </c>
      <c r="AV372" s="1" t="s">
        <v>104</v>
      </c>
      <c r="AX372" s="1" t="str">
        <f>IFERROR(__xludf.DUMMYFUNCTION("""COMPUTED_VALUE"""),"")</f>
        <v/>
      </c>
      <c r="AZ372" s="1" t="str">
        <f>IFERROR(__xludf.DUMMYFUNCTION("""COMPUTED_VALUE"""),"")</f>
        <v/>
      </c>
      <c r="BB372" s="1" t="s">
        <v>104</v>
      </c>
      <c r="BC372" s="1" t="s">
        <v>104</v>
      </c>
      <c r="BE372" s="1" t="s">
        <v>104</v>
      </c>
      <c r="BG372" s="1" t="s">
        <v>104</v>
      </c>
      <c r="BH372" s="1" t="s">
        <v>104</v>
      </c>
      <c r="BI372" s="1" t="s">
        <v>104</v>
      </c>
      <c r="BJ372" s="1" t="s">
        <v>104</v>
      </c>
      <c r="BK372" s="1" t="s">
        <v>104</v>
      </c>
      <c r="BL372" s="1" t="s">
        <v>104</v>
      </c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N373" s="1" t="s">
        <v>104</v>
      </c>
      <c r="AO373" s="1" t="s">
        <v>104</v>
      </c>
      <c r="AP373" s="1" t="s">
        <v>104</v>
      </c>
      <c r="AQ373" s="1" t="s">
        <v>104</v>
      </c>
      <c r="AR373" s="1" t="s">
        <v>104</v>
      </c>
      <c r="AS373" s="1" t="s">
        <v>104</v>
      </c>
      <c r="AU373" s="1" t="s">
        <v>104</v>
      </c>
      <c r="AV373" s="1" t="s">
        <v>104</v>
      </c>
      <c r="AX373" s="1" t="str">
        <f>IFERROR(__xludf.DUMMYFUNCTION("""COMPUTED_VALUE"""),"")</f>
        <v/>
      </c>
      <c r="AZ373" s="1" t="str">
        <f>IFERROR(__xludf.DUMMYFUNCTION("""COMPUTED_VALUE"""),"")</f>
        <v/>
      </c>
      <c r="BB373" s="1" t="s">
        <v>104</v>
      </c>
      <c r="BC373" s="1" t="s">
        <v>104</v>
      </c>
      <c r="BE373" s="1" t="s">
        <v>104</v>
      </c>
      <c r="BG373" s="1" t="s">
        <v>104</v>
      </c>
      <c r="BH373" s="1" t="s">
        <v>104</v>
      </c>
      <c r="BI373" s="1" t="s">
        <v>104</v>
      </c>
      <c r="BJ373" s="1" t="s">
        <v>104</v>
      </c>
      <c r="BK373" s="1" t="s">
        <v>104</v>
      </c>
      <c r="BL373" s="1" t="s">
        <v>104</v>
      </c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N374" s="1" t="s">
        <v>104</v>
      </c>
      <c r="AO374" s="1" t="s">
        <v>104</v>
      </c>
      <c r="AP374" s="1" t="s">
        <v>104</v>
      </c>
      <c r="AQ374" s="1" t="s">
        <v>104</v>
      </c>
      <c r="AR374" s="1" t="s">
        <v>104</v>
      </c>
      <c r="AS374" s="1" t="s">
        <v>104</v>
      </c>
      <c r="AU374" s="1" t="s">
        <v>104</v>
      </c>
      <c r="AV374" s="1" t="s">
        <v>104</v>
      </c>
      <c r="AX374" s="1" t="str">
        <f>IFERROR(__xludf.DUMMYFUNCTION("""COMPUTED_VALUE"""),"")</f>
        <v/>
      </c>
      <c r="AZ374" s="1" t="str">
        <f>IFERROR(__xludf.DUMMYFUNCTION("""COMPUTED_VALUE"""),"")</f>
        <v/>
      </c>
      <c r="BB374" s="1" t="s">
        <v>104</v>
      </c>
      <c r="BC374" s="1" t="s">
        <v>104</v>
      </c>
      <c r="BE374" s="1" t="s">
        <v>104</v>
      </c>
      <c r="BG374" s="1" t="s">
        <v>104</v>
      </c>
      <c r="BH374" s="1" t="s">
        <v>104</v>
      </c>
      <c r="BI374" s="1" t="s">
        <v>104</v>
      </c>
      <c r="BJ374" s="1" t="s">
        <v>104</v>
      </c>
      <c r="BK374" s="1" t="s">
        <v>104</v>
      </c>
      <c r="BL374" s="1" t="s">
        <v>104</v>
      </c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N375" s="1" t="s">
        <v>104</v>
      </c>
      <c r="AO375" s="1" t="s">
        <v>104</v>
      </c>
      <c r="AP375" s="1" t="s">
        <v>104</v>
      </c>
      <c r="AQ375" s="1" t="s">
        <v>104</v>
      </c>
      <c r="AR375" s="1" t="s">
        <v>104</v>
      </c>
      <c r="AS375" s="1" t="s">
        <v>104</v>
      </c>
      <c r="AU375" s="1" t="s">
        <v>104</v>
      </c>
      <c r="AV375" s="1" t="s">
        <v>104</v>
      </c>
      <c r="AX375" s="1" t="str">
        <f>IFERROR(__xludf.DUMMYFUNCTION("""COMPUTED_VALUE"""),"")</f>
        <v/>
      </c>
      <c r="AZ375" s="1" t="str">
        <f>IFERROR(__xludf.DUMMYFUNCTION("""COMPUTED_VALUE"""),"")</f>
        <v/>
      </c>
      <c r="BB375" s="1" t="s">
        <v>104</v>
      </c>
      <c r="BC375" s="1" t="s">
        <v>104</v>
      </c>
      <c r="BE375" s="1" t="s">
        <v>104</v>
      </c>
      <c r="BG375" s="1" t="s">
        <v>104</v>
      </c>
      <c r="BH375" s="1" t="s">
        <v>104</v>
      </c>
      <c r="BI375" s="1" t="s">
        <v>104</v>
      </c>
      <c r="BJ375" s="1" t="s">
        <v>104</v>
      </c>
      <c r="BK375" s="1" t="s">
        <v>104</v>
      </c>
      <c r="BL375" s="1" t="s">
        <v>104</v>
      </c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N376" s="1" t="s">
        <v>104</v>
      </c>
      <c r="AO376" s="1" t="s">
        <v>104</v>
      </c>
      <c r="AP376" s="1" t="s">
        <v>104</v>
      </c>
      <c r="AQ376" s="1" t="s">
        <v>104</v>
      </c>
      <c r="AR376" s="1" t="s">
        <v>104</v>
      </c>
      <c r="AS376" s="1" t="s">
        <v>104</v>
      </c>
      <c r="AU376" s="1" t="s">
        <v>104</v>
      </c>
      <c r="AV376" s="1" t="s">
        <v>104</v>
      </c>
      <c r="AX376" s="1" t="str">
        <f>IFERROR(__xludf.DUMMYFUNCTION("""COMPUTED_VALUE"""),"")</f>
        <v/>
      </c>
      <c r="AZ376" s="1" t="str">
        <f>IFERROR(__xludf.DUMMYFUNCTION("""COMPUTED_VALUE"""),"")</f>
        <v/>
      </c>
      <c r="BB376" s="1" t="s">
        <v>104</v>
      </c>
      <c r="BC376" s="1" t="s">
        <v>104</v>
      </c>
      <c r="BE376" s="1" t="s">
        <v>104</v>
      </c>
      <c r="BG376" s="1" t="s">
        <v>104</v>
      </c>
      <c r="BH376" s="1" t="s">
        <v>104</v>
      </c>
      <c r="BI376" s="1" t="s">
        <v>104</v>
      </c>
      <c r="BJ376" s="1" t="s">
        <v>104</v>
      </c>
      <c r="BK376" s="1" t="s">
        <v>104</v>
      </c>
      <c r="BL376" s="1" t="s">
        <v>104</v>
      </c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N377" s="1" t="s">
        <v>104</v>
      </c>
      <c r="AO377" s="1" t="s">
        <v>104</v>
      </c>
      <c r="AP377" s="1" t="s">
        <v>104</v>
      </c>
      <c r="AQ377" s="1" t="s">
        <v>104</v>
      </c>
      <c r="AR377" s="1" t="s">
        <v>104</v>
      </c>
      <c r="AS377" s="1" t="s">
        <v>104</v>
      </c>
      <c r="AU377" s="1" t="s">
        <v>104</v>
      </c>
      <c r="AV377" s="1" t="s">
        <v>104</v>
      </c>
      <c r="AX377" s="1" t="str">
        <f>IFERROR(__xludf.DUMMYFUNCTION("""COMPUTED_VALUE"""),"")</f>
        <v/>
      </c>
      <c r="AZ377" s="1" t="str">
        <f>IFERROR(__xludf.DUMMYFUNCTION("""COMPUTED_VALUE"""),"")</f>
        <v/>
      </c>
      <c r="BB377" s="1" t="s">
        <v>104</v>
      </c>
      <c r="BC377" s="1" t="s">
        <v>104</v>
      </c>
      <c r="BE377" s="1" t="s">
        <v>104</v>
      </c>
      <c r="BG377" s="1" t="s">
        <v>104</v>
      </c>
      <c r="BH377" s="1" t="s">
        <v>104</v>
      </c>
      <c r="BI377" s="1" t="s">
        <v>104</v>
      </c>
      <c r="BJ377" s="1" t="s">
        <v>104</v>
      </c>
      <c r="BK377" s="1" t="s">
        <v>104</v>
      </c>
      <c r="BL377" s="1" t="s">
        <v>104</v>
      </c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N378" s="1" t="s">
        <v>104</v>
      </c>
      <c r="AO378" s="1" t="s">
        <v>104</v>
      </c>
      <c r="AP378" s="1" t="s">
        <v>104</v>
      </c>
      <c r="AQ378" s="1" t="s">
        <v>104</v>
      </c>
      <c r="AR378" s="1" t="s">
        <v>104</v>
      </c>
      <c r="AS378" s="1" t="s">
        <v>104</v>
      </c>
      <c r="AU378" s="1" t="s">
        <v>104</v>
      </c>
      <c r="AV378" s="1" t="s">
        <v>104</v>
      </c>
      <c r="AX378" s="1" t="str">
        <f>IFERROR(__xludf.DUMMYFUNCTION("""COMPUTED_VALUE"""),"")</f>
        <v/>
      </c>
      <c r="AZ378" s="1" t="str">
        <f>IFERROR(__xludf.DUMMYFUNCTION("""COMPUTED_VALUE"""),"")</f>
        <v/>
      </c>
      <c r="BB378" s="1" t="s">
        <v>104</v>
      </c>
      <c r="BC378" s="1" t="s">
        <v>104</v>
      </c>
      <c r="BE378" s="1" t="s">
        <v>104</v>
      </c>
      <c r="BG378" s="1" t="s">
        <v>104</v>
      </c>
      <c r="BH378" s="1" t="s">
        <v>104</v>
      </c>
      <c r="BI378" s="1" t="s">
        <v>104</v>
      </c>
      <c r="BJ378" s="1" t="s">
        <v>104</v>
      </c>
      <c r="BK378" s="1" t="s">
        <v>104</v>
      </c>
      <c r="BL378" s="1" t="s">
        <v>104</v>
      </c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N379" s="1" t="s">
        <v>104</v>
      </c>
      <c r="AO379" s="1" t="s">
        <v>104</v>
      </c>
      <c r="AP379" s="1" t="s">
        <v>104</v>
      </c>
      <c r="AQ379" s="1" t="s">
        <v>104</v>
      </c>
      <c r="AR379" s="1" t="s">
        <v>104</v>
      </c>
      <c r="AS379" s="1" t="s">
        <v>104</v>
      </c>
      <c r="AU379" s="1" t="s">
        <v>104</v>
      </c>
      <c r="AV379" s="1" t="s">
        <v>104</v>
      </c>
      <c r="AX379" s="1" t="str">
        <f>IFERROR(__xludf.DUMMYFUNCTION("""COMPUTED_VALUE"""),"")</f>
        <v/>
      </c>
      <c r="AZ379" s="1" t="str">
        <f>IFERROR(__xludf.DUMMYFUNCTION("""COMPUTED_VALUE"""),"")</f>
        <v/>
      </c>
      <c r="BB379" s="1" t="s">
        <v>104</v>
      </c>
      <c r="BC379" s="1" t="s">
        <v>104</v>
      </c>
      <c r="BE379" s="1" t="s">
        <v>104</v>
      </c>
      <c r="BG379" s="1" t="s">
        <v>104</v>
      </c>
      <c r="BH379" s="1" t="s">
        <v>104</v>
      </c>
      <c r="BI379" s="1" t="s">
        <v>104</v>
      </c>
      <c r="BJ379" s="1" t="s">
        <v>104</v>
      </c>
      <c r="BK379" s="1" t="s">
        <v>104</v>
      </c>
      <c r="BL379" s="1" t="s">
        <v>104</v>
      </c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N380" s="1" t="s">
        <v>104</v>
      </c>
      <c r="AO380" s="1" t="s">
        <v>104</v>
      </c>
      <c r="AP380" s="1" t="s">
        <v>104</v>
      </c>
      <c r="AQ380" s="1" t="s">
        <v>104</v>
      </c>
      <c r="AR380" s="1" t="s">
        <v>104</v>
      </c>
      <c r="AS380" s="1" t="s">
        <v>104</v>
      </c>
      <c r="AU380" s="1" t="s">
        <v>104</v>
      </c>
      <c r="AV380" s="1" t="s">
        <v>104</v>
      </c>
      <c r="AX380" s="1" t="str">
        <f>IFERROR(__xludf.DUMMYFUNCTION("""COMPUTED_VALUE"""),"")</f>
        <v/>
      </c>
      <c r="AZ380" s="1" t="str">
        <f>IFERROR(__xludf.DUMMYFUNCTION("""COMPUTED_VALUE"""),"")</f>
        <v/>
      </c>
      <c r="BB380" s="1" t="s">
        <v>104</v>
      </c>
      <c r="BC380" s="1" t="s">
        <v>104</v>
      </c>
      <c r="BE380" s="1" t="s">
        <v>104</v>
      </c>
      <c r="BG380" s="1" t="s">
        <v>104</v>
      </c>
      <c r="BH380" s="1" t="s">
        <v>104</v>
      </c>
      <c r="BI380" s="1" t="s">
        <v>104</v>
      </c>
      <c r="BJ380" s="1" t="s">
        <v>104</v>
      </c>
      <c r="BK380" s="1" t="s">
        <v>104</v>
      </c>
      <c r="BL380" s="1" t="s">
        <v>104</v>
      </c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N381" s="1" t="s">
        <v>104</v>
      </c>
      <c r="AO381" s="1" t="s">
        <v>104</v>
      </c>
      <c r="AP381" s="1" t="s">
        <v>104</v>
      </c>
      <c r="AQ381" s="1" t="s">
        <v>104</v>
      </c>
      <c r="AR381" s="1" t="s">
        <v>104</v>
      </c>
      <c r="AS381" s="1" t="s">
        <v>104</v>
      </c>
      <c r="AU381" s="1" t="s">
        <v>104</v>
      </c>
      <c r="AV381" s="1" t="s">
        <v>104</v>
      </c>
      <c r="AX381" s="1" t="str">
        <f>IFERROR(__xludf.DUMMYFUNCTION("""COMPUTED_VALUE"""),"")</f>
        <v/>
      </c>
      <c r="AZ381" s="1" t="str">
        <f>IFERROR(__xludf.DUMMYFUNCTION("""COMPUTED_VALUE"""),"")</f>
        <v/>
      </c>
      <c r="BB381" s="1" t="s">
        <v>104</v>
      </c>
      <c r="BC381" s="1" t="s">
        <v>104</v>
      </c>
      <c r="BE381" s="1" t="s">
        <v>104</v>
      </c>
      <c r="BG381" s="1" t="s">
        <v>104</v>
      </c>
      <c r="BH381" s="1" t="s">
        <v>104</v>
      </c>
      <c r="BI381" s="1" t="s">
        <v>104</v>
      </c>
      <c r="BJ381" s="1" t="s">
        <v>104</v>
      </c>
      <c r="BK381" s="1" t="s">
        <v>104</v>
      </c>
      <c r="BL381" s="1" t="s">
        <v>104</v>
      </c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N382" s="1" t="s">
        <v>104</v>
      </c>
      <c r="AO382" s="1" t="s">
        <v>104</v>
      </c>
      <c r="AP382" s="1" t="s">
        <v>104</v>
      </c>
      <c r="AQ382" s="1" t="s">
        <v>104</v>
      </c>
      <c r="AR382" s="1" t="s">
        <v>104</v>
      </c>
      <c r="AS382" s="1" t="s">
        <v>104</v>
      </c>
      <c r="AU382" s="1" t="s">
        <v>104</v>
      </c>
      <c r="AV382" s="1" t="s">
        <v>104</v>
      </c>
      <c r="AX382" s="1" t="str">
        <f>IFERROR(__xludf.DUMMYFUNCTION("""COMPUTED_VALUE"""),"")</f>
        <v/>
      </c>
      <c r="AZ382" s="1" t="str">
        <f>IFERROR(__xludf.DUMMYFUNCTION("""COMPUTED_VALUE"""),"")</f>
        <v/>
      </c>
      <c r="BB382" s="1" t="s">
        <v>104</v>
      </c>
      <c r="BC382" s="1" t="s">
        <v>104</v>
      </c>
      <c r="BE382" s="1" t="s">
        <v>104</v>
      </c>
      <c r="BG382" s="1" t="s">
        <v>104</v>
      </c>
      <c r="BH382" s="1" t="s">
        <v>104</v>
      </c>
      <c r="BI382" s="1" t="s">
        <v>104</v>
      </c>
      <c r="BJ382" s="1" t="s">
        <v>104</v>
      </c>
      <c r="BK382" s="1" t="s">
        <v>104</v>
      </c>
      <c r="BL382" s="1" t="s">
        <v>104</v>
      </c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N383" s="1" t="s">
        <v>104</v>
      </c>
      <c r="AO383" s="1" t="s">
        <v>104</v>
      </c>
      <c r="AP383" s="1" t="s">
        <v>104</v>
      </c>
      <c r="AQ383" s="1" t="s">
        <v>104</v>
      </c>
      <c r="AR383" s="1" t="s">
        <v>104</v>
      </c>
      <c r="AS383" s="1" t="s">
        <v>104</v>
      </c>
      <c r="AU383" s="1" t="s">
        <v>104</v>
      </c>
      <c r="AV383" s="1" t="s">
        <v>104</v>
      </c>
      <c r="AX383" s="1" t="str">
        <f>IFERROR(__xludf.DUMMYFUNCTION("""COMPUTED_VALUE"""),"")</f>
        <v/>
      </c>
      <c r="AZ383" s="1" t="str">
        <f>IFERROR(__xludf.DUMMYFUNCTION("""COMPUTED_VALUE"""),"")</f>
        <v/>
      </c>
      <c r="BB383" s="1" t="s">
        <v>104</v>
      </c>
      <c r="BC383" s="1" t="s">
        <v>104</v>
      </c>
      <c r="BE383" s="1" t="s">
        <v>104</v>
      </c>
      <c r="BG383" s="1" t="s">
        <v>104</v>
      </c>
      <c r="BH383" s="1" t="s">
        <v>104</v>
      </c>
      <c r="BI383" s="1" t="s">
        <v>104</v>
      </c>
      <c r="BJ383" s="1" t="s">
        <v>104</v>
      </c>
      <c r="BK383" s="1" t="s">
        <v>104</v>
      </c>
      <c r="BL383" s="1" t="s">
        <v>104</v>
      </c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N384" s="1" t="s">
        <v>104</v>
      </c>
      <c r="AO384" s="1" t="s">
        <v>104</v>
      </c>
      <c r="AP384" s="1" t="s">
        <v>104</v>
      </c>
      <c r="AQ384" s="1" t="s">
        <v>104</v>
      </c>
      <c r="AR384" s="1" t="s">
        <v>104</v>
      </c>
      <c r="AS384" s="1" t="s">
        <v>104</v>
      </c>
      <c r="AU384" s="1" t="s">
        <v>104</v>
      </c>
      <c r="AV384" s="1" t="s">
        <v>104</v>
      </c>
      <c r="AX384" s="1" t="str">
        <f>IFERROR(__xludf.DUMMYFUNCTION("""COMPUTED_VALUE"""),"")</f>
        <v/>
      </c>
      <c r="AZ384" s="1" t="str">
        <f>IFERROR(__xludf.DUMMYFUNCTION("""COMPUTED_VALUE"""),"")</f>
        <v/>
      </c>
      <c r="BB384" s="1" t="s">
        <v>104</v>
      </c>
      <c r="BC384" s="1" t="s">
        <v>104</v>
      </c>
      <c r="BE384" s="1" t="s">
        <v>104</v>
      </c>
      <c r="BG384" s="1" t="s">
        <v>104</v>
      </c>
      <c r="BH384" s="1" t="s">
        <v>104</v>
      </c>
      <c r="BI384" s="1" t="s">
        <v>104</v>
      </c>
      <c r="BJ384" s="1" t="s">
        <v>104</v>
      </c>
      <c r="BK384" s="1" t="s">
        <v>104</v>
      </c>
      <c r="BL384" s="1" t="s">
        <v>104</v>
      </c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N385" s="1" t="s">
        <v>104</v>
      </c>
      <c r="AO385" s="1" t="s">
        <v>104</v>
      </c>
      <c r="AP385" s="1" t="s">
        <v>104</v>
      </c>
      <c r="AQ385" s="1" t="s">
        <v>104</v>
      </c>
      <c r="AR385" s="1" t="s">
        <v>104</v>
      </c>
      <c r="AS385" s="1" t="s">
        <v>104</v>
      </c>
      <c r="AU385" s="1" t="s">
        <v>104</v>
      </c>
      <c r="AV385" s="1" t="s">
        <v>104</v>
      </c>
      <c r="AX385" s="1" t="str">
        <f>IFERROR(__xludf.DUMMYFUNCTION("""COMPUTED_VALUE"""),"")</f>
        <v/>
      </c>
      <c r="AZ385" s="1" t="str">
        <f>IFERROR(__xludf.DUMMYFUNCTION("""COMPUTED_VALUE"""),"")</f>
        <v/>
      </c>
      <c r="BB385" s="1" t="s">
        <v>104</v>
      </c>
      <c r="BC385" s="1" t="s">
        <v>104</v>
      </c>
      <c r="BE385" s="1" t="s">
        <v>104</v>
      </c>
      <c r="BG385" s="1" t="s">
        <v>104</v>
      </c>
      <c r="BH385" s="1" t="s">
        <v>104</v>
      </c>
      <c r="BI385" s="1" t="s">
        <v>104</v>
      </c>
      <c r="BJ385" s="1" t="s">
        <v>104</v>
      </c>
      <c r="BK385" s="1" t="s">
        <v>104</v>
      </c>
      <c r="BL385" s="1" t="s">
        <v>104</v>
      </c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N386" s="1" t="s">
        <v>104</v>
      </c>
      <c r="AO386" s="1" t="s">
        <v>104</v>
      </c>
      <c r="AP386" s="1" t="s">
        <v>104</v>
      </c>
      <c r="AQ386" s="1" t="s">
        <v>104</v>
      </c>
      <c r="AR386" s="1" t="s">
        <v>104</v>
      </c>
      <c r="AS386" s="1" t="s">
        <v>104</v>
      </c>
      <c r="AU386" s="1" t="s">
        <v>104</v>
      </c>
      <c r="AV386" s="1" t="s">
        <v>104</v>
      </c>
      <c r="AX386" s="1" t="str">
        <f>IFERROR(__xludf.DUMMYFUNCTION("""COMPUTED_VALUE"""),"")</f>
        <v/>
      </c>
      <c r="AZ386" s="1" t="str">
        <f>IFERROR(__xludf.DUMMYFUNCTION("""COMPUTED_VALUE"""),"")</f>
        <v/>
      </c>
      <c r="BB386" s="1" t="s">
        <v>104</v>
      </c>
      <c r="BC386" s="1" t="s">
        <v>104</v>
      </c>
      <c r="BE386" s="1" t="s">
        <v>104</v>
      </c>
      <c r="BG386" s="1" t="s">
        <v>104</v>
      </c>
      <c r="BH386" s="1" t="s">
        <v>104</v>
      </c>
      <c r="BI386" s="1" t="s">
        <v>104</v>
      </c>
      <c r="BJ386" s="1" t="s">
        <v>104</v>
      </c>
      <c r="BK386" s="1" t="s">
        <v>104</v>
      </c>
      <c r="BL386" s="1" t="s">
        <v>104</v>
      </c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N387" s="1" t="s">
        <v>104</v>
      </c>
      <c r="AO387" s="1" t="s">
        <v>104</v>
      </c>
      <c r="AP387" s="1" t="s">
        <v>104</v>
      </c>
      <c r="AQ387" s="1" t="s">
        <v>104</v>
      </c>
      <c r="AR387" s="1" t="s">
        <v>104</v>
      </c>
      <c r="AS387" s="1" t="s">
        <v>104</v>
      </c>
      <c r="AU387" s="1" t="s">
        <v>104</v>
      </c>
      <c r="AV387" s="1" t="s">
        <v>104</v>
      </c>
      <c r="AX387" s="1" t="str">
        <f>IFERROR(__xludf.DUMMYFUNCTION("""COMPUTED_VALUE"""),"")</f>
        <v/>
      </c>
      <c r="AZ387" s="1" t="str">
        <f>IFERROR(__xludf.DUMMYFUNCTION("""COMPUTED_VALUE"""),"")</f>
        <v/>
      </c>
      <c r="BB387" s="1" t="s">
        <v>104</v>
      </c>
      <c r="BC387" s="1" t="s">
        <v>104</v>
      </c>
      <c r="BE387" s="1" t="s">
        <v>104</v>
      </c>
      <c r="BG387" s="1" t="s">
        <v>104</v>
      </c>
      <c r="BH387" s="1" t="s">
        <v>104</v>
      </c>
      <c r="BI387" s="1" t="s">
        <v>104</v>
      </c>
      <c r="BJ387" s="1" t="s">
        <v>104</v>
      </c>
      <c r="BK387" s="1" t="s">
        <v>104</v>
      </c>
      <c r="BL387" s="1" t="s">
        <v>104</v>
      </c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N388" s="1" t="s">
        <v>104</v>
      </c>
      <c r="AO388" s="1" t="s">
        <v>104</v>
      </c>
      <c r="AP388" s="1" t="s">
        <v>104</v>
      </c>
      <c r="AQ388" s="1" t="s">
        <v>104</v>
      </c>
      <c r="AR388" s="1" t="s">
        <v>104</v>
      </c>
      <c r="AS388" s="1" t="s">
        <v>104</v>
      </c>
      <c r="AU388" s="1" t="s">
        <v>104</v>
      </c>
      <c r="AV388" s="1" t="s">
        <v>104</v>
      </c>
      <c r="AX388" s="1" t="str">
        <f>IFERROR(__xludf.DUMMYFUNCTION("""COMPUTED_VALUE"""),"")</f>
        <v/>
      </c>
      <c r="AZ388" s="1" t="str">
        <f>IFERROR(__xludf.DUMMYFUNCTION("""COMPUTED_VALUE"""),"")</f>
        <v/>
      </c>
      <c r="BB388" s="1" t="s">
        <v>104</v>
      </c>
      <c r="BC388" s="1" t="s">
        <v>104</v>
      </c>
      <c r="BE388" s="1" t="s">
        <v>104</v>
      </c>
      <c r="BG388" s="1" t="s">
        <v>104</v>
      </c>
      <c r="BH388" s="1" t="s">
        <v>104</v>
      </c>
      <c r="BI388" s="1" t="s">
        <v>104</v>
      </c>
      <c r="BJ388" s="1" t="s">
        <v>104</v>
      </c>
      <c r="BK388" s="1" t="s">
        <v>104</v>
      </c>
      <c r="BL388" s="1" t="s">
        <v>104</v>
      </c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N389" s="1" t="s">
        <v>104</v>
      </c>
      <c r="AO389" s="1" t="s">
        <v>104</v>
      </c>
      <c r="AP389" s="1" t="s">
        <v>104</v>
      </c>
      <c r="AQ389" s="1" t="s">
        <v>104</v>
      </c>
      <c r="AR389" s="1" t="s">
        <v>104</v>
      </c>
      <c r="AS389" s="1" t="s">
        <v>104</v>
      </c>
      <c r="AU389" s="1" t="s">
        <v>104</v>
      </c>
      <c r="AV389" s="1" t="s">
        <v>104</v>
      </c>
      <c r="AX389" s="1" t="str">
        <f>IFERROR(__xludf.DUMMYFUNCTION("""COMPUTED_VALUE"""),"")</f>
        <v/>
      </c>
      <c r="AZ389" s="1" t="str">
        <f>IFERROR(__xludf.DUMMYFUNCTION("""COMPUTED_VALUE"""),"")</f>
        <v/>
      </c>
      <c r="BB389" s="1" t="s">
        <v>104</v>
      </c>
      <c r="BC389" s="1" t="s">
        <v>104</v>
      </c>
      <c r="BE389" s="1" t="s">
        <v>104</v>
      </c>
      <c r="BG389" s="1" t="s">
        <v>104</v>
      </c>
      <c r="BH389" s="1" t="s">
        <v>104</v>
      </c>
      <c r="BI389" s="1" t="s">
        <v>104</v>
      </c>
      <c r="BJ389" s="1" t="s">
        <v>104</v>
      </c>
      <c r="BK389" s="1" t="s">
        <v>104</v>
      </c>
      <c r="BL389" s="1" t="s">
        <v>104</v>
      </c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N390" s="1" t="s">
        <v>104</v>
      </c>
      <c r="AO390" s="1" t="s">
        <v>104</v>
      </c>
      <c r="AP390" s="1" t="s">
        <v>104</v>
      </c>
      <c r="AQ390" s="1" t="s">
        <v>104</v>
      </c>
      <c r="AR390" s="1" t="s">
        <v>104</v>
      </c>
      <c r="AS390" s="1" t="s">
        <v>104</v>
      </c>
      <c r="AU390" s="1" t="s">
        <v>104</v>
      </c>
      <c r="AV390" s="1" t="s">
        <v>104</v>
      </c>
      <c r="AX390" s="1" t="str">
        <f>IFERROR(__xludf.DUMMYFUNCTION("""COMPUTED_VALUE"""),"")</f>
        <v/>
      </c>
      <c r="AZ390" s="1" t="str">
        <f>IFERROR(__xludf.DUMMYFUNCTION("""COMPUTED_VALUE"""),"")</f>
        <v/>
      </c>
      <c r="BB390" s="1" t="s">
        <v>104</v>
      </c>
      <c r="BC390" s="1" t="s">
        <v>104</v>
      </c>
      <c r="BE390" s="1" t="s">
        <v>104</v>
      </c>
      <c r="BG390" s="1" t="s">
        <v>104</v>
      </c>
      <c r="BH390" s="1" t="s">
        <v>104</v>
      </c>
      <c r="BI390" s="1" t="s">
        <v>104</v>
      </c>
      <c r="BJ390" s="1" t="s">
        <v>104</v>
      </c>
      <c r="BK390" s="1" t="s">
        <v>104</v>
      </c>
      <c r="BL390" s="1" t="s">
        <v>104</v>
      </c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N391" s="1" t="s">
        <v>104</v>
      </c>
      <c r="AO391" s="1" t="s">
        <v>104</v>
      </c>
      <c r="AP391" s="1" t="s">
        <v>104</v>
      </c>
      <c r="AQ391" s="1" t="s">
        <v>104</v>
      </c>
      <c r="AR391" s="1" t="s">
        <v>104</v>
      </c>
      <c r="AS391" s="1" t="s">
        <v>104</v>
      </c>
      <c r="AU391" s="1" t="s">
        <v>104</v>
      </c>
      <c r="AV391" s="1" t="s">
        <v>104</v>
      </c>
      <c r="AX391" s="1" t="str">
        <f>IFERROR(__xludf.DUMMYFUNCTION("""COMPUTED_VALUE"""),"")</f>
        <v/>
      </c>
      <c r="AZ391" s="1" t="str">
        <f>IFERROR(__xludf.DUMMYFUNCTION("""COMPUTED_VALUE"""),"")</f>
        <v/>
      </c>
      <c r="BB391" s="1" t="s">
        <v>104</v>
      </c>
      <c r="BC391" s="1" t="s">
        <v>104</v>
      </c>
      <c r="BE391" s="1" t="s">
        <v>104</v>
      </c>
      <c r="BG391" s="1" t="s">
        <v>104</v>
      </c>
      <c r="BH391" s="1" t="s">
        <v>104</v>
      </c>
      <c r="BI391" s="1" t="s">
        <v>104</v>
      </c>
      <c r="BJ391" s="1" t="s">
        <v>104</v>
      </c>
      <c r="BK391" s="1" t="s">
        <v>104</v>
      </c>
      <c r="BL391" s="1" t="s">
        <v>104</v>
      </c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N392" s="1" t="s">
        <v>104</v>
      </c>
      <c r="AO392" s="1" t="s">
        <v>104</v>
      </c>
      <c r="AP392" s="1" t="s">
        <v>104</v>
      </c>
      <c r="AQ392" s="1" t="s">
        <v>104</v>
      </c>
      <c r="AR392" s="1" t="s">
        <v>104</v>
      </c>
      <c r="AS392" s="1" t="s">
        <v>104</v>
      </c>
      <c r="AU392" s="1" t="s">
        <v>104</v>
      </c>
      <c r="AV392" s="1" t="s">
        <v>104</v>
      </c>
      <c r="AX392" s="1" t="str">
        <f>IFERROR(__xludf.DUMMYFUNCTION("""COMPUTED_VALUE"""),"")</f>
        <v/>
      </c>
      <c r="AZ392" s="1" t="str">
        <f>IFERROR(__xludf.DUMMYFUNCTION("""COMPUTED_VALUE"""),"")</f>
        <v/>
      </c>
      <c r="BB392" s="1" t="s">
        <v>104</v>
      </c>
      <c r="BC392" s="1" t="s">
        <v>104</v>
      </c>
      <c r="BE392" s="1" t="s">
        <v>104</v>
      </c>
      <c r="BG392" s="1" t="s">
        <v>104</v>
      </c>
      <c r="BH392" s="1" t="s">
        <v>104</v>
      </c>
      <c r="BI392" s="1" t="s">
        <v>104</v>
      </c>
      <c r="BJ392" s="1" t="s">
        <v>104</v>
      </c>
      <c r="BK392" s="1" t="s">
        <v>104</v>
      </c>
      <c r="BL392" s="1" t="s">
        <v>104</v>
      </c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N393" s="1" t="s">
        <v>104</v>
      </c>
      <c r="AO393" s="1" t="s">
        <v>104</v>
      </c>
      <c r="AP393" s="1" t="s">
        <v>104</v>
      </c>
      <c r="AQ393" s="1" t="s">
        <v>104</v>
      </c>
      <c r="AR393" s="1" t="s">
        <v>104</v>
      </c>
      <c r="AS393" s="1" t="s">
        <v>104</v>
      </c>
      <c r="AU393" s="1" t="s">
        <v>104</v>
      </c>
      <c r="AV393" s="1" t="s">
        <v>104</v>
      </c>
      <c r="AX393" s="1" t="str">
        <f>IFERROR(__xludf.DUMMYFUNCTION("""COMPUTED_VALUE"""),"")</f>
        <v/>
      </c>
      <c r="AZ393" s="1" t="str">
        <f>IFERROR(__xludf.DUMMYFUNCTION("""COMPUTED_VALUE"""),"")</f>
        <v/>
      </c>
      <c r="BB393" s="1" t="s">
        <v>104</v>
      </c>
      <c r="BC393" s="1" t="s">
        <v>104</v>
      </c>
      <c r="BE393" s="1" t="s">
        <v>104</v>
      </c>
      <c r="BG393" s="1" t="s">
        <v>104</v>
      </c>
      <c r="BH393" s="1" t="s">
        <v>104</v>
      </c>
      <c r="BI393" s="1" t="s">
        <v>104</v>
      </c>
      <c r="BJ393" s="1" t="s">
        <v>104</v>
      </c>
      <c r="BK393" s="1" t="s">
        <v>104</v>
      </c>
      <c r="BL393" s="1" t="s">
        <v>104</v>
      </c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N394" s="1" t="s">
        <v>104</v>
      </c>
      <c r="AO394" s="1" t="s">
        <v>104</v>
      </c>
      <c r="AP394" s="1" t="s">
        <v>104</v>
      </c>
      <c r="AQ394" s="1" t="s">
        <v>104</v>
      </c>
      <c r="AR394" s="1" t="s">
        <v>104</v>
      </c>
      <c r="AS394" s="1" t="s">
        <v>104</v>
      </c>
      <c r="AU394" s="1" t="s">
        <v>104</v>
      </c>
      <c r="AV394" s="1" t="s">
        <v>104</v>
      </c>
      <c r="AX394" s="1" t="str">
        <f>IFERROR(__xludf.DUMMYFUNCTION("""COMPUTED_VALUE"""),"")</f>
        <v/>
      </c>
      <c r="AZ394" s="1" t="str">
        <f>IFERROR(__xludf.DUMMYFUNCTION("""COMPUTED_VALUE"""),"")</f>
        <v/>
      </c>
      <c r="BB394" s="1" t="s">
        <v>104</v>
      </c>
      <c r="BC394" s="1" t="s">
        <v>104</v>
      </c>
      <c r="BE394" s="1" t="s">
        <v>104</v>
      </c>
      <c r="BG394" s="1" t="s">
        <v>104</v>
      </c>
      <c r="BH394" s="1" t="s">
        <v>104</v>
      </c>
      <c r="BI394" s="1" t="s">
        <v>104</v>
      </c>
      <c r="BJ394" s="1" t="s">
        <v>104</v>
      </c>
      <c r="BK394" s="1" t="s">
        <v>104</v>
      </c>
      <c r="BL394" s="1" t="s">
        <v>104</v>
      </c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N395" s="1" t="s">
        <v>104</v>
      </c>
      <c r="AO395" s="1" t="s">
        <v>104</v>
      </c>
      <c r="AP395" s="1" t="s">
        <v>104</v>
      </c>
      <c r="AQ395" s="1" t="s">
        <v>104</v>
      </c>
      <c r="AR395" s="1" t="s">
        <v>104</v>
      </c>
      <c r="AS395" s="1" t="s">
        <v>104</v>
      </c>
      <c r="AU395" s="1" t="s">
        <v>104</v>
      </c>
      <c r="AV395" s="1" t="s">
        <v>104</v>
      </c>
      <c r="AX395" s="1" t="str">
        <f>IFERROR(__xludf.DUMMYFUNCTION("""COMPUTED_VALUE"""),"")</f>
        <v/>
      </c>
      <c r="AZ395" s="1" t="str">
        <f>IFERROR(__xludf.DUMMYFUNCTION("""COMPUTED_VALUE"""),"")</f>
        <v/>
      </c>
      <c r="BB395" s="1" t="s">
        <v>104</v>
      </c>
      <c r="BC395" s="1" t="s">
        <v>104</v>
      </c>
      <c r="BE395" s="1" t="s">
        <v>104</v>
      </c>
      <c r="BG395" s="1" t="s">
        <v>104</v>
      </c>
      <c r="BH395" s="1" t="s">
        <v>104</v>
      </c>
      <c r="BI395" s="1" t="s">
        <v>104</v>
      </c>
      <c r="BJ395" s="1" t="s">
        <v>104</v>
      </c>
      <c r="BK395" s="1" t="s">
        <v>104</v>
      </c>
      <c r="BL395" s="1" t="s">
        <v>104</v>
      </c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N396" s="1" t="s">
        <v>104</v>
      </c>
      <c r="AO396" s="1" t="s">
        <v>104</v>
      </c>
      <c r="AP396" s="1" t="s">
        <v>104</v>
      </c>
      <c r="AQ396" s="1" t="s">
        <v>104</v>
      </c>
      <c r="AR396" s="1" t="s">
        <v>104</v>
      </c>
      <c r="AS396" s="1" t="s">
        <v>104</v>
      </c>
      <c r="AU396" s="1" t="s">
        <v>104</v>
      </c>
      <c r="AV396" s="1" t="s">
        <v>104</v>
      </c>
      <c r="AX396" s="1" t="str">
        <f>IFERROR(__xludf.DUMMYFUNCTION("""COMPUTED_VALUE"""),"")</f>
        <v/>
      </c>
      <c r="AZ396" s="1" t="str">
        <f>IFERROR(__xludf.DUMMYFUNCTION("""COMPUTED_VALUE"""),"")</f>
        <v/>
      </c>
      <c r="BB396" s="1" t="s">
        <v>104</v>
      </c>
      <c r="BC396" s="1" t="s">
        <v>104</v>
      </c>
      <c r="BE396" s="1" t="s">
        <v>104</v>
      </c>
      <c r="BG396" s="1" t="s">
        <v>104</v>
      </c>
      <c r="BH396" s="1" t="s">
        <v>104</v>
      </c>
      <c r="BI396" s="1" t="s">
        <v>104</v>
      </c>
      <c r="BJ396" s="1" t="s">
        <v>104</v>
      </c>
      <c r="BK396" s="1" t="s">
        <v>104</v>
      </c>
      <c r="BL396" s="1" t="s">
        <v>104</v>
      </c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N397" s="1" t="s">
        <v>104</v>
      </c>
      <c r="AO397" s="1" t="s">
        <v>104</v>
      </c>
      <c r="AP397" s="1" t="s">
        <v>104</v>
      </c>
      <c r="AQ397" s="1" t="s">
        <v>104</v>
      </c>
      <c r="AR397" s="1" t="s">
        <v>104</v>
      </c>
      <c r="AS397" s="1" t="s">
        <v>104</v>
      </c>
      <c r="AU397" s="1" t="s">
        <v>104</v>
      </c>
      <c r="AV397" s="1" t="s">
        <v>104</v>
      </c>
      <c r="AX397" s="1" t="str">
        <f>IFERROR(__xludf.DUMMYFUNCTION("""COMPUTED_VALUE"""),"")</f>
        <v/>
      </c>
      <c r="AZ397" s="1" t="str">
        <f>IFERROR(__xludf.DUMMYFUNCTION("""COMPUTED_VALUE"""),"")</f>
        <v/>
      </c>
      <c r="BB397" s="1" t="s">
        <v>104</v>
      </c>
      <c r="BC397" s="1" t="s">
        <v>104</v>
      </c>
      <c r="BE397" s="1" t="s">
        <v>104</v>
      </c>
      <c r="BG397" s="1" t="s">
        <v>104</v>
      </c>
      <c r="BH397" s="1" t="s">
        <v>104</v>
      </c>
      <c r="BI397" s="1" t="s">
        <v>104</v>
      </c>
      <c r="BJ397" s="1" t="s">
        <v>104</v>
      </c>
      <c r="BK397" s="1" t="s">
        <v>104</v>
      </c>
      <c r="BL397" s="1" t="s">
        <v>104</v>
      </c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N398" s="1" t="s">
        <v>104</v>
      </c>
      <c r="AO398" s="1" t="s">
        <v>104</v>
      </c>
      <c r="AP398" s="1" t="s">
        <v>104</v>
      </c>
      <c r="AQ398" s="1" t="s">
        <v>104</v>
      </c>
      <c r="AR398" s="1" t="s">
        <v>104</v>
      </c>
      <c r="AS398" s="1" t="s">
        <v>104</v>
      </c>
      <c r="AU398" s="1" t="s">
        <v>104</v>
      </c>
      <c r="AV398" s="1" t="s">
        <v>104</v>
      </c>
      <c r="AX398" s="1" t="str">
        <f>IFERROR(__xludf.DUMMYFUNCTION("""COMPUTED_VALUE"""),"")</f>
        <v/>
      </c>
      <c r="AZ398" s="1" t="str">
        <f>IFERROR(__xludf.DUMMYFUNCTION("""COMPUTED_VALUE"""),"")</f>
        <v/>
      </c>
      <c r="BB398" s="1" t="s">
        <v>104</v>
      </c>
      <c r="BC398" s="1" t="s">
        <v>104</v>
      </c>
      <c r="BE398" s="1" t="s">
        <v>104</v>
      </c>
      <c r="BG398" s="1" t="s">
        <v>104</v>
      </c>
      <c r="BH398" s="1" t="s">
        <v>104</v>
      </c>
      <c r="BI398" s="1" t="s">
        <v>104</v>
      </c>
      <c r="BJ398" s="1" t="s">
        <v>104</v>
      </c>
      <c r="BK398" s="1" t="s">
        <v>104</v>
      </c>
      <c r="BL398" s="1" t="s">
        <v>104</v>
      </c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N399" s="1" t="s">
        <v>104</v>
      </c>
      <c r="AO399" s="1" t="s">
        <v>104</v>
      </c>
      <c r="AP399" s="1" t="s">
        <v>104</v>
      </c>
      <c r="AQ399" s="1" t="s">
        <v>104</v>
      </c>
      <c r="AR399" s="1" t="s">
        <v>104</v>
      </c>
      <c r="AS399" s="1" t="s">
        <v>104</v>
      </c>
      <c r="AU399" s="1" t="s">
        <v>104</v>
      </c>
      <c r="AV399" s="1" t="s">
        <v>104</v>
      </c>
      <c r="AX399" s="1" t="str">
        <f>IFERROR(__xludf.DUMMYFUNCTION("""COMPUTED_VALUE"""),"")</f>
        <v/>
      </c>
      <c r="AZ399" s="1" t="str">
        <f>IFERROR(__xludf.DUMMYFUNCTION("""COMPUTED_VALUE"""),"")</f>
        <v/>
      </c>
      <c r="BB399" s="1" t="s">
        <v>104</v>
      </c>
      <c r="BC399" s="1" t="s">
        <v>104</v>
      </c>
      <c r="BE399" s="1" t="s">
        <v>104</v>
      </c>
      <c r="BG399" s="1" t="s">
        <v>104</v>
      </c>
      <c r="BH399" s="1" t="s">
        <v>104</v>
      </c>
      <c r="BI399" s="1" t="s">
        <v>104</v>
      </c>
      <c r="BJ399" s="1" t="s">
        <v>104</v>
      </c>
      <c r="BK399" s="1" t="s">
        <v>104</v>
      </c>
      <c r="BL399" s="1" t="s">
        <v>104</v>
      </c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N400" s="1" t="s">
        <v>104</v>
      </c>
      <c r="AO400" s="1" t="s">
        <v>104</v>
      </c>
      <c r="AP400" s="1" t="s">
        <v>104</v>
      </c>
      <c r="AQ400" s="1" t="s">
        <v>104</v>
      </c>
      <c r="AR400" s="1" t="s">
        <v>104</v>
      </c>
      <c r="AS400" s="1" t="s">
        <v>104</v>
      </c>
      <c r="AU400" s="1" t="s">
        <v>104</v>
      </c>
      <c r="AV400" s="1" t="s">
        <v>104</v>
      </c>
      <c r="AX400" s="1" t="str">
        <f>IFERROR(__xludf.DUMMYFUNCTION("""COMPUTED_VALUE"""),"")</f>
        <v/>
      </c>
      <c r="AZ400" s="1" t="str">
        <f>IFERROR(__xludf.DUMMYFUNCTION("""COMPUTED_VALUE"""),"")</f>
        <v/>
      </c>
      <c r="BB400" s="1" t="s">
        <v>104</v>
      </c>
      <c r="BC400" s="1" t="s">
        <v>104</v>
      </c>
      <c r="BE400" s="1" t="s">
        <v>104</v>
      </c>
      <c r="BG400" s="1" t="s">
        <v>104</v>
      </c>
      <c r="BH400" s="1" t="s">
        <v>104</v>
      </c>
      <c r="BI400" s="1" t="s">
        <v>104</v>
      </c>
      <c r="BJ400" s="1" t="s">
        <v>104</v>
      </c>
      <c r="BK400" s="1" t="s">
        <v>104</v>
      </c>
      <c r="BL400" s="1" t="s">
        <v>104</v>
      </c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N401" s="1" t="s">
        <v>104</v>
      </c>
      <c r="AO401" s="1" t="s">
        <v>104</v>
      </c>
      <c r="AP401" s="1" t="s">
        <v>104</v>
      </c>
      <c r="AQ401" s="1" t="s">
        <v>104</v>
      </c>
      <c r="AR401" s="1" t="s">
        <v>104</v>
      </c>
      <c r="AS401" s="1" t="s">
        <v>104</v>
      </c>
      <c r="AU401" s="1" t="s">
        <v>104</v>
      </c>
      <c r="AV401" s="1" t="s">
        <v>104</v>
      </c>
      <c r="AX401" s="1" t="str">
        <f>IFERROR(__xludf.DUMMYFUNCTION("""COMPUTED_VALUE"""),"")</f>
        <v/>
      </c>
      <c r="AZ401" s="1" t="str">
        <f>IFERROR(__xludf.DUMMYFUNCTION("""COMPUTED_VALUE"""),"")</f>
        <v/>
      </c>
      <c r="BB401" s="1" t="s">
        <v>104</v>
      </c>
      <c r="BC401" s="1" t="s">
        <v>104</v>
      </c>
      <c r="BE401" s="1" t="s">
        <v>104</v>
      </c>
      <c r="BG401" s="1" t="s">
        <v>104</v>
      </c>
      <c r="BH401" s="1" t="s">
        <v>104</v>
      </c>
      <c r="BI401" s="1" t="s">
        <v>104</v>
      </c>
      <c r="BJ401" s="1" t="s">
        <v>104</v>
      </c>
      <c r="BK401" s="1" t="s">
        <v>104</v>
      </c>
      <c r="BL401" s="1" t="s">
        <v>104</v>
      </c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N402" s="1" t="s">
        <v>104</v>
      </c>
      <c r="AO402" s="1" t="s">
        <v>104</v>
      </c>
      <c r="AP402" s="1" t="s">
        <v>104</v>
      </c>
      <c r="AQ402" s="1" t="s">
        <v>104</v>
      </c>
      <c r="AR402" s="1" t="s">
        <v>104</v>
      </c>
      <c r="AS402" s="1" t="s">
        <v>104</v>
      </c>
      <c r="AU402" s="1" t="s">
        <v>104</v>
      </c>
      <c r="AV402" s="1" t="s">
        <v>104</v>
      </c>
      <c r="AX402" s="1" t="str">
        <f>IFERROR(__xludf.DUMMYFUNCTION("""COMPUTED_VALUE"""),"")</f>
        <v/>
      </c>
      <c r="AZ402" s="1" t="str">
        <f>IFERROR(__xludf.DUMMYFUNCTION("""COMPUTED_VALUE"""),"")</f>
        <v/>
      </c>
      <c r="BB402" s="1" t="s">
        <v>104</v>
      </c>
      <c r="BC402" s="1" t="s">
        <v>104</v>
      </c>
      <c r="BE402" s="1" t="s">
        <v>104</v>
      </c>
      <c r="BG402" s="1" t="s">
        <v>104</v>
      </c>
      <c r="BH402" s="1" t="s">
        <v>104</v>
      </c>
      <c r="BI402" s="1" t="s">
        <v>104</v>
      </c>
      <c r="BJ402" s="1" t="s">
        <v>104</v>
      </c>
      <c r="BK402" s="1" t="s">
        <v>104</v>
      </c>
      <c r="BL402" s="1" t="s">
        <v>104</v>
      </c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N403" s="1" t="s">
        <v>104</v>
      </c>
      <c r="AO403" s="1" t="s">
        <v>104</v>
      </c>
      <c r="AP403" s="1" t="s">
        <v>104</v>
      </c>
      <c r="AQ403" s="1" t="s">
        <v>104</v>
      </c>
      <c r="AR403" s="1" t="s">
        <v>104</v>
      </c>
      <c r="AS403" s="1" t="s">
        <v>104</v>
      </c>
      <c r="AU403" s="1" t="s">
        <v>104</v>
      </c>
      <c r="AV403" s="1" t="s">
        <v>104</v>
      </c>
      <c r="AX403" s="1" t="str">
        <f>IFERROR(__xludf.DUMMYFUNCTION("""COMPUTED_VALUE"""),"")</f>
        <v/>
      </c>
      <c r="AZ403" s="1" t="str">
        <f>IFERROR(__xludf.DUMMYFUNCTION("""COMPUTED_VALUE"""),"")</f>
        <v/>
      </c>
      <c r="BB403" s="1" t="s">
        <v>104</v>
      </c>
      <c r="BC403" s="1" t="s">
        <v>104</v>
      </c>
      <c r="BE403" s="1" t="s">
        <v>104</v>
      </c>
      <c r="BG403" s="1" t="s">
        <v>104</v>
      </c>
      <c r="BH403" s="1" t="s">
        <v>104</v>
      </c>
      <c r="BI403" s="1" t="s">
        <v>104</v>
      </c>
      <c r="BJ403" s="1" t="s">
        <v>104</v>
      </c>
      <c r="BK403" s="1" t="s">
        <v>104</v>
      </c>
      <c r="BL403" s="1" t="s">
        <v>104</v>
      </c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N404" s="1" t="s">
        <v>104</v>
      </c>
      <c r="AO404" s="1" t="s">
        <v>104</v>
      </c>
      <c r="AP404" s="1" t="s">
        <v>104</v>
      </c>
      <c r="AQ404" s="1" t="s">
        <v>104</v>
      </c>
      <c r="AR404" s="1" t="s">
        <v>104</v>
      </c>
      <c r="AS404" s="1" t="s">
        <v>104</v>
      </c>
      <c r="AU404" s="1" t="s">
        <v>104</v>
      </c>
      <c r="AV404" s="1" t="s">
        <v>104</v>
      </c>
      <c r="AX404" s="1" t="str">
        <f>IFERROR(__xludf.DUMMYFUNCTION("""COMPUTED_VALUE"""),"")</f>
        <v/>
      </c>
      <c r="AZ404" s="1" t="str">
        <f>IFERROR(__xludf.DUMMYFUNCTION("""COMPUTED_VALUE"""),"")</f>
        <v/>
      </c>
      <c r="BB404" s="1" t="s">
        <v>104</v>
      </c>
      <c r="BC404" s="1" t="s">
        <v>104</v>
      </c>
      <c r="BE404" s="1" t="s">
        <v>104</v>
      </c>
      <c r="BG404" s="1" t="s">
        <v>104</v>
      </c>
      <c r="BH404" s="1" t="s">
        <v>104</v>
      </c>
      <c r="BI404" s="1" t="s">
        <v>104</v>
      </c>
      <c r="BJ404" s="1" t="s">
        <v>104</v>
      </c>
      <c r="BK404" s="1" t="s">
        <v>104</v>
      </c>
      <c r="BL404" s="1" t="s">
        <v>104</v>
      </c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N405" s="1" t="s">
        <v>104</v>
      </c>
      <c r="AO405" s="1" t="s">
        <v>104</v>
      </c>
      <c r="AP405" s="1" t="s">
        <v>104</v>
      </c>
      <c r="AQ405" s="1" t="s">
        <v>104</v>
      </c>
      <c r="AR405" s="1" t="s">
        <v>104</v>
      </c>
      <c r="AS405" s="1" t="s">
        <v>104</v>
      </c>
      <c r="AU405" s="1" t="s">
        <v>104</v>
      </c>
      <c r="AV405" s="1" t="s">
        <v>104</v>
      </c>
      <c r="AX405" s="1" t="str">
        <f>IFERROR(__xludf.DUMMYFUNCTION("""COMPUTED_VALUE"""),"")</f>
        <v/>
      </c>
      <c r="AZ405" s="1" t="str">
        <f>IFERROR(__xludf.DUMMYFUNCTION("""COMPUTED_VALUE"""),"")</f>
        <v/>
      </c>
      <c r="BB405" s="1" t="s">
        <v>104</v>
      </c>
      <c r="BC405" s="1" t="s">
        <v>104</v>
      </c>
      <c r="BE405" s="1" t="s">
        <v>104</v>
      </c>
      <c r="BG405" s="1" t="s">
        <v>104</v>
      </c>
      <c r="BH405" s="1" t="s">
        <v>104</v>
      </c>
      <c r="BI405" s="1" t="s">
        <v>104</v>
      </c>
      <c r="BJ405" s="1" t="s">
        <v>104</v>
      </c>
      <c r="BK405" s="1" t="s">
        <v>104</v>
      </c>
      <c r="BL405" s="1" t="s">
        <v>104</v>
      </c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N406" s="1" t="s">
        <v>104</v>
      </c>
      <c r="AO406" s="1" t="s">
        <v>104</v>
      </c>
      <c r="AP406" s="1" t="s">
        <v>104</v>
      </c>
      <c r="AQ406" s="1" t="s">
        <v>104</v>
      </c>
      <c r="AR406" s="1" t="s">
        <v>104</v>
      </c>
      <c r="AS406" s="1" t="s">
        <v>104</v>
      </c>
      <c r="AU406" s="1" t="s">
        <v>104</v>
      </c>
      <c r="AV406" s="1" t="s">
        <v>104</v>
      </c>
      <c r="AX406" s="1" t="str">
        <f>IFERROR(__xludf.DUMMYFUNCTION("""COMPUTED_VALUE"""),"")</f>
        <v/>
      </c>
      <c r="AZ406" s="1" t="str">
        <f>IFERROR(__xludf.DUMMYFUNCTION("""COMPUTED_VALUE"""),"")</f>
        <v/>
      </c>
      <c r="BB406" s="1" t="s">
        <v>104</v>
      </c>
      <c r="BC406" s="1" t="s">
        <v>104</v>
      </c>
      <c r="BE406" s="1" t="s">
        <v>104</v>
      </c>
      <c r="BG406" s="1" t="s">
        <v>104</v>
      </c>
      <c r="BH406" s="1" t="s">
        <v>104</v>
      </c>
      <c r="BI406" s="1" t="s">
        <v>104</v>
      </c>
      <c r="BJ406" s="1" t="s">
        <v>104</v>
      </c>
      <c r="BK406" s="1" t="s">
        <v>104</v>
      </c>
      <c r="BL406" s="1" t="s">
        <v>104</v>
      </c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N407" s="1" t="s">
        <v>104</v>
      </c>
      <c r="AO407" s="1" t="s">
        <v>104</v>
      </c>
      <c r="AP407" s="1" t="s">
        <v>104</v>
      </c>
      <c r="AQ407" s="1" t="s">
        <v>104</v>
      </c>
      <c r="AR407" s="1" t="s">
        <v>104</v>
      </c>
      <c r="AS407" s="1" t="s">
        <v>104</v>
      </c>
      <c r="AU407" s="1" t="s">
        <v>104</v>
      </c>
      <c r="AV407" s="1" t="s">
        <v>104</v>
      </c>
      <c r="AX407" s="1" t="str">
        <f>IFERROR(__xludf.DUMMYFUNCTION("""COMPUTED_VALUE"""),"")</f>
        <v/>
      </c>
      <c r="AZ407" s="1" t="str">
        <f>IFERROR(__xludf.DUMMYFUNCTION("""COMPUTED_VALUE"""),"")</f>
        <v/>
      </c>
      <c r="BB407" s="1" t="s">
        <v>104</v>
      </c>
      <c r="BC407" s="1" t="s">
        <v>104</v>
      </c>
      <c r="BE407" s="1" t="s">
        <v>104</v>
      </c>
      <c r="BG407" s="1" t="s">
        <v>104</v>
      </c>
      <c r="BH407" s="1" t="s">
        <v>104</v>
      </c>
      <c r="BI407" s="1" t="s">
        <v>104</v>
      </c>
      <c r="BJ407" s="1" t="s">
        <v>104</v>
      </c>
      <c r="BK407" s="1" t="s">
        <v>104</v>
      </c>
      <c r="BL407" s="1" t="s">
        <v>104</v>
      </c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N408" s="1" t="s">
        <v>104</v>
      </c>
      <c r="AO408" s="1" t="s">
        <v>104</v>
      </c>
      <c r="AP408" s="1" t="s">
        <v>104</v>
      </c>
      <c r="AQ408" s="1" t="s">
        <v>104</v>
      </c>
      <c r="AR408" s="1" t="s">
        <v>104</v>
      </c>
      <c r="AS408" s="1" t="s">
        <v>104</v>
      </c>
      <c r="AU408" s="1" t="s">
        <v>104</v>
      </c>
      <c r="AV408" s="1" t="s">
        <v>104</v>
      </c>
      <c r="AX408" s="1" t="str">
        <f>IFERROR(__xludf.DUMMYFUNCTION("""COMPUTED_VALUE"""),"")</f>
        <v/>
      </c>
      <c r="AZ408" s="1" t="str">
        <f>IFERROR(__xludf.DUMMYFUNCTION("""COMPUTED_VALUE"""),"")</f>
        <v/>
      </c>
      <c r="BB408" s="1" t="s">
        <v>104</v>
      </c>
      <c r="BC408" s="1" t="s">
        <v>104</v>
      </c>
      <c r="BE408" s="1" t="s">
        <v>104</v>
      </c>
      <c r="BG408" s="1" t="s">
        <v>104</v>
      </c>
      <c r="BH408" s="1" t="s">
        <v>104</v>
      </c>
      <c r="BI408" s="1" t="s">
        <v>104</v>
      </c>
      <c r="BJ408" s="1" t="s">
        <v>104</v>
      </c>
      <c r="BK408" s="1" t="s">
        <v>104</v>
      </c>
      <c r="BL408" s="1" t="s">
        <v>104</v>
      </c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N409" s="1" t="s">
        <v>104</v>
      </c>
      <c r="AO409" s="1" t="s">
        <v>104</v>
      </c>
      <c r="AP409" s="1" t="s">
        <v>104</v>
      </c>
      <c r="AQ409" s="1" t="s">
        <v>104</v>
      </c>
      <c r="AR409" s="1" t="s">
        <v>104</v>
      </c>
      <c r="AS409" s="1" t="s">
        <v>104</v>
      </c>
      <c r="AU409" s="1" t="s">
        <v>104</v>
      </c>
      <c r="AV409" s="1" t="s">
        <v>104</v>
      </c>
      <c r="AX409" s="1" t="str">
        <f>IFERROR(__xludf.DUMMYFUNCTION("""COMPUTED_VALUE"""),"")</f>
        <v/>
      </c>
      <c r="AZ409" s="1" t="str">
        <f>IFERROR(__xludf.DUMMYFUNCTION("""COMPUTED_VALUE"""),"")</f>
        <v/>
      </c>
      <c r="BB409" s="1" t="s">
        <v>104</v>
      </c>
      <c r="BC409" s="1" t="s">
        <v>104</v>
      </c>
      <c r="BE409" s="1" t="s">
        <v>104</v>
      </c>
      <c r="BG409" s="1" t="s">
        <v>104</v>
      </c>
      <c r="BH409" s="1" t="s">
        <v>104</v>
      </c>
      <c r="BI409" s="1" t="s">
        <v>104</v>
      </c>
      <c r="BJ409" s="1" t="s">
        <v>104</v>
      </c>
      <c r="BK409" s="1" t="s">
        <v>104</v>
      </c>
      <c r="BL409" s="1" t="s">
        <v>104</v>
      </c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N410" s="1" t="s">
        <v>104</v>
      </c>
      <c r="AO410" s="1" t="s">
        <v>104</v>
      </c>
      <c r="AP410" s="1" t="s">
        <v>104</v>
      </c>
      <c r="AQ410" s="1" t="s">
        <v>104</v>
      </c>
      <c r="AR410" s="1" t="s">
        <v>104</v>
      </c>
      <c r="AS410" s="1" t="s">
        <v>104</v>
      </c>
      <c r="AU410" s="1" t="s">
        <v>104</v>
      </c>
      <c r="AV410" s="1" t="s">
        <v>104</v>
      </c>
      <c r="AX410" s="1" t="str">
        <f>IFERROR(__xludf.DUMMYFUNCTION("""COMPUTED_VALUE"""),"")</f>
        <v/>
      </c>
      <c r="AZ410" s="1" t="str">
        <f>IFERROR(__xludf.DUMMYFUNCTION("""COMPUTED_VALUE"""),"")</f>
        <v/>
      </c>
      <c r="BB410" s="1" t="s">
        <v>104</v>
      </c>
      <c r="BC410" s="1" t="s">
        <v>104</v>
      </c>
      <c r="BE410" s="1" t="s">
        <v>104</v>
      </c>
      <c r="BG410" s="1" t="s">
        <v>104</v>
      </c>
      <c r="BH410" s="1" t="s">
        <v>104</v>
      </c>
      <c r="BI410" s="1" t="s">
        <v>104</v>
      </c>
      <c r="BJ410" s="1" t="s">
        <v>104</v>
      </c>
      <c r="BK410" s="1" t="s">
        <v>104</v>
      </c>
      <c r="BL410" s="1" t="s">
        <v>104</v>
      </c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N411" s="1" t="s">
        <v>104</v>
      </c>
      <c r="AO411" s="1" t="s">
        <v>104</v>
      </c>
      <c r="AP411" s="1" t="s">
        <v>104</v>
      </c>
      <c r="AQ411" s="1" t="s">
        <v>104</v>
      </c>
      <c r="AR411" s="1" t="s">
        <v>104</v>
      </c>
      <c r="AS411" s="1" t="s">
        <v>104</v>
      </c>
      <c r="AU411" s="1" t="s">
        <v>104</v>
      </c>
      <c r="AV411" s="1" t="s">
        <v>104</v>
      </c>
      <c r="AX411" s="1" t="str">
        <f>IFERROR(__xludf.DUMMYFUNCTION("""COMPUTED_VALUE"""),"")</f>
        <v/>
      </c>
      <c r="AZ411" s="1" t="str">
        <f>IFERROR(__xludf.DUMMYFUNCTION("""COMPUTED_VALUE"""),"")</f>
        <v/>
      </c>
      <c r="BB411" s="1" t="s">
        <v>104</v>
      </c>
      <c r="BC411" s="1" t="s">
        <v>104</v>
      </c>
      <c r="BE411" s="1" t="s">
        <v>104</v>
      </c>
      <c r="BG411" s="1" t="s">
        <v>104</v>
      </c>
      <c r="BH411" s="1" t="s">
        <v>104</v>
      </c>
      <c r="BI411" s="1" t="s">
        <v>104</v>
      </c>
      <c r="BJ411" s="1" t="s">
        <v>104</v>
      </c>
      <c r="BK411" s="1" t="s">
        <v>104</v>
      </c>
      <c r="BL411" s="1" t="s">
        <v>104</v>
      </c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N412" s="1" t="s">
        <v>104</v>
      </c>
      <c r="AO412" s="1" t="s">
        <v>104</v>
      </c>
      <c r="AP412" s="1" t="s">
        <v>104</v>
      </c>
      <c r="AQ412" s="1" t="s">
        <v>104</v>
      </c>
      <c r="AR412" s="1" t="s">
        <v>104</v>
      </c>
      <c r="AS412" s="1" t="s">
        <v>104</v>
      </c>
      <c r="AU412" s="1" t="s">
        <v>104</v>
      </c>
      <c r="AV412" s="1" t="s">
        <v>104</v>
      </c>
      <c r="AX412" s="1" t="str">
        <f>IFERROR(__xludf.DUMMYFUNCTION("""COMPUTED_VALUE"""),"")</f>
        <v/>
      </c>
      <c r="AZ412" s="1" t="str">
        <f>IFERROR(__xludf.DUMMYFUNCTION("""COMPUTED_VALUE"""),"")</f>
        <v/>
      </c>
      <c r="BB412" s="1" t="s">
        <v>104</v>
      </c>
      <c r="BC412" s="1" t="s">
        <v>104</v>
      </c>
      <c r="BE412" s="1" t="s">
        <v>104</v>
      </c>
      <c r="BG412" s="1" t="s">
        <v>104</v>
      </c>
      <c r="BH412" s="1" t="s">
        <v>104</v>
      </c>
      <c r="BI412" s="1" t="s">
        <v>104</v>
      </c>
      <c r="BJ412" s="1" t="s">
        <v>104</v>
      </c>
      <c r="BK412" s="1" t="s">
        <v>104</v>
      </c>
      <c r="BL412" s="1" t="s">
        <v>104</v>
      </c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N413" s="1" t="s">
        <v>104</v>
      </c>
      <c r="AO413" s="1" t="s">
        <v>104</v>
      </c>
      <c r="AP413" s="1" t="s">
        <v>104</v>
      </c>
      <c r="AQ413" s="1" t="s">
        <v>104</v>
      </c>
      <c r="AR413" s="1" t="s">
        <v>104</v>
      </c>
      <c r="AS413" s="1" t="s">
        <v>104</v>
      </c>
      <c r="AU413" s="1" t="s">
        <v>104</v>
      </c>
      <c r="AV413" s="1" t="s">
        <v>104</v>
      </c>
      <c r="AX413" s="1" t="str">
        <f>IFERROR(__xludf.DUMMYFUNCTION("""COMPUTED_VALUE"""),"")</f>
        <v/>
      </c>
      <c r="AZ413" s="1" t="str">
        <f>IFERROR(__xludf.DUMMYFUNCTION("""COMPUTED_VALUE"""),"")</f>
        <v/>
      </c>
      <c r="BB413" s="1" t="s">
        <v>104</v>
      </c>
      <c r="BC413" s="1" t="s">
        <v>104</v>
      </c>
      <c r="BE413" s="1" t="s">
        <v>104</v>
      </c>
      <c r="BG413" s="1" t="s">
        <v>104</v>
      </c>
      <c r="BH413" s="1" t="s">
        <v>104</v>
      </c>
      <c r="BI413" s="1" t="s">
        <v>104</v>
      </c>
      <c r="BJ413" s="1" t="s">
        <v>104</v>
      </c>
      <c r="BK413" s="1" t="s">
        <v>104</v>
      </c>
      <c r="BL413" s="1" t="s">
        <v>104</v>
      </c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N414" s="1" t="s">
        <v>104</v>
      </c>
      <c r="AO414" s="1" t="s">
        <v>104</v>
      </c>
      <c r="AP414" s="1" t="s">
        <v>104</v>
      </c>
      <c r="AQ414" s="1" t="s">
        <v>104</v>
      </c>
      <c r="AR414" s="1" t="s">
        <v>104</v>
      </c>
      <c r="AS414" s="1" t="s">
        <v>104</v>
      </c>
      <c r="AU414" s="1" t="s">
        <v>104</v>
      </c>
      <c r="AV414" s="1" t="s">
        <v>104</v>
      </c>
      <c r="AX414" s="1" t="str">
        <f>IFERROR(__xludf.DUMMYFUNCTION("""COMPUTED_VALUE"""),"")</f>
        <v/>
      </c>
      <c r="AZ414" s="1" t="str">
        <f>IFERROR(__xludf.DUMMYFUNCTION("""COMPUTED_VALUE"""),"")</f>
        <v/>
      </c>
      <c r="BB414" s="1" t="s">
        <v>104</v>
      </c>
      <c r="BC414" s="1" t="s">
        <v>104</v>
      </c>
      <c r="BE414" s="1" t="s">
        <v>104</v>
      </c>
      <c r="BG414" s="1" t="s">
        <v>104</v>
      </c>
      <c r="BH414" s="1" t="s">
        <v>104</v>
      </c>
      <c r="BI414" s="1" t="s">
        <v>104</v>
      </c>
      <c r="BJ414" s="1" t="s">
        <v>104</v>
      </c>
      <c r="BK414" s="1" t="s">
        <v>104</v>
      </c>
      <c r="BL414" s="1" t="s">
        <v>104</v>
      </c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N415" s="1" t="s">
        <v>104</v>
      </c>
      <c r="AO415" s="1" t="s">
        <v>104</v>
      </c>
      <c r="AP415" s="1" t="s">
        <v>104</v>
      </c>
      <c r="AQ415" s="1" t="s">
        <v>104</v>
      </c>
      <c r="AR415" s="1" t="s">
        <v>104</v>
      </c>
      <c r="AS415" s="1" t="s">
        <v>104</v>
      </c>
      <c r="AU415" s="1" t="s">
        <v>104</v>
      </c>
      <c r="AV415" s="1" t="s">
        <v>104</v>
      </c>
      <c r="AX415" s="1" t="str">
        <f>IFERROR(__xludf.DUMMYFUNCTION("""COMPUTED_VALUE"""),"")</f>
        <v/>
      </c>
      <c r="AZ415" s="1" t="str">
        <f>IFERROR(__xludf.DUMMYFUNCTION("""COMPUTED_VALUE"""),"")</f>
        <v/>
      </c>
      <c r="BB415" s="1" t="s">
        <v>104</v>
      </c>
      <c r="BC415" s="1" t="s">
        <v>104</v>
      </c>
      <c r="BE415" s="1" t="s">
        <v>104</v>
      </c>
      <c r="BG415" s="1" t="s">
        <v>104</v>
      </c>
      <c r="BH415" s="1" t="s">
        <v>104</v>
      </c>
      <c r="BI415" s="1" t="s">
        <v>104</v>
      </c>
      <c r="BJ415" s="1" t="s">
        <v>104</v>
      </c>
      <c r="BK415" s="1" t="s">
        <v>104</v>
      </c>
      <c r="BL415" s="1" t="s">
        <v>104</v>
      </c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N416" s="1" t="s">
        <v>104</v>
      </c>
      <c r="AO416" s="1" t="s">
        <v>104</v>
      </c>
      <c r="AP416" s="1" t="s">
        <v>104</v>
      </c>
      <c r="AQ416" s="1" t="s">
        <v>104</v>
      </c>
      <c r="AR416" s="1" t="s">
        <v>104</v>
      </c>
      <c r="AS416" s="1" t="s">
        <v>104</v>
      </c>
      <c r="AU416" s="1" t="s">
        <v>104</v>
      </c>
      <c r="AV416" s="1" t="s">
        <v>104</v>
      </c>
      <c r="AX416" s="1" t="str">
        <f>IFERROR(__xludf.DUMMYFUNCTION("""COMPUTED_VALUE"""),"")</f>
        <v/>
      </c>
      <c r="AZ416" s="1" t="str">
        <f>IFERROR(__xludf.DUMMYFUNCTION("""COMPUTED_VALUE"""),"")</f>
        <v/>
      </c>
      <c r="BB416" s="1" t="s">
        <v>104</v>
      </c>
      <c r="BC416" s="1" t="s">
        <v>104</v>
      </c>
      <c r="BE416" s="1" t="s">
        <v>104</v>
      </c>
      <c r="BG416" s="1" t="s">
        <v>104</v>
      </c>
      <c r="BH416" s="1" t="s">
        <v>104</v>
      </c>
      <c r="BI416" s="1" t="s">
        <v>104</v>
      </c>
      <c r="BJ416" s="1" t="s">
        <v>104</v>
      </c>
      <c r="BK416" s="1" t="s">
        <v>104</v>
      </c>
      <c r="BL416" s="1" t="s">
        <v>104</v>
      </c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N417" s="1" t="s">
        <v>104</v>
      </c>
      <c r="AO417" s="1" t="s">
        <v>104</v>
      </c>
      <c r="AP417" s="1" t="s">
        <v>104</v>
      </c>
      <c r="AQ417" s="1" t="s">
        <v>104</v>
      </c>
      <c r="AR417" s="1" t="s">
        <v>104</v>
      </c>
      <c r="AS417" s="1" t="s">
        <v>104</v>
      </c>
      <c r="AU417" s="1" t="s">
        <v>104</v>
      </c>
      <c r="AV417" s="1" t="s">
        <v>104</v>
      </c>
      <c r="AX417" s="1" t="str">
        <f>IFERROR(__xludf.DUMMYFUNCTION("""COMPUTED_VALUE"""),"")</f>
        <v/>
      </c>
      <c r="AZ417" s="1" t="str">
        <f>IFERROR(__xludf.DUMMYFUNCTION("""COMPUTED_VALUE"""),"")</f>
        <v/>
      </c>
      <c r="BB417" s="1" t="s">
        <v>104</v>
      </c>
      <c r="BC417" s="1" t="s">
        <v>104</v>
      </c>
      <c r="BE417" s="1" t="s">
        <v>104</v>
      </c>
      <c r="BG417" s="1" t="s">
        <v>104</v>
      </c>
      <c r="BH417" s="1" t="s">
        <v>104</v>
      </c>
      <c r="BI417" s="1" t="s">
        <v>104</v>
      </c>
      <c r="BJ417" s="1" t="s">
        <v>104</v>
      </c>
      <c r="BK417" s="1" t="s">
        <v>104</v>
      </c>
      <c r="BL417" s="1" t="s">
        <v>104</v>
      </c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N418" s="1" t="s">
        <v>104</v>
      </c>
      <c r="AO418" s="1" t="s">
        <v>104</v>
      </c>
      <c r="AP418" s="1" t="s">
        <v>104</v>
      </c>
      <c r="AQ418" s="1" t="s">
        <v>104</v>
      </c>
      <c r="AR418" s="1" t="s">
        <v>104</v>
      </c>
      <c r="AS418" s="1" t="s">
        <v>104</v>
      </c>
      <c r="AU418" s="1" t="s">
        <v>104</v>
      </c>
      <c r="AV418" s="1" t="s">
        <v>104</v>
      </c>
      <c r="AX418" s="1" t="str">
        <f>IFERROR(__xludf.DUMMYFUNCTION("""COMPUTED_VALUE"""),"")</f>
        <v/>
      </c>
      <c r="AZ418" s="1" t="str">
        <f>IFERROR(__xludf.DUMMYFUNCTION("""COMPUTED_VALUE"""),"")</f>
        <v/>
      </c>
      <c r="BB418" s="1" t="s">
        <v>104</v>
      </c>
      <c r="BC418" s="1" t="s">
        <v>104</v>
      </c>
      <c r="BE418" s="1" t="s">
        <v>104</v>
      </c>
      <c r="BG418" s="1" t="s">
        <v>104</v>
      </c>
      <c r="BH418" s="1" t="s">
        <v>104</v>
      </c>
      <c r="BI418" s="1" t="s">
        <v>104</v>
      </c>
      <c r="BJ418" s="1" t="s">
        <v>104</v>
      </c>
      <c r="BK418" s="1" t="s">
        <v>104</v>
      </c>
      <c r="BL418" s="1" t="s">
        <v>104</v>
      </c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N419" s="1" t="s">
        <v>104</v>
      </c>
      <c r="AO419" s="1" t="s">
        <v>104</v>
      </c>
      <c r="AP419" s="1" t="s">
        <v>104</v>
      </c>
      <c r="AQ419" s="1" t="s">
        <v>104</v>
      </c>
      <c r="AR419" s="1" t="s">
        <v>104</v>
      </c>
      <c r="AS419" s="1" t="s">
        <v>104</v>
      </c>
      <c r="AU419" s="1" t="s">
        <v>104</v>
      </c>
      <c r="AV419" s="1" t="s">
        <v>104</v>
      </c>
      <c r="AX419" s="1" t="str">
        <f>IFERROR(__xludf.DUMMYFUNCTION("""COMPUTED_VALUE"""),"")</f>
        <v/>
      </c>
      <c r="AZ419" s="1" t="str">
        <f>IFERROR(__xludf.DUMMYFUNCTION("""COMPUTED_VALUE"""),"")</f>
        <v/>
      </c>
      <c r="BB419" s="1" t="s">
        <v>104</v>
      </c>
      <c r="BC419" s="1" t="s">
        <v>104</v>
      </c>
      <c r="BE419" s="1" t="s">
        <v>104</v>
      </c>
      <c r="BG419" s="1" t="s">
        <v>104</v>
      </c>
      <c r="BH419" s="1" t="s">
        <v>104</v>
      </c>
      <c r="BI419" s="1" t="s">
        <v>104</v>
      </c>
      <c r="BJ419" s="1" t="s">
        <v>104</v>
      </c>
      <c r="BK419" s="1" t="s">
        <v>104</v>
      </c>
      <c r="BL419" s="1" t="s">
        <v>104</v>
      </c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N420" s="1" t="s">
        <v>104</v>
      </c>
      <c r="AO420" s="1" t="s">
        <v>104</v>
      </c>
      <c r="AP420" s="1" t="s">
        <v>104</v>
      </c>
      <c r="AQ420" s="1" t="s">
        <v>104</v>
      </c>
      <c r="AR420" s="1" t="s">
        <v>104</v>
      </c>
      <c r="AS420" s="1" t="s">
        <v>104</v>
      </c>
      <c r="AU420" s="1" t="s">
        <v>104</v>
      </c>
      <c r="AV420" s="1" t="s">
        <v>104</v>
      </c>
      <c r="AX420" s="1" t="str">
        <f>IFERROR(__xludf.DUMMYFUNCTION("""COMPUTED_VALUE"""),"")</f>
        <v/>
      </c>
      <c r="AZ420" s="1" t="str">
        <f>IFERROR(__xludf.DUMMYFUNCTION("""COMPUTED_VALUE"""),"")</f>
        <v/>
      </c>
      <c r="BB420" s="1" t="s">
        <v>104</v>
      </c>
      <c r="BC420" s="1" t="s">
        <v>104</v>
      </c>
      <c r="BE420" s="1" t="s">
        <v>104</v>
      </c>
      <c r="BG420" s="1" t="s">
        <v>104</v>
      </c>
      <c r="BH420" s="1" t="s">
        <v>104</v>
      </c>
      <c r="BI420" s="1" t="s">
        <v>104</v>
      </c>
      <c r="BJ420" s="1" t="s">
        <v>104</v>
      </c>
      <c r="BK420" s="1" t="s">
        <v>104</v>
      </c>
      <c r="BL420" s="1" t="s">
        <v>104</v>
      </c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N421" s="1" t="s">
        <v>104</v>
      </c>
      <c r="AO421" s="1" t="s">
        <v>104</v>
      </c>
      <c r="AP421" s="1" t="s">
        <v>104</v>
      </c>
      <c r="AQ421" s="1" t="s">
        <v>104</v>
      </c>
      <c r="AR421" s="1" t="s">
        <v>104</v>
      </c>
      <c r="AS421" s="1" t="s">
        <v>104</v>
      </c>
      <c r="AU421" s="1" t="s">
        <v>104</v>
      </c>
      <c r="AV421" s="1" t="s">
        <v>104</v>
      </c>
      <c r="AX421" s="1" t="str">
        <f>IFERROR(__xludf.DUMMYFUNCTION("""COMPUTED_VALUE"""),"")</f>
        <v/>
      </c>
      <c r="AZ421" s="1" t="str">
        <f>IFERROR(__xludf.DUMMYFUNCTION("""COMPUTED_VALUE"""),"")</f>
        <v/>
      </c>
      <c r="BB421" s="1" t="s">
        <v>104</v>
      </c>
      <c r="BC421" s="1" t="s">
        <v>104</v>
      </c>
      <c r="BE421" s="1" t="s">
        <v>104</v>
      </c>
      <c r="BG421" s="1" t="s">
        <v>104</v>
      </c>
      <c r="BH421" s="1" t="s">
        <v>104</v>
      </c>
      <c r="BI421" s="1" t="s">
        <v>104</v>
      </c>
      <c r="BJ421" s="1" t="s">
        <v>104</v>
      </c>
      <c r="BK421" s="1" t="s">
        <v>104</v>
      </c>
      <c r="BL421" s="1" t="s">
        <v>104</v>
      </c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N422" s="1" t="s">
        <v>104</v>
      </c>
      <c r="AO422" s="1" t="s">
        <v>104</v>
      </c>
      <c r="AP422" s="1" t="s">
        <v>104</v>
      </c>
      <c r="AQ422" s="1" t="s">
        <v>104</v>
      </c>
      <c r="AR422" s="1" t="s">
        <v>104</v>
      </c>
      <c r="AS422" s="1" t="s">
        <v>104</v>
      </c>
      <c r="AU422" s="1" t="s">
        <v>104</v>
      </c>
      <c r="AV422" s="1" t="s">
        <v>104</v>
      </c>
      <c r="AX422" s="1" t="str">
        <f>IFERROR(__xludf.DUMMYFUNCTION("""COMPUTED_VALUE"""),"")</f>
        <v/>
      </c>
      <c r="AZ422" s="1" t="str">
        <f>IFERROR(__xludf.DUMMYFUNCTION("""COMPUTED_VALUE"""),"")</f>
        <v/>
      </c>
      <c r="BB422" s="1" t="s">
        <v>104</v>
      </c>
      <c r="BC422" s="1" t="s">
        <v>104</v>
      </c>
      <c r="BE422" s="1" t="s">
        <v>104</v>
      </c>
      <c r="BG422" s="1" t="s">
        <v>104</v>
      </c>
      <c r="BH422" s="1" t="s">
        <v>104</v>
      </c>
      <c r="BI422" s="1" t="s">
        <v>104</v>
      </c>
      <c r="BJ422" s="1" t="s">
        <v>104</v>
      </c>
      <c r="BK422" s="1" t="s">
        <v>104</v>
      </c>
      <c r="BL422" s="1" t="s">
        <v>104</v>
      </c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N423" s="1" t="s">
        <v>104</v>
      </c>
      <c r="AO423" s="1" t="s">
        <v>104</v>
      </c>
      <c r="AP423" s="1" t="s">
        <v>104</v>
      </c>
      <c r="AQ423" s="1" t="s">
        <v>104</v>
      </c>
      <c r="AR423" s="1" t="s">
        <v>104</v>
      </c>
      <c r="AS423" s="1" t="s">
        <v>104</v>
      </c>
      <c r="AU423" s="1" t="s">
        <v>104</v>
      </c>
      <c r="AV423" s="1" t="s">
        <v>104</v>
      </c>
      <c r="AX423" s="1" t="str">
        <f>IFERROR(__xludf.DUMMYFUNCTION("""COMPUTED_VALUE"""),"")</f>
        <v/>
      </c>
      <c r="AZ423" s="1" t="str">
        <f>IFERROR(__xludf.DUMMYFUNCTION("""COMPUTED_VALUE"""),"")</f>
        <v/>
      </c>
      <c r="BB423" s="1" t="s">
        <v>104</v>
      </c>
      <c r="BC423" s="1" t="s">
        <v>104</v>
      </c>
      <c r="BE423" s="1" t="s">
        <v>104</v>
      </c>
      <c r="BG423" s="1" t="s">
        <v>104</v>
      </c>
      <c r="BH423" s="1" t="s">
        <v>104</v>
      </c>
      <c r="BI423" s="1" t="s">
        <v>104</v>
      </c>
      <c r="BJ423" s="1" t="s">
        <v>104</v>
      </c>
      <c r="BK423" s="1" t="s">
        <v>104</v>
      </c>
      <c r="BL423" s="1" t="s">
        <v>104</v>
      </c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N424" s="1" t="s">
        <v>104</v>
      </c>
      <c r="AO424" s="1" t="s">
        <v>104</v>
      </c>
      <c r="AP424" s="1" t="s">
        <v>104</v>
      </c>
      <c r="AQ424" s="1" t="s">
        <v>104</v>
      </c>
      <c r="AR424" s="1" t="s">
        <v>104</v>
      </c>
      <c r="AS424" s="1" t="s">
        <v>104</v>
      </c>
      <c r="AU424" s="1" t="s">
        <v>104</v>
      </c>
      <c r="AV424" s="1" t="s">
        <v>104</v>
      </c>
      <c r="AX424" s="1" t="str">
        <f>IFERROR(__xludf.DUMMYFUNCTION("""COMPUTED_VALUE"""),"")</f>
        <v/>
      </c>
      <c r="AZ424" s="1" t="str">
        <f>IFERROR(__xludf.DUMMYFUNCTION("""COMPUTED_VALUE"""),"")</f>
        <v/>
      </c>
      <c r="BB424" s="1" t="s">
        <v>104</v>
      </c>
      <c r="BC424" s="1" t="s">
        <v>104</v>
      </c>
      <c r="BE424" s="1" t="s">
        <v>104</v>
      </c>
      <c r="BG424" s="1" t="s">
        <v>104</v>
      </c>
      <c r="BH424" s="1" t="s">
        <v>104</v>
      </c>
      <c r="BI424" s="1" t="s">
        <v>104</v>
      </c>
      <c r="BJ424" s="1" t="s">
        <v>104</v>
      </c>
      <c r="BK424" s="1" t="s">
        <v>104</v>
      </c>
      <c r="BL424" s="1" t="s">
        <v>104</v>
      </c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N425" s="1" t="s">
        <v>104</v>
      </c>
      <c r="AO425" s="1" t="s">
        <v>104</v>
      </c>
      <c r="AP425" s="1" t="s">
        <v>104</v>
      </c>
      <c r="AQ425" s="1" t="s">
        <v>104</v>
      </c>
      <c r="AR425" s="1" t="s">
        <v>104</v>
      </c>
      <c r="AS425" s="1" t="s">
        <v>104</v>
      </c>
      <c r="AU425" s="1" t="s">
        <v>104</v>
      </c>
      <c r="AV425" s="1" t="s">
        <v>104</v>
      </c>
      <c r="AX425" s="1" t="str">
        <f>IFERROR(__xludf.DUMMYFUNCTION("""COMPUTED_VALUE"""),"")</f>
        <v/>
      </c>
      <c r="AZ425" s="1" t="str">
        <f>IFERROR(__xludf.DUMMYFUNCTION("""COMPUTED_VALUE"""),"")</f>
        <v/>
      </c>
      <c r="BB425" s="1" t="s">
        <v>104</v>
      </c>
      <c r="BC425" s="1" t="s">
        <v>104</v>
      </c>
      <c r="BE425" s="1" t="s">
        <v>104</v>
      </c>
      <c r="BG425" s="1" t="s">
        <v>104</v>
      </c>
      <c r="BH425" s="1" t="s">
        <v>104</v>
      </c>
      <c r="BI425" s="1" t="s">
        <v>104</v>
      </c>
      <c r="BJ425" s="1" t="s">
        <v>104</v>
      </c>
      <c r="BK425" s="1" t="s">
        <v>104</v>
      </c>
      <c r="BL425" s="1" t="s">
        <v>104</v>
      </c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N426" s="1" t="s">
        <v>104</v>
      </c>
      <c r="AO426" s="1" t="s">
        <v>104</v>
      </c>
      <c r="AP426" s="1" t="s">
        <v>104</v>
      </c>
      <c r="AQ426" s="1" t="s">
        <v>104</v>
      </c>
      <c r="AR426" s="1" t="s">
        <v>104</v>
      </c>
      <c r="AS426" s="1" t="s">
        <v>104</v>
      </c>
      <c r="AU426" s="1" t="s">
        <v>104</v>
      </c>
      <c r="AV426" s="1" t="s">
        <v>104</v>
      </c>
      <c r="AX426" s="1" t="str">
        <f>IFERROR(__xludf.DUMMYFUNCTION("""COMPUTED_VALUE"""),"")</f>
        <v/>
      </c>
      <c r="AZ426" s="1" t="str">
        <f>IFERROR(__xludf.DUMMYFUNCTION("""COMPUTED_VALUE"""),"")</f>
        <v/>
      </c>
      <c r="BB426" s="1" t="s">
        <v>104</v>
      </c>
      <c r="BC426" s="1" t="s">
        <v>104</v>
      </c>
      <c r="BE426" s="1" t="s">
        <v>104</v>
      </c>
      <c r="BG426" s="1" t="s">
        <v>104</v>
      </c>
      <c r="BH426" s="1" t="s">
        <v>104</v>
      </c>
      <c r="BI426" s="1" t="s">
        <v>104</v>
      </c>
      <c r="BJ426" s="1" t="s">
        <v>104</v>
      </c>
      <c r="BK426" s="1" t="s">
        <v>104</v>
      </c>
      <c r="BL426" s="1" t="s">
        <v>104</v>
      </c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N427" s="1" t="s">
        <v>104</v>
      </c>
      <c r="AO427" s="1" t="s">
        <v>104</v>
      </c>
      <c r="AP427" s="1" t="s">
        <v>104</v>
      </c>
      <c r="AQ427" s="1" t="s">
        <v>104</v>
      </c>
      <c r="AR427" s="1" t="s">
        <v>104</v>
      </c>
      <c r="AS427" s="1" t="s">
        <v>104</v>
      </c>
      <c r="AU427" s="1" t="s">
        <v>104</v>
      </c>
      <c r="AV427" s="1" t="s">
        <v>104</v>
      </c>
      <c r="AX427" s="1" t="str">
        <f>IFERROR(__xludf.DUMMYFUNCTION("""COMPUTED_VALUE"""),"")</f>
        <v/>
      </c>
      <c r="AZ427" s="1" t="str">
        <f>IFERROR(__xludf.DUMMYFUNCTION("""COMPUTED_VALUE"""),"")</f>
        <v/>
      </c>
      <c r="BB427" s="1" t="s">
        <v>104</v>
      </c>
      <c r="BC427" s="1" t="s">
        <v>104</v>
      </c>
      <c r="BE427" s="1" t="s">
        <v>104</v>
      </c>
      <c r="BG427" s="1" t="s">
        <v>104</v>
      </c>
      <c r="BH427" s="1" t="s">
        <v>104</v>
      </c>
      <c r="BI427" s="1" t="s">
        <v>104</v>
      </c>
      <c r="BJ427" s="1" t="s">
        <v>104</v>
      </c>
      <c r="BK427" s="1" t="s">
        <v>104</v>
      </c>
      <c r="BL427" s="1" t="s">
        <v>104</v>
      </c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N428" s="1" t="s">
        <v>104</v>
      </c>
      <c r="AO428" s="1" t="s">
        <v>104</v>
      </c>
      <c r="AP428" s="1" t="s">
        <v>104</v>
      </c>
      <c r="AQ428" s="1" t="s">
        <v>104</v>
      </c>
      <c r="AR428" s="1" t="s">
        <v>104</v>
      </c>
      <c r="AS428" s="1" t="s">
        <v>104</v>
      </c>
      <c r="AU428" s="1" t="s">
        <v>104</v>
      </c>
      <c r="AV428" s="1" t="s">
        <v>104</v>
      </c>
      <c r="AX428" s="1" t="str">
        <f>IFERROR(__xludf.DUMMYFUNCTION("""COMPUTED_VALUE"""),"")</f>
        <v/>
      </c>
      <c r="AZ428" s="1" t="str">
        <f>IFERROR(__xludf.DUMMYFUNCTION("""COMPUTED_VALUE"""),"")</f>
        <v/>
      </c>
      <c r="BB428" s="1" t="s">
        <v>104</v>
      </c>
      <c r="BC428" s="1" t="s">
        <v>104</v>
      </c>
      <c r="BE428" s="1" t="s">
        <v>104</v>
      </c>
      <c r="BG428" s="1" t="s">
        <v>104</v>
      </c>
      <c r="BH428" s="1" t="s">
        <v>104</v>
      </c>
      <c r="BI428" s="1" t="s">
        <v>104</v>
      </c>
      <c r="BJ428" s="1" t="s">
        <v>104</v>
      </c>
      <c r="BK428" s="1" t="s">
        <v>104</v>
      </c>
      <c r="BL428" s="1" t="s">
        <v>104</v>
      </c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N429" s="1" t="s">
        <v>104</v>
      </c>
      <c r="AO429" s="1" t="s">
        <v>104</v>
      </c>
      <c r="AP429" s="1" t="s">
        <v>104</v>
      </c>
      <c r="AQ429" s="1" t="s">
        <v>104</v>
      </c>
      <c r="AR429" s="1" t="s">
        <v>104</v>
      </c>
      <c r="AS429" s="1" t="s">
        <v>104</v>
      </c>
      <c r="AU429" s="1" t="s">
        <v>104</v>
      </c>
      <c r="AV429" s="1" t="s">
        <v>104</v>
      </c>
      <c r="AX429" s="1" t="str">
        <f>IFERROR(__xludf.DUMMYFUNCTION("""COMPUTED_VALUE"""),"")</f>
        <v/>
      </c>
      <c r="AZ429" s="1" t="str">
        <f>IFERROR(__xludf.DUMMYFUNCTION("""COMPUTED_VALUE"""),"")</f>
        <v/>
      </c>
      <c r="BB429" s="1" t="s">
        <v>104</v>
      </c>
      <c r="BC429" s="1" t="s">
        <v>104</v>
      </c>
      <c r="BE429" s="1" t="s">
        <v>104</v>
      </c>
      <c r="BG429" s="1" t="s">
        <v>104</v>
      </c>
      <c r="BH429" s="1" t="s">
        <v>104</v>
      </c>
      <c r="BI429" s="1" t="s">
        <v>104</v>
      </c>
      <c r="BJ429" s="1" t="s">
        <v>104</v>
      </c>
      <c r="BK429" s="1" t="s">
        <v>104</v>
      </c>
      <c r="BL429" s="1" t="s">
        <v>104</v>
      </c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N430" s="1" t="s">
        <v>104</v>
      </c>
      <c r="AO430" s="1" t="s">
        <v>104</v>
      </c>
      <c r="AP430" s="1" t="s">
        <v>104</v>
      </c>
      <c r="AQ430" s="1" t="s">
        <v>104</v>
      </c>
      <c r="AR430" s="1" t="s">
        <v>104</v>
      </c>
      <c r="AS430" s="1" t="s">
        <v>104</v>
      </c>
      <c r="AU430" s="1" t="s">
        <v>104</v>
      </c>
      <c r="AV430" s="1" t="s">
        <v>104</v>
      </c>
      <c r="AX430" s="1" t="str">
        <f>IFERROR(__xludf.DUMMYFUNCTION("""COMPUTED_VALUE"""),"")</f>
        <v/>
      </c>
      <c r="AZ430" s="1" t="str">
        <f>IFERROR(__xludf.DUMMYFUNCTION("""COMPUTED_VALUE"""),"")</f>
        <v/>
      </c>
      <c r="BB430" s="1" t="s">
        <v>104</v>
      </c>
      <c r="BC430" s="1" t="s">
        <v>104</v>
      </c>
      <c r="BE430" s="1" t="s">
        <v>104</v>
      </c>
      <c r="BG430" s="1" t="s">
        <v>104</v>
      </c>
      <c r="BH430" s="1" t="s">
        <v>104</v>
      </c>
      <c r="BI430" s="1" t="s">
        <v>104</v>
      </c>
      <c r="BJ430" s="1" t="s">
        <v>104</v>
      </c>
      <c r="BK430" s="1" t="s">
        <v>104</v>
      </c>
      <c r="BL430" s="1" t="s">
        <v>104</v>
      </c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N431" s="1" t="s">
        <v>104</v>
      </c>
      <c r="AO431" s="1" t="s">
        <v>104</v>
      </c>
      <c r="AP431" s="1" t="s">
        <v>104</v>
      </c>
      <c r="AQ431" s="1" t="s">
        <v>104</v>
      </c>
      <c r="AR431" s="1" t="s">
        <v>104</v>
      </c>
      <c r="AS431" s="1" t="s">
        <v>104</v>
      </c>
      <c r="AU431" s="1" t="s">
        <v>104</v>
      </c>
      <c r="AV431" s="1" t="s">
        <v>104</v>
      </c>
      <c r="AX431" s="1" t="str">
        <f>IFERROR(__xludf.DUMMYFUNCTION("""COMPUTED_VALUE"""),"")</f>
        <v/>
      </c>
      <c r="AZ431" s="1" t="str">
        <f>IFERROR(__xludf.DUMMYFUNCTION("""COMPUTED_VALUE"""),"")</f>
        <v/>
      </c>
      <c r="BB431" s="1" t="s">
        <v>104</v>
      </c>
      <c r="BC431" s="1" t="s">
        <v>104</v>
      </c>
      <c r="BE431" s="1" t="s">
        <v>104</v>
      </c>
      <c r="BG431" s="1" t="s">
        <v>104</v>
      </c>
      <c r="BH431" s="1" t="s">
        <v>104</v>
      </c>
      <c r="BI431" s="1" t="s">
        <v>104</v>
      </c>
      <c r="BJ431" s="1" t="s">
        <v>104</v>
      </c>
      <c r="BK431" s="1" t="s">
        <v>104</v>
      </c>
      <c r="BL431" s="1" t="s">
        <v>104</v>
      </c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N432" s="1" t="s">
        <v>104</v>
      </c>
      <c r="AO432" s="1" t="s">
        <v>104</v>
      </c>
      <c r="AP432" s="1" t="s">
        <v>104</v>
      </c>
      <c r="AQ432" s="1" t="s">
        <v>104</v>
      </c>
      <c r="AR432" s="1" t="s">
        <v>104</v>
      </c>
      <c r="AS432" s="1" t="s">
        <v>104</v>
      </c>
      <c r="AU432" s="1" t="s">
        <v>104</v>
      </c>
      <c r="AV432" s="1" t="s">
        <v>104</v>
      </c>
      <c r="AX432" s="1" t="str">
        <f>IFERROR(__xludf.DUMMYFUNCTION("""COMPUTED_VALUE"""),"")</f>
        <v/>
      </c>
      <c r="AZ432" s="1" t="str">
        <f>IFERROR(__xludf.DUMMYFUNCTION("""COMPUTED_VALUE"""),"")</f>
        <v/>
      </c>
      <c r="BB432" s="1" t="s">
        <v>104</v>
      </c>
      <c r="BC432" s="1" t="s">
        <v>104</v>
      </c>
      <c r="BE432" s="1" t="s">
        <v>104</v>
      </c>
      <c r="BG432" s="1" t="s">
        <v>104</v>
      </c>
      <c r="BH432" s="1" t="s">
        <v>104</v>
      </c>
      <c r="BI432" s="1" t="s">
        <v>104</v>
      </c>
      <c r="BJ432" s="1" t="s">
        <v>104</v>
      </c>
      <c r="BK432" s="1" t="s">
        <v>104</v>
      </c>
      <c r="BL432" s="1" t="s">
        <v>104</v>
      </c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N433" s="1" t="s">
        <v>104</v>
      </c>
      <c r="AO433" s="1" t="s">
        <v>104</v>
      </c>
      <c r="AP433" s="1" t="s">
        <v>104</v>
      </c>
      <c r="AQ433" s="1" t="s">
        <v>104</v>
      </c>
      <c r="AR433" s="1" t="s">
        <v>104</v>
      </c>
      <c r="AS433" s="1" t="s">
        <v>104</v>
      </c>
      <c r="AU433" s="1" t="s">
        <v>104</v>
      </c>
      <c r="AV433" s="1" t="s">
        <v>104</v>
      </c>
      <c r="AX433" s="1" t="str">
        <f>IFERROR(__xludf.DUMMYFUNCTION("""COMPUTED_VALUE"""),"")</f>
        <v/>
      </c>
      <c r="AZ433" s="1" t="str">
        <f>IFERROR(__xludf.DUMMYFUNCTION("""COMPUTED_VALUE"""),"")</f>
        <v/>
      </c>
      <c r="BB433" s="1" t="s">
        <v>104</v>
      </c>
      <c r="BC433" s="1" t="s">
        <v>104</v>
      </c>
      <c r="BE433" s="1" t="s">
        <v>104</v>
      </c>
      <c r="BG433" s="1" t="s">
        <v>104</v>
      </c>
      <c r="BH433" s="1" t="s">
        <v>104</v>
      </c>
      <c r="BI433" s="1" t="s">
        <v>104</v>
      </c>
      <c r="BJ433" s="1" t="s">
        <v>104</v>
      </c>
      <c r="BK433" s="1" t="s">
        <v>104</v>
      </c>
      <c r="BL433" s="1" t="s">
        <v>104</v>
      </c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N434" s="1" t="s">
        <v>104</v>
      </c>
      <c r="AO434" s="1" t="s">
        <v>104</v>
      </c>
      <c r="AP434" s="1" t="s">
        <v>104</v>
      </c>
      <c r="AQ434" s="1" t="s">
        <v>104</v>
      </c>
      <c r="AR434" s="1" t="s">
        <v>104</v>
      </c>
      <c r="AS434" s="1" t="s">
        <v>104</v>
      </c>
      <c r="AU434" s="1" t="s">
        <v>104</v>
      </c>
      <c r="AV434" s="1" t="s">
        <v>104</v>
      </c>
      <c r="AX434" s="1" t="str">
        <f>IFERROR(__xludf.DUMMYFUNCTION("""COMPUTED_VALUE"""),"")</f>
        <v/>
      </c>
      <c r="AZ434" s="1" t="str">
        <f>IFERROR(__xludf.DUMMYFUNCTION("""COMPUTED_VALUE"""),"")</f>
        <v/>
      </c>
      <c r="BB434" s="1" t="s">
        <v>104</v>
      </c>
      <c r="BC434" s="1" t="s">
        <v>104</v>
      </c>
      <c r="BE434" s="1" t="s">
        <v>104</v>
      </c>
      <c r="BG434" s="1" t="s">
        <v>104</v>
      </c>
      <c r="BH434" s="1" t="s">
        <v>104</v>
      </c>
      <c r="BI434" s="1" t="s">
        <v>104</v>
      </c>
      <c r="BJ434" s="1" t="s">
        <v>104</v>
      </c>
      <c r="BK434" s="1" t="s">
        <v>104</v>
      </c>
      <c r="BL434" s="1" t="s">
        <v>104</v>
      </c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N435" s="1" t="s">
        <v>104</v>
      </c>
      <c r="AO435" s="1" t="s">
        <v>104</v>
      </c>
      <c r="AP435" s="1" t="s">
        <v>104</v>
      </c>
      <c r="AQ435" s="1" t="s">
        <v>104</v>
      </c>
      <c r="AR435" s="1" t="s">
        <v>104</v>
      </c>
      <c r="AS435" s="1" t="s">
        <v>104</v>
      </c>
      <c r="AU435" s="1" t="s">
        <v>104</v>
      </c>
      <c r="AV435" s="1" t="s">
        <v>104</v>
      </c>
      <c r="AX435" s="1" t="str">
        <f>IFERROR(__xludf.DUMMYFUNCTION("""COMPUTED_VALUE"""),"")</f>
        <v/>
      </c>
      <c r="AZ435" s="1" t="str">
        <f>IFERROR(__xludf.DUMMYFUNCTION("""COMPUTED_VALUE"""),"")</f>
        <v/>
      </c>
      <c r="BB435" s="1" t="s">
        <v>104</v>
      </c>
      <c r="BC435" s="1" t="s">
        <v>104</v>
      </c>
      <c r="BE435" s="1" t="s">
        <v>104</v>
      </c>
      <c r="BG435" s="1" t="s">
        <v>104</v>
      </c>
      <c r="BH435" s="1" t="s">
        <v>104</v>
      </c>
      <c r="BI435" s="1" t="s">
        <v>104</v>
      </c>
      <c r="BJ435" s="1" t="s">
        <v>104</v>
      </c>
      <c r="BK435" s="1" t="s">
        <v>104</v>
      </c>
      <c r="BL435" s="1" t="s">
        <v>104</v>
      </c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N436" s="1" t="s">
        <v>104</v>
      </c>
      <c r="AO436" s="1" t="s">
        <v>104</v>
      </c>
      <c r="AP436" s="1" t="s">
        <v>104</v>
      </c>
      <c r="AQ436" s="1" t="s">
        <v>104</v>
      </c>
      <c r="AR436" s="1" t="s">
        <v>104</v>
      </c>
      <c r="AS436" s="1" t="s">
        <v>104</v>
      </c>
      <c r="AU436" s="1" t="s">
        <v>104</v>
      </c>
      <c r="AV436" s="1" t="s">
        <v>104</v>
      </c>
      <c r="AX436" s="1" t="str">
        <f>IFERROR(__xludf.DUMMYFUNCTION("""COMPUTED_VALUE"""),"")</f>
        <v/>
      </c>
      <c r="AZ436" s="1" t="str">
        <f>IFERROR(__xludf.DUMMYFUNCTION("""COMPUTED_VALUE"""),"")</f>
        <v/>
      </c>
      <c r="BB436" s="1" t="s">
        <v>104</v>
      </c>
      <c r="BC436" s="1" t="s">
        <v>104</v>
      </c>
      <c r="BE436" s="1" t="s">
        <v>104</v>
      </c>
      <c r="BG436" s="1" t="s">
        <v>104</v>
      </c>
      <c r="BH436" s="1" t="s">
        <v>104</v>
      </c>
      <c r="BI436" s="1" t="s">
        <v>104</v>
      </c>
      <c r="BJ436" s="1" t="s">
        <v>104</v>
      </c>
      <c r="BK436" s="1" t="s">
        <v>104</v>
      </c>
      <c r="BL436" s="1" t="s">
        <v>104</v>
      </c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N437" s="1" t="s">
        <v>104</v>
      </c>
      <c r="AO437" s="1" t="s">
        <v>104</v>
      </c>
      <c r="AP437" s="1" t="s">
        <v>104</v>
      </c>
      <c r="AQ437" s="1" t="s">
        <v>104</v>
      </c>
      <c r="AR437" s="1" t="s">
        <v>104</v>
      </c>
      <c r="AS437" s="1" t="s">
        <v>104</v>
      </c>
      <c r="AU437" s="1" t="s">
        <v>104</v>
      </c>
      <c r="AV437" s="1" t="s">
        <v>104</v>
      </c>
      <c r="AX437" s="1" t="str">
        <f>IFERROR(__xludf.DUMMYFUNCTION("""COMPUTED_VALUE"""),"")</f>
        <v/>
      </c>
      <c r="AZ437" s="1" t="str">
        <f>IFERROR(__xludf.DUMMYFUNCTION("""COMPUTED_VALUE"""),"")</f>
        <v/>
      </c>
      <c r="BB437" s="1" t="s">
        <v>104</v>
      </c>
      <c r="BC437" s="1" t="s">
        <v>104</v>
      </c>
      <c r="BE437" s="1" t="s">
        <v>104</v>
      </c>
      <c r="BG437" s="1" t="s">
        <v>104</v>
      </c>
      <c r="BH437" s="1" t="s">
        <v>104</v>
      </c>
      <c r="BI437" s="1" t="s">
        <v>104</v>
      </c>
      <c r="BJ437" s="1" t="s">
        <v>104</v>
      </c>
      <c r="BK437" s="1" t="s">
        <v>104</v>
      </c>
      <c r="BL437" s="1" t="s">
        <v>104</v>
      </c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N438" s="1" t="s">
        <v>104</v>
      </c>
      <c r="AO438" s="1" t="s">
        <v>104</v>
      </c>
      <c r="AP438" s="1" t="s">
        <v>104</v>
      </c>
      <c r="AQ438" s="1" t="s">
        <v>104</v>
      </c>
      <c r="AR438" s="1" t="s">
        <v>104</v>
      </c>
      <c r="AS438" s="1" t="s">
        <v>104</v>
      </c>
      <c r="AU438" s="1" t="s">
        <v>104</v>
      </c>
      <c r="AV438" s="1" t="s">
        <v>104</v>
      </c>
      <c r="AX438" s="1" t="str">
        <f>IFERROR(__xludf.DUMMYFUNCTION("""COMPUTED_VALUE"""),"")</f>
        <v/>
      </c>
      <c r="AZ438" s="1" t="str">
        <f>IFERROR(__xludf.DUMMYFUNCTION("""COMPUTED_VALUE"""),"")</f>
        <v/>
      </c>
      <c r="BB438" s="1" t="s">
        <v>104</v>
      </c>
      <c r="BC438" s="1" t="s">
        <v>104</v>
      </c>
      <c r="BE438" s="1" t="s">
        <v>104</v>
      </c>
      <c r="BG438" s="1" t="s">
        <v>104</v>
      </c>
      <c r="BH438" s="1" t="s">
        <v>104</v>
      </c>
      <c r="BI438" s="1" t="s">
        <v>104</v>
      </c>
      <c r="BJ438" s="1" t="s">
        <v>104</v>
      </c>
      <c r="BK438" s="1" t="s">
        <v>104</v>
      </c>
      <c r="BL438" s="1" t="s">
        <v>104</v>
      </c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N439" s="1" t="s">
        <v>104</v>
      </c>
      <c r="AO439" s="1" t="s">
        <v>104</v>
      </c>
      <c r="AP439" s="1" t="s">
        <v>104</v>
      </c>
      <c r="AQ439" s="1" t="s">
        <v>104</v>
      </c>
      <c r="AR439" s="1" t="s">
        <v>104</v>
      </c>
      <c r="AS439" s="1" t="s">
        <v>104</v>
      </c>
      <c r="AU439" s="1" t="s">
        <v>104</v>
      </c>
      <c r="AV439" s="1" t="s">
        <v>104</v>
      </c>
      <c r="AX439" s="1" t="str">
        <f>IFERROR(__xludf.DUMMYFUNCTION("""COMPUTED_VALUE"""),"")</f>
        <v/>
      </c>
      <c r="AZ439" s="1" t="str">
        <f>IFERROR(__xludf.DUMMYFUNCTION("""COMPUTED_VALUE"""),"")</f>
        <v/>
      </c>
      <c r="BB439" s="1" t="s">
        <v>104</v>
      </c>
      <c r="BC439" s="1" t="s">
        <v>104</v>
      </c>
      <c r="BE439" s="1" t="s">
        <v>104</v>
      </c>
      <c r="BG439" s="1" t="s">
        <v>104</v>
      </c>
      <c r="BH439" s="1" t="s">
        <v>104</v>
      </c>
      <c r="BI439" s="1" t="s">
        <v>104</v>
      </c>
      <c r="BJ439" s="1" t="s">
        <v>104</v>
      </c>
      <c r="BK439" s="1" t="s">
        <v>104</v>
      </c>
      <c r="BL439" s="1" t="s">
        <v>104</v>
      </c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N440" s="1" t="s">
        <v>104</v>
      </c>
      <c r="AO440" s="1" t="s">
        <v>104</v>
      </c>
      <c r="AP440" s="1" t="s">
        <v>104</v>
      </c>
      <c r="AQ440" s="1" t="s">
        <v>104</v>
      </c>
      <c r="AR440" s="1" t="s">
        <v>104</v>
      </c>
      <c r="AS440" s="1" t="s">
        <v>104</v>
      </c>
      <c r="AU440" s="1" t="s">
        <v>104</v>
      </c>
      <c r="AV440" s="1" t="s">
        <v>104</v>
      </c>
      <c r="AX440" s="1" t="str">
        <f>IFERROR(__xludf.DUMMYFUNCTION("""COMPUTED_VALUE"""),"")</f>
        <v/>
      </c>
      <c r="AZ440" s="1" t="str">
        <f>IFERROR(__xludf.DUMMYFUNCTION("""COMPUTED_VALUE"""),"")</f>
        <v/>
      </c>
      <c r="BB440" s="1" t="s">
        <v>104</v>
      </c>
      <c r="BC440" s="1" t="s">
        <v>104</v>
      </c>
      <c r="BE440" s="1" t="s">
        <v>104</v>
      </c>
      <c r="BG440" s="1" t="s">
        <v>104</v>
      </c>
      <c r="BH440" s="1" t="s">
        <v>104</v>
      </c>
      <c r="BI440" s="1" t="s">
        <v>104</v>
      </c>
      <c r="BJ440" s="1" t="s">
        <v>104</v>
      </c>
      <c r="BK440" s="1" t="s">
        <v>104</v>
      </c>
      <c r="BL440" s="1" t="s">
        <v>104</v>
      </c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N441" s="1" t="s">
        <v>104</v>
      </c>
      <c r="AO441" s="1" t="s">
        <v>104</v>
      </c>
      <c r="AP441" s="1" t="s">
        <v>104</v>
      </c>
      <c r="AQ441" s="1" t="s">
        <v>104</v>
      </c>
      <c r="AR441" s="1" t="s">
        <v>104</v>
      </c>
      <c r="AS441" s="1" t="s">
        <v>104</v>
      </c>
      <c r="AU441" s="1" t="s">
        <v>104</v>
      </c>
      <c r="AV441" s="1" t="s">
        <v>104</v>
      </c>
      <c r="AX441" s="1" t="str">
        <f>IFERROR(__xludf.DUMMYFUNCTION("""COMPUTED_VALUE"""),"")</f>
        <v/>
      </c>
      <c r="AZ441" s="1" t="str">
        <f>IFERROR(__xludf.DUMMYFUNCTION("""COMPUTED_VALUE"""),"")</f>
        <v/>
      </c>
      <c r="BB441" s="1" t="s">
        <v>104</v>
      </c>
      <c r="BC441" s="1" t="s">
        <v>104</v>
      </c>
      <c r="BE441" s="1" t="s">
        <v>104</v>
      </c>
      <c r="BG441" s="1" t="s">
        <v>104</v>
      </c>
      <c r="BH441" s="1" t="s">
        <v>104</v>
      </c>
      <c r="BI441" s="1" t="s">
        <v>104</v>
      </c>
      <c r="BJ441" s="1" t="s">
        <v>104</v>
      </c>
      <c r="BK441" s="1" t="s">
        <v>104</v>
      </c>
      <c r="BL441" s="1" t="s">
        <v>104</v>
      </c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N442" s="1" t="s">
        <v>104</v>
      </c>
      <c r="AO442" s="1" t="s">
        <v>104</v>
      </c>
      <c r="AP442" s="1" t="s">
        <v>104</v>
      </c>
      <c r="AQ442" s="1" t="s">
        <v>104</v>
      </c>
      <c r="AR442" s="1" t="s">
        <v>104</v>
      </c>
      <c r="AS442" s="1" t="s">
        <v>104</v>
      </c>
      <c r="AU442" s="1" t="s">
        <v>104</v>
      </c>
      <c r="AV442" s="1" t="s">
        <v>104</v>
      </c>
      <c r="AX442" s="1" t="str">
        <f>IFERROR(__xludf.DUMMYFUNCTION("""COMPUTED_VALUE"""),"")</f>
        <v/>
      </c>
      <c r="AZ442" s="1" t="str">
        <f>IFERROR(__xludf.DUMMYFUNCTION("""COMPUTED_VALUE"""),"")</f>
        <v/>
      </c>
      <c r="BB442" s="1" t="s">
        <v>104</v>
      </c>
      <c r="BC442" s="1" t="s">
        <v>104</v>
      </c>
      <c r="BE442" s="1" t="s">
        <v>104</v>
      </c>
      <c r="BG442" s="1" t="s">
        <v>104</v>
      </c>
      <c r="BH442" s="1" t="s">
        <v>104</v>
      </c>
      <c r="BI442" s="1" t="s">
        <v>104</v>
      </c>
      <c r="BJ442" s="1" t="s">
        <v>104</v>
      </c>
      <c r="BK442" s="1" t="s">
        <v>104</v>
      </c>
      <c r="BL442" s="1" t="s">
        <v>104</v>
      </c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N443" s="1" t="s">
        <v>104</v>
      </c>
      <c r="AO443" s="1" t="s">
        <v>104</v>
      </c>
      <c r="AP443" s="1" t="s">
        <v>104</v>
      </c>
      <c r="AQ443" s="1" t="s">
        <v>104</v>
      </c>
      <c r="AR443" s="1" t="s">
        <v>104</v>
      </c>
      <c r="AS443" s="1" t="s">
        <v>104</v>
      </c>
      <c r="AU443" s="1" t="s">
        <v>104</v>
      </c>
      <c r="AV443" s="1" t="s">
        <v>104</v>
      </c>
      <c r="AX443" s="1" t="str">
        <f>IFERROR(__xludf.DUMMYFUNCTION("""COMPUTED_VALUE"""),"")</f>
        <v/>
      </c>
      <c r="AZ443" s="1" t="str">
        <f>IFERROR(__xludf.DUMMYFUNCTION("""COMPUTED_VALUE"""),"")</f>
        <v/>
      </c>
      <c r="BB443" s="1" t="s">
        <v>104</v>
      </c>
      <c r="BC443" s="1" t="s">
        <v>104</v>
      </c>
      <c r="BE443" s="1" t="s">
        <v>104</v>
      </c>
      <c r="BG443" s="1" t="s">
        <v>104</v>
      </c>
      <c r="BH443" s="1" t="s">
        <v>104</v>
      </c>
      <c r="BI443" s="1" t="s">
        <v>104</v>
      </c>
      <c r="BJ443" s="1" t="s">
        <v>104</v>
      </c>
      <c r="BK443" s="1" t="s">
        <v>104</v>
      </c>
      <c r="BL443" s="1" t="s">
        <v>104</v>
      </c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N444" s="1" t="s">
        <v>104</v>
      </c>
      <c r="AO444" s="1" t="s">
        <v>104</v>
      </c>
      <c r="AP444" s="1" t="s">
        <v>104</v>
      </c>
      <c r="AQ444" s="1" t="s">
        <v>104</v>
      </c>
      <c r="AR444" s="1" t="s">
        <v>104</v>
      </c>
      <c r="AS444" s="1" t="s">
        <v>104</v>
      </c>
      <c r="AU444" s="1" t="s">
        <v>104</v>
      </c>
      <c r="AV444" s="1" t="s">
        <v>104</v>
      </c>
      <c r="AX444" s="1" t="str">
        <f>IFERROR(__xludf.DUMMYFUNCTION("""COMPUTED_VALUE"""),"")</f>
        <v/>
      </c>
      <c r="AZ444" s="1" t="str">
        <f>IFERROR(__xludf.DUMMYFUNCTION("""COMPUTED_VALUE"""),"")</f>
        <v/>
      </c>
      <c r="BB444" s="1" t="s">
        <v>104</v>
      </c>
      <c r="BC444" s="1" t="s">
        <v>104</v>
      </c>
      <c r="BE444" s="1" t="s">
        <v>104</v>
      </c>
      <c r="BG444" s="1" t="s">
        <v>104</v>
      </c>
      <c r="BH444" s="1" t="s">
        <v>104</v>
      </c>
      <c r="BI444" s="1" t="s">
        <v>104</v>
      </c>
      <c r="BJ444" s="1" t="s">
        <v>104</v>
      </c>
      <c r="BK444" s="1" t="s">
        <v>104</v>
      </c>
      <c r="BL444" s="1" t="s">
        <v>104</v>
      </c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N445" s="1" t="s">
        <v>104</v>
      </c>
      <c r="AO445" s="1" t="s">
        <v>104</v>
      </c>
      <c r="AP445" s="1" t="s">
        <v>104</v>
      </c>
      <c r="AQ445" s="1" t="s">
        <v>104</v>
      </c>
      <c r="AR445" s="1" t="s">
        <v>104</v>
      </c>
      <c r="AS445" s="1" t="s">
        <v>104</v>
      </c>
      <c r="AU445" s="1" t="s">
        <v>104</v>
      </c>
      <c r="AV445" s="1" t="s">
        <v>104</v>
      </c>
      <c r="AX445" s="1" t="str">
        <f>IFERROR(__xludf.DUMMYFUNCTION("""COMPUTED_VALUE"""),"")</f>
        <v/>
      </c>
      <c r="AZ445" s="1" t="str">
        <f>IFERROR(__xludf.DUMMYFUNCTION("""COMPUTED_VALUE"""),"")</f>
        <v/>
      </c>
      <c r="BB445" s="1" t="s">
        <v>104</v>
      </c>
      <c r="BC445" s="1" t="s">
        <v>104</v>
      </c>
      <c r="BE445" s="1" t="s">
        <v>104</v>
      </c>
      <c r="BG445" s="1" t="s">
        <v>104</v>
      </c>
      <c r="BH445" s="1" t="s">
        <v>104</v>
      </c>
      <c r="BI445" s="1" t="s">
        <v>104</v>
      </c>
      <c r="BJ445" s="1" t="s">
        <v>104</v>
      </c>
      <c r="BK445" s="1" t="s">
        <v>104</v>
      </c>
      <c r="BL445" s="1" t="s">
        <v>104</v>
      </c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N446" s="1" t="s">
        <v>104</v>
      </c>
      <c r="AO446" s="1" t="s">
        <v>104</v>
      </c>
      <c r="AP446" s="1" t="s">
        <v>104</v>
      </c>
      <c r="AQ446" s="1" t="s">
        <v>104</v>
      </c>
      <c r="AR446" s="1" t="s">
        <v>104</v>
      </c>
      <c r="AS446" s="1" t="s">
        <v>104</v>
      </c>
      <c r="AU446" s="1" t="s">
        <v>104</v>
      </c>
      <c r="AV446" s="1" t="s">
        <v>104</v>
      </c>
      <c r="AX446" s="1" t="str">
        <f>IFERROR(__xludf.DUMMYFUNCTION("""COMPUTED_VALUE"""),"")</f>
        <v/>
      </c>
      <c r="AZ446" s="1" t="str">
        <f>IFERROR(__xludf.DUMMYFUNCTION("""COMPUTED_VALUE"""),"")</f>
        <v/>
      </c>
      <c r="BB446" s="1" t="s">
        <v>104</v>
      </c>
      <c r="BC446" s="1" t="s">
        <v>104</v>
      </c>
      <c r="BE446" s="1" t="s">
        <v>104</v>
      </c>
      <c r="BG446" s="1" t="s">
        <v>104</v>
      </c>
      <c r="BH446" s="1" t="s">
        <v>104</v>
      </c>
      <c r="BI446" s="1" t="s">
        <v>104</v>
      </c>
      <c r="BJ446" s="1" t="s">
        <v>104</v>
      </c>
      <c r="BK446" s="1" t="s">
        <v>104</v>
      </c>
      <c r="BL446" s="1" t="s">
        <v>104</v>
      </c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N447" s="1" t="s">
        <v>104</v>
      </c>
      <c r="AO447" s="1" t="s">
        <v>104</v>
      </c>
      <c r="AP447" s="1" t="s">
        <v>104</v>
      </c>
      <c r="AQ447" s="1" t="s">
        <v>104</v>
      </c>
      <c r="AR447" s="1" t="s">
        <v>104</v>
      </c>
      <c r="AS447" s="1" t="s">
        <v>104</v>
      </c>
      <c r="AU447" s="1" t="s">
        <v>104</v>
      </c>
      <c r="AV447" s="1" t="s">
        <v>104</v>
      </c>
      <c r="AX447" s="1" t="str">
        <f>IFERROR(__xludf.DUMMYFUNCTION("""COMPUTED_VALUE"""),"")</f>
        <v/>
      </c>
      <c r="AZ447" s="1" t="str">
        <f>IFERROR(__xludf.DUMMYFUNCTION("""COMPUTED_VALUE"""),"")</f>
        <v/>
      </c>
      <c r="BB447" s="1" t="s">
        <v>104</v>
      </c>
      <c r="BC447" s="1" t="s">
        <v>104</v>
      </c>
      <c r="BE447" s="1" t="s">
        <v>104</v>
      </c>
      <c r="BG447" s="1" t="s">
        <v>104</v>
      </c>
      <c r="BH447" s="1" t="s">
        <v>104</v>
      </c>
      <c r="BI447" s="1" t="s">
        <v>104</v>
      </c>
      <c r="BJ447" s="1" t="s">
        <v>104</v>
      </c>
      <c r="BK447" s="1" t="s">
        <v>104</v>
      </c>
      <c r="BL447" s="1" t="s">
        <v>104</v>
      </c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N448" s="1" t="s">
        <v>104</v>
      </c>
      <c r="AO448" s="1" t="s">
        <v>104</v>
      </c>
      <c r="AP448" s="1" t="s">
        <v>104</v>
      </c>
      <c r="AQ448" s="1" t="s">
        <v>104</v>
      </c>
      <c r="AR448" s="1" t="s">
        <v>104</v>
      </c>
      <c r="AS448" s="1" t="s">
        <v>104</v>
      </c>
      <c r="AU448" s="1" t="s">
        <v>104</v>
      </c>
      <c r="AV448" s="1" t="s">
        <v>104</v>
      </c>
      <c r="AX448" s="1" t="str">
        <f>IFERROR(__xludf.DUMMYFUNCTION("""COMPUTED_VALUE"""),"")</f>
        <v/>
      </c>
      <c r="AZ448" s="1" t="str">
        <f>IFERROR(__xludf.DUMMYFUNCTION("""COMPUTED_VALUE"""),"")</f>
        <v/>
      </c>
      <c r="BB448" s="1" t="s">
        <v>104</v>
      </c>
      <c r="BC448" s="1" t="s">
        <v>104</v>
      </c>
      <c r="BE448" s="1" t="s">
        <v>104</v>
      </c>
      <c r="BG448" s="1" t="s">
        <v>104</v>
      </c>
      <c r="BH448" s="1" t="s">
        <v>104</v>
      </c>
      <c r="BI448" s="1" t="s">
        <v>104</v>
      </c>
      <c r="BJ448" s="1" t="s">
        <v>104</v>
      </c>
      <c r="BK448" s="1" t="s">
        <v>104</v>
      </c>
      <c r="BL448" s="1" t="s">
        <v>104</v>
      </c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N449" s="1" t="s">
        <v>104</v>
      </c>
      <c r="AO449" s="1" t="s">
        <v>104</v>
      </c>
      <c r="AP449" s="1" t="s">
        <v>104</v>
      </c>
      <c r="AQ449" s="1" t="s">
        <v>104</v>
      </c>
      <c r="AR449" s="1" t="s">
        <v>104</v>
      </c>
      <c r="AS449" s="1" t="s">
        <v>104</v>
      </c>
      <c r="AU449" s="1" t="s">
        <v>104</v>
      </c>
      <c r="AV449" s="1" t="s">
        <v>104</v>
      </c>
      <c r="AX449" s="1" t="str">
        <f>IFERROR(__xludf.DUMMYFUNCTION("""COMPUTED_VALUE"""),"")</f>
        <v/>
      </c>
      <c r="AZ449" s="1" t="str">
        <f>IFERROR(__xludf.DUMMYFUNCTION("""COMPUTED_VALUE"""),"")</f>
        <v/>
      </c>
      <c r="BB449" s="1" t="s">
        <v>104</v>
      </c>
      <c r="BC449" s="1" t="s">
        <v>104</v>
      </c>
      <c r="BE449" s="1" t="s">
        <v>104</v>
      </c>
      <c r="BG449" s="1" t="s">
        <v>104</v>
      </c>
      <c r="BH449" s="1" t="s">
        <v>104</v>
      </c>
      <c r="BI449" s="1" t="s">
        <v>104</v>
      </c>
      <c r="BJ449" s="1" t="s">
        <v>104</v>
      </c>
      <c r="BK449" s="1" t="s">
        <v>104</v>
      </c>
      <c r="BL449" s="1" t="s">
        <v>104</v>
      </c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N450" s="1" t="s">
        <v>104</v>
      </c>
      <c r="AO450" s="1" t="s">
        <v>104</v>
      </c>
      <c r="AP450" s="1" t="s">
        <v>104</v>
      </c>
      <c r="AQ450" s="1" t="s">
        <v>104</v>
      </c>
      <c r="AR450" s="1" t="s">
        <v>104</v>
      </c>
      <c r="AS450" s="1" t="s">
        <v>104</v>
      </c>
      <c r="AU450" s="1" t="s">
        <v>104</v>
      </c>
      <c r="AV450" s="1" t="s">
        <v>104</v>
      </c>
      <c r="AX450" s="1" t="str">
        <f>IFERROR(__xludf.DUMMYFUNCTION("""COMPUTED_VALUE"""),"")</f>
        <v/>
      </c>
      <c r="AZ450" s="1" t="str">
        <f>IFERROR(__xludf.DUMMYFUNCTION("""COMPUTED_VALUE"""),"")</f>
        <v/>
      </c>
      <c r="BB450" s="1" t="s">
        <v>104</v>
      </c>
      <c r="BC450" s="1" t="s">
        <v>104</v>
      </c>
      <c r="BE450" s="1" t="s">
        <v>104</v>
      </c>
      <c r="BG450" s="1" t="s">
        <v>104</v>
      </c>
      <c r="BH450" s="1" t="s">
        <v>104</v>
      </c>
      <c r="BI450" s="1" t="s">
        <v>104</v>
      </c>
      <c r="BJ450" s="1" t="s">
        <v>104</v>
      </c>
      <c r="BK450" s="1" t="s">
        <v>104</v>
      </c>
      <c r="BL450" s="1" t="s">
        <v>104</v>
      </c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N451" s="1" t="s">
        <v>104</v>
      </c>
      <c r="AO451" s="1" t="s">
        <v>104</v>
      </c>
      <c r="AP451" s="1" t="s">
        <v>104</v>
      </c>
      <c r="AQ451" s="1" t="s">
        <v>104</v>
      </c>
      <c r="AR451" s="1" t="s">
        <v>104</v>
      </c>
      <c r="AS451" s="1" t="s">
        <v>104</v>
      </c>
      <c r="AU451" s="1" t="s">
        <v>104</v>
      </c>
      <c r="AV451" s="1" t="s">
        <v>104</v>
      </c>
      <c r="AX451" s="1" t="str">
        <f>IFERROR(__xludf.DUMMYFUNCTION("""COMPUTED_VALUE"""),"")</f>
        <v/>
      </c>
      <c r="AZ451" s="1" t="str">
        <f>IFERROR(__xludf.DUMMYFUNCTION("""COMPUTED_VALUE"""),"")</f>
        <v/>
      </c>
      <c r="BB451" s="1" t="s">
        <v>104</v>
      </c>
      <c r="BC451" s="1" t="s">
        <v>104</v>
      </c>
      <c r="BE451" s="1" t="s">
        <v>104</v>
      </c>
      <c r="BG451" s="1" t="s">
        <v>104</v>
      </c>
      <c r="BH451" s="1" t="s">
        <v>104</v>
      </c>
      <c r="BI451" s="1" t="s">
        <v>104</v>
      </c>
      <c r="BJ451" s="1" t="s">
        <v>104</v>
      </c>
      <c r="BK451" s="1" t="s">
        <v>104</v>
      </c>
      <c r="BL451" s="1" t="s">
        <v>104</v>
      </c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N452" s="1" t="s">
        <v>104</v>
      </c>
      <c r="AO452" s="1" t="s">
        <v>104</v>
      </c>
      <c r="AP452" s="1" t="s">
        <v>104</v>
      </c>
      <c r="AQ452" s="1" t="s">
        <v>104</v>
      </c>
      <c r="AR452" s="1" t="s">
        <v>104</v>
      </c>
      <c r="AS452" s="1" t="s">
        <v>104</v>
      </c>
      <c r="AU452" s="1" t="s">
        <v>104</v>
      </c>
      <c r="AV452" s="1" t="s">
        <v>104</v>
      </c>
      <c r="AX452" s="1" t="str">
        <f>IFERROR(__xludf.DUMMYFUNCTION("""COMPUTED_VALUE"""),"")</f>
        <v/>
      </c>
      <c r="AZ452" s="1" t="str">
        <f>IFERROR(__xludf.DUMMYFUNCTION("""COMPUTED_VALUE"""),"")</f>
        <v/>
      </c>
      <c r="BB452" s="1" t="s">
        <v>104</v>
      </c>
      <c r="BC452" s="1" t="s">
        <v>104</v>
      </c>
      <c r="BE452" s="1" t="s">
        <v>104</v>
      </c>
      <c r="BG452" s="1" t="s">
        <v>104</v>
      </c>
      <c r="BH452" s="1" t="s">
        <v>104</v>
      </c>
      <c r="BI452" s="1" t="s">
        <v>104</v>
      </c>
      <c r="BJ452" s="1" t="s">
        <v>104</v>
      </c>
      <c r="BK452" s="1" t="s">
        <v>104</v>
      </c>
      <c r="BL452" s="1" t="s">
        <v>104</v>
      </c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N453" s="1" t="s">
        <v>104</v>
      </c>
      <c r="AO453" s="1" t="s">
        <v>104</v>
      </c>
      <c r="AP453" s="1" t="s">
        <v>104</v>
      </c>
      <c r="AQ453" s="1" t="s">
        <v>104</v>
      </c>
      <c r="AR453" s="1" t="s">
        <v>104</v>
      </c>
      <c r="AS453" s="1" t="s">
        <v>104</v>
      </c>
      <c r="AU453" s="1" t="s">
        <v>104</v>
      </c>
      <c r="AV453" s="1" t="s">
        <v>104</v>
      </c>
      <c r="AX453" s="1" t="str">
        <f>IFERROR(__xludf.DUMMYFUNCTION("""COMPUTED_VALUE"""),"")</f>
        <v/>
      </c>
      <c r="AZ453" s="1" t="str">
        <f>IFERROR(__xludf.DUMMYFUNCTION("""COMPUTED_VALUE"""),"")</f>
        <v/>
      </c>
      <c r="BB453" s="1" t="s">
        <v>104</v>
      </c>
      <c r="BC453" s="1" t="s">
        <v>104</v>
      </c>
      <c r="BE453" s="1" t="s">
        <v>104</v>
      </c>
      <c r="BG453" s="1" t="s">
        <v>104</v>
      </c>
      <c r="BH453" s="1" t="s">
        <v>104</v>
      </c>
      <c r="BI453" s="1" t="s">
        <v>104</v>
      </c>
      <c r="BJ453" s="1" t="s">
        <v>104</v>
      </c>
      <c r="BK453" s="1" t="s">
        <v>104</v>
      </c>
      <c r="BL453" s="1" t="s">
        <v>104</v>
      </c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N454" s="1" t="s">
        <v>104</v>
      </c>
      <c r="AO454" s="1" t="s">
        <v>104</v>
      </c>
      <c r="AP454" s="1" t="s">
        <v>104</v>
      </c>
      <c r="AQ454" s="1" t="s">
        <v>104</v>
      </c>
      <c r="AR454" s="1" t="s">
        <v>104</v>
      </c>
      <c r="AS454" s="1" t="s">
        <v>104</v>
      </c>
      <c r="AU454" s="1" t="s">
        <v>104</v>
      </c>
      <c r="AV454" s="1" t="s">
        <v>104</v>
      </c>
      <c r="AX454" s="1" t="str">
        <f>IFERROR(__xludf.DUMMYFUNCTION("""COMPUTED_VALUE"""),"")</f>
        <v/>
      </c>
      <c r="AZ454" s="1" t="str">
        <f>IFERROR(__xludf.DUMMYFUNCTION("""COMPUTED_VALUE"""),"")</f>
        <v/>
      </c>
      <c r="BB454" s="1" t="s">
        <v>104</v>
      </c>
      <c r="BC454" s="1" t="s">
        <v>104</v>
      </c>
      <c r="BE454" s="1" t="s">
        <v>104</v>
      </c>
      <c r="BG454" s="1" t="s">
        <v>104</v>
      </c>
      <c r="BH454" s="1" t="s">
        <v>104</v>
      </c>
      <c r="BI454" s="1" t="s">
        <v>104</v>
      </c>
      <c r="BJ454" s="1" t="s">
        <v>104</v>
      </c>
      <c r="BK454" s="1" t="s">
        <v>104</v>
      </c>
      <c r="BL454" s="1" t="s">
        <v>104</v>
      </c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N455" s="1" t="s">
        <v>104</v>
      </c>
      <c r="AO455" s="1" t="s">
        <v>104</v>
      </c>
      <c r="AP455" s="1" t="s">
        <v>104</v>
      </c>
      <c r="AQ455" s="1" t="s">
        <v>104</v>
      </c>
      <c r="AR455" s="1" t="s">
        <v>104</v>
      </c>
      <c r="AS455" s="1" t="s">
        <v>104</v>
      </c>
      <c r="AU455" s="1" t="s">
        <v>104</v>
      </c>
      <c r="AV455" s="1" t="s">
        <v>104</v>
      </c>
      <c r="AX455" s="1" t="str">
        <f>IFERROR(__xludf.DUMMYFUNCTION("""COMPUTED_VALUE"""),"")</f>
        <v/>
      </c>
      <c r="AZ455" s="1" t="str">
        <f>IFERROR(__xludf.DUMMYFUNCTION("""COMPUTED_VALUE"""),"")</f>
        <v/>
      </c>
      <c r="BB455" s="1" t="s">
        <v>104</v>
      </c>
      <c r="BC455" s="1" t="s">
        <v>104</v>
      </c>
      <c r="BE455" s="1" t="s">
        <v>104</v>
      </c>
      <c r="BG455" s="1" t="s">
        <v>104</v>
      </c>
      <c r="BH455" s="1" t="s">
        <v>104</v>
      </c>
      <c r="BI455" s="1" t="s">
        <v>104</v>
      </c>
      <c r="BJ455" s="1" t="s">
        <v>104</v>
      </c>
      <c r="BK455" s="1" t="s">
        <v>104</v>
      </c>
      <c r="BL455" s="1" t="s">
        <v>104</v>
      </c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N456" s="1" t="s">
        <v>104</v>
      </c>
      <c r="AO456" s="1" t="s">
        <v>104</v>
      </c>
      <c r="AP456" s="1" t="s">
        <v>104</v>
      </c>
      <c r="AQ456" s="1" t="s">
        <v>104</v>
      </c>
      <c r="AR456" s="1" t="s">
        <v>104</v>
      </c>
      <c r="AS456" s="1" t="s">
        <v>104</v>
      </c>
      <c r="AU456" s="1" t="s">
        <v>104</v>
      </c>
      <c r="AV456" s="1" t="s">
        <v>104</v>
      </c>
      <c r="AX456" s="1" t="str">
        <f>IFERROR(__xludf.DUMMYFUNCTION("""COMPUTED_VALUE"""),"")</f>
        <v/>
      </c>
      <c r="AZ456" s="1" t="str">
        <f>IFERROR(__xludf.DUMMYFUNCTION("""COMPUTED_VALUE"""),"")</f>
        <v/>
      </c>
      <c r="BB456" s="1" t="s">
        <v>104</v>
      </c>
      <c r="BC456" s="1" t="s">
        <v>104</v>
      </c>
      <c r="BE456" s="1" t="s">
        <v>104</v>
      </c>
      <c r="BG456" s="1" t="s">
        <v>104</v>
      </c>
      <c r="BH456" s="1" t="s">
        <v>104</v>
      </c>
      <c r="BI456" s="1" t="s">
        <v>104</v>
      </c>
      <c r="BJ456" s="1" t="s">
        <v>104</v>
      </c>
      <c r="BK456" s="1" t="s">
        <v>104</v>
      </c>
      <c r="BL456" s="1" t="s">
        <v>104</v>
      </c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N457" s="1" t="s">
        <v>104</v>
      </c>
      <c r="AO457" s="1" t="s">
        <v>104</v>
      </c>
      <c r="AP457" s="1" t="s">
        <v>104</v>
      </c>
      <c r="AQ457" s="1" t="s">
        <v>104</v>
      </c>
      <c r="AR457" s="1" t="s">
        <v>104</v>
      </c>
      <c r="AS457" s="1" t="s">
        <v>104</v>
      </c>
      <c r="AU457" s="1" t="s">
        <v>104</v>
      </c>
      <c r="AV457" s="1" t="s">
        <v>104</v>
      </c>
      <c r="AX457" s="1" t="str">
        <f>IFERROR(__xludf.DUMMYFUNCTION("""COMPUTED_VALUE"""),"")</f>
        <v/>
      </c>
      <c r="AZ457" s="1" t="str">
        <f>IFERROR(__xludf.DUMMYFUNCTION("""COMPUTED_VALUE"""),"")</f>
        <v/>
      </c>
      <c r="BB457" s="1" t="s">
        <v>104</v>
      </c>
      <c r="BC457" s="1" t="s">
        <v>104</v>
      </c>
      <c r="BE457" s="1" t="s">
        <v>104</v>
      </c>
      <c r="BG457" s="1" t="s">
        <v>104</v>
      </c>
      <c r="BH457" s="1" t="s">
        <v>104</v>
      </c>
      <c r="BI457" s="1" t="s">
        <v>104</v>
      </c>
      <c r="BJ457" s="1" t="s">
        <v>104</v>
      </c>
      <c r="BK457" s="1" t="s">
        <v>104</v>
      </c>
      <c r="BL457" s="1" t="s">
        <v>104</v>
      </c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N458" s="1" t="s">
        <v>104</v>
      </c>
      <c r="AO458" s="1" t="s">
        <v>104</v>
      </c>
      <c r="AP458" s="1" t="s">
        <v>104</v>
      </c>
      <c r="AQ458" s="1" t="s">
        <v>104</v>
      </c>
      <c r="AR458" s="1" t="s">
        <v>104</v>
      </c>
      <c r="AS458" s="1" t="s">
        <v>104</v>
      </c>
      <c r="AU458" s="1" t="s">
        <v>104</v>
      </c>
      <c r="AV458" s="1" t="s">
        <v>104</v>
      </c>
      <c r="AX458" s="1" t="str">
        <f>IFERROR(__xludf.DUMMYFUNCTION("""COMPUTED_VALUE"""),"")</f>
        <v/>
      </c>
      <c r="AZ458" s="1" t="str">
        <f>IFERROR(__xludf.DUMMYFUNCTION("""COMPUTED_VALUE"""),"")</f>
        <v/>
      </c>
      <c r="BB458" s="1" t="s">
        <v>104</v>
      </c>
      <c r="BC458" s="1" t="s">
        <v>104</v>
      </c>
      <c r="BE458" s="1" t="s">
        <v>104</v>
      </c>
      <c r="BG458" s="1" t="s">
        <v>104</v>
      </c>
      <c r="BH458" s="1" t="s">
        <v>104</v>
      </c>
      <c r="BI458" s="1" t="s">
        <v>104</v>
      </c>
      <c r="BJ458" s="1" t="s">
        <v>104</v>
      </c>
      <c r="BK458" s="1" t="s">
        <v>104</v>
      </c>
      <c r="BL458" s="1" t="s">
        <v>104</v>
      </c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N459" s="1" t="s">
        <v>104</v>
      </c>
      <c r="AO459" s="1" t="s">
        <v>104</v>
      </c>
      <c r="AP459" s="1" t="s">
        <v>104</v>
      </c>
      <c r="AQ459" s="1" t="s">
        <v>104</v>
      </c>
      <c r="AR459" s="1" t="s">
        <v>104</v>
      </c>
      <c r="AS459" s="1" t="s">
        <v>104</v>
      </c>
      <c r="AU459" s="1" t="s">
        <v>104</v>
      </c>
      <c r="AV459" s="1" t="s">
        <v>104</v>
      </c>
      <c r="AX459" s="1" t="str">
        <f>IFERROR(__xludf.DUMMYFUNCTION("""COMPUTED_VALUE"""),"")</f>
        <v/>
      </c>
      <c r="AZ459" s="1" t="str">
        <f>IFERROR(__xludf.DUMMYFUNCTION("""COMPUTED_VALUE"""),"")</f>
        <v/>
      </c>
      <c r="BB459" s="1" t="s">
        <v>104</v>
      </c>
      <c r="BC459" s="1" t="s">
        <v>104</v>
      </c>
      <c r="BE459" s="1" t="s">
        <v>104</v>
      </c>
      <c r="BG459" s="1" t="s">
        <v>104</v>
      </c>
      <c r="BH459" s="1" t="s">
        <v>104</v>
      </c>
      <c r="BI459" s="1" t="s">
        <v>104</v>
      </c>
      <c r="BJ459" s="1" t="s">
        <v>104</v>
      </c>
      <c r="BK459" s="1" t="s">
        <v>104</v>
      </c>
      <c r="BL459" s="1" t="s">
        <v>104</v>
      </c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N460" s="1" t="s">
        <v>104</v>
      </c>
      <c r="AO460" s="1" t="s">
        <v>104</v>
      </c>
      <c r="AP460" s="1" t="s">
        <v>104</v>
      </c>
      <c r="AQ460" s="1" t="s">
        <v>104</v>
      </c>
      <c r="AR460" s="1" t="s">
        <v>104</v>
      </c>
      <c r="AS460" s="1" t="s">
        <v>104</v>
      </c>
      <c r="AU460" s="1" t="s">
        <v>104</v>
      </c>
      <c r="AV460" s="1" t="s">
        <v>104</v>
      </c>
      <c r="AX460" s="1" t="str">
        <f>IFERROR(__xludf.DUMMYFUNCTION("""COMPUTED_VALUE"""),"")</f>
        <v/>
      </c>
      <c r="AZ460" s="1" t="str">
        <f>IFERROR(__xludf.DUMMYFUNCTION("""COMPUTED_VALUE"""),"")</f>
        <v/>
      </c>
      <c r="BB460" s="1" t="s">
        <v>104</v>
      </c>
      <c r="BC460" s="1" t="s">
        <v>104</v>
      </c>
      <c r="BE460" s="1" t="s">
        <v>104</v>
      </c>
      <c r="BG460" s="1" t="s">
        <v>104</v>
      </c>
      <c r="BH460" s="1" t="s">
        <v>104</v>
      </c>
      <c r="BI460" s="1" t="s">
        <v>104</v>
      </c>
      <c r="BJ460" s="1" t="s">
        <v>104</v>
      </c>
      <c r="BK460" s="1" t="s">
        <v>104</v>
      </c>
      <c r="BL460" s="1" t="s">
        <v>104</v>
      </c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N461" s="1" t="s">
        <v>104</v>
      </c>
      <c r="AO461" s="1" t="s">
        <v>104</v>
      </c>
      <c r="AP461" s="1" t="s">
        <v>104</v>
      </c>
      <c r="AQ461" s="1" t="s">
        <v>104</v>
      </c>
      <c r="AR461" s="1" t="s">
        <v>104</v>
      </c>
      <c r="AS461" s="1" t="s">
        <v>104</v>
      </c>
      <c r="AU461" s="1" t="s">
        <v>104</v>
      </c>
      <c r="AV461" s="1" t="s">
        <v>104</v>
      </c>
      <c r="AX461" s="1" t="str">
        <f>IFERROR(__xludf.DUMMYFUNCTION("""COMPUTED_VALUE"""),"")</f>
        <v/>
      </c>
      <c r="AZ461" s="1" t="str">
        <f>IFERROR(__xludf.DUMMYFUNCTION("""COMPUTED_VALUE"""),"")</f>
        <v/>
      </c>
      <c r="BB461" s="1" t="s">
        <v>104</v>
      </c>
      <c r="BC461" s="1" t="s">
        <v>104</v>
      </c>
      <c r="BE461" s="1" t="s">
        <v>104</v>
      </c>
      <c r="BG461" s="1" t="s">
        <v>104</v>
      </c>
      <c r="BH461" s="1" t="s">
        <v>104</v>
      </c>
      <c r="BI461" s="1" t="s">
        <v>104</v>
      </c>
      <c r="BJ461" s="1" t="s">
        <v>104</v>
      </c>
      <c r="BK461" s="1" t="s">
        <v>104</v>
      </c>
      <c r="BL461" s="1" t="s">
        <v>104</v>
      </c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N462" s="1" t="s">
        <v>104</v>
      </c>
      <c r="AO462" s="1" t="s">
        <v>104</v>
      </c>
      <c r="AP462" s="1" t="s">
        <v>104</v>
      </c>
      <c r="AQ462" s="1" t="s">
        <v>104</v>
      </c>
      <c r="AR462" s="1" t="s">
        <v>104</v>
      </c>
      <c r="AS462" s="1" t="s">
        <v>104</v>
      </c>
      <c r="AU462" s="1" t="s">
        <v>104</v>
      </c>
      <c r="AV462" s="1" t="s">
        <v>104</v>
      </c>
      <c r="AX462" s="1" t="str">
        <f>IFERROR(__xludf.DUMMYFUNCTION("""COMPUTED_VALUE"""),"")</f>
        <v/>
      </c>
      <c r="AZ462" s="1" t="str">
        <f>IFERROR(__xludf.DUMMYFUNCTION("""COMPUTED_VALUE"""),"")</f>
        <v/>
      </c>
      <c r="BB462" s="1" t="s">
        <v>104</v>
      </c>
      <c r="BC462" s="1" t="s">
        <v>104</v>
      </c>
      <c r="BE462" s="1" t="s">
        <v>104</v>
      </c>
      <c r="BG462" s="1" t="s">
        <v>104</v>
      </c>
      <c r="BH462" s="1" t="s">
        <v>104</v>
      </c>
      <c r="BI462" s="1" t="s">
        <v>104</v>
      </c>
      <c r="BJ462" s="1" t="s">
        <v>104</v>
      </c>
      <c r="BK462" s="1" t="s">
        <v>104</v>
      </c>
      <c r="BL462" s="1" t="s">
        <v>104</v>
      </c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N463" s="1" t="s">
        <v>104</v>
      </c>
      <c r="AO463" s="1" t="s">
        <v>104</v>
      </c>
      <c r="AP463" s="1" t="s">
        <v>104</v>
      </c>
      <c r="AQ463" s="1" t="s">
        <v>104</v>
      </c>
      <c r="AR463" s="1" t="s">
        <v>104</v>
      </c>
      <c r="AS463" s="1" t="s">
        <v>104</v>
      </c>
      <c r="AU463" s="1" t="s">
        <v>104</v>
      </c>
      <c r="AV463" s="1" t="s">
        <v>104</v>
      </c>
      <c r="AX463" s="1" t="str">
        <f>IFERROR(__xludf.DUMMYFUNCTION("""COMPUTED_VALUE"""),"")</f>
        <v/>
      </c>
      <c r="AZ463" s="1" t="str">
        <f>IFERROR(__xludf.DUMMYFUNCTION("""COMPUTED_VALUE"""),"")</f>
        <v/>
      </c>
      <c r="BB463" s="1" t="s">
        <v>104</v>
      </c>
      <c r="BC463" s="1" t="s">
        <v>104</v>
      </c>
      <c r="BE463" s="1" t="s">
        <v>104</v>
      </c>
      <c r="BG463" s="1" t="s">
        <v>104</v>
      </c>
      <c r="BH463" s="1" t="s">
        <v>104</v>
      </c>
      <c r="BI463" s="1" t="s">
        <v>104</v>
      </c>
      <c r="BJ463" s="1" t="s">
        <v>104</v>
      </c>
      <c r="BK463" s="1" t="s">
        <v>104</v>
      </c>
      <c r="BL463" s="1" t="s">
        <v>104</v>
      </c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N464" s="1" t="s">
        <v>104</v>
      </c>
      <c r="AO464" s="1" t="s">
        <v>104</v>
      </c>
      <c r="AP464" s="1" t="s">
        <v>104</v>
      </c>
      <c r="AQ464" s="1" t="s">
        <v>104</v>
      </c>
      <c r="AR464" s="1" t="s">
        <v>104</v>
      </c>
      <c r="AS464" s="1" t="s">
        <v>104</v>
      </c>
      <c r="AU464" s="1" t="s">
        <v>104</v>
      </c>
      <c r="AV464" s="1" t="s">
        <v>104</v>
      </c>
      <c r="AX464" s="1" t="str">
        <f>IFERROR(__xludf.DUMMYFUNCTION("""COMPUTED_VALUE"""),"")</f>
        <v/>
      </c>
      <c r="AZ464" s="1" t="str">
        <f>IFERROR(__xludf.DUMMYFUNCTION("""COMPUTED_VALUE"""),"")</f>
        <v/>
      </c>
      <c r="BB464" s="1" t="s">
        <v>104</v>
      </c>
      <c r="BC464" s="1" t="s">
        <v>104</v>
      </c>
      <c r="BE464" s="1" t="s">
        <v>104</v>
      </c>
      <c r="BG464" s="1" t="s">
        <v>104</v>
      </c>
      <c r="BH464" s="1" t="s">
        <v>104</v>
      </c>
      <c r="BI464" s="1" t="s">
        <v>104</v>
      </c>
      <c r="BJ464" s="1" t="s">
        <v>104</v>
      </c>
      <c r="BK464" s="1" t="s">
        <v>104</v>
      </c>
      <c r="BL464" s="1" t="s">
        <v>104</v>
      </c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N465" s="1" t="s">
        <v>104</v>
      </c>
      <c r="AO465" s="1" t="s">
        <v>104</v>
      </c>
      <c r="AP465" s="1" t="s">
        <v>104</v>
      </c>
      <c r="AQ465" s="1" t="s">
        <v>104</v>
      </c>
      <c r="AR465" s="1" t="s">
        <v>104</v>
      </c>
      <c r="AS465" s="1" t="s">
        <v>104</v>
      </c>
      <c r="AU465" s="1" t="s">
        <v>104</v>
      </c>
      <c r="AV465" s="1" t="s">
        <v>104</v>
      </c>
      <c r="AX465" s="1" t="str">
        <f>IFERROR(__xludf.DUMMYFUNCTION("""COMPUTED_VALUE"""),"")</f>
        <v/>
      </c>
      <c r="AZ465" s="1" t="str">
        <f>IFERROR(__xludf.DUMMYFUNCTION("""COMPUTED_VALUE"""),"")</f>
        <v/>
      </c>
      <c r="BB465" s="1" t="s">
        <v>104</v>
      </c>
      <c r="BC465" s="1" t="s">
        <v>104</v>
      </c>
      <c r="BE465" s="1" t="s">
        <v>104</v>
      </c>
      <c r="BG465" s="1" t="s">
        <v>104</v>
      </c>
      <c r="BH465" s="1" t="s">
        <v>104</v>
      </c>
      <c r="BI465" s="1" t="s">
        <v>104</v>
      </c>
      <c r="BJ465" s="1" t="s">
        <v>104</v>
      </c>
      <c r="BK465" s="1" t="s">
        <v>104</v>
      </c>
      <c r="BL465" s="1" t="s">
        <v>104</v>
      </c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N466" s="1" t="s">
        <v>104</v>
      </c>
      <c r="AO466" s="1" t="s">
        <v>104</v>
      </c>
      <c r="AP466" s="1" t="s">
        <v>104</v>
      </c>
      <c r="AQ466" s="1" t="s">
        <v>104</v>
      </c>
      <c r="AR466" s="1" t="s">
        <v>104</v>
      </c>
      <c r="AS466" s="1" t="s">
        <v>104</v>
      </c>
      <c r="AU466" s="1" t="s">
        <v>104</v>
      </c>
      <c r="AV466" s="1" t="s">
        <v>104</v>
      </c>
      <c r="AX466" s="1" t="str">
        <f>IFERROR(__xludf.DUMMYFUNCTION("""COMPUTED_VALUE"""),"")</f>
        <v/>
      </c>
      <c r="AZ466" s="1" t="str">
        <f>IFERROR(__xludf.DUMMYFUNCTION("""COMPUTED_VALUE"""),"")</f>
        <v/>
      </c>
      <c r="BB466" s="1" t="s">
        <v>104</v>
      </c>
      <c r="BC466" s="1" t="s">
        <v>104</v>
      </c>
      <c r="BE466" s="1" t="s">
        <v>104</v>
      </c>
      <c r="BG466" s="1" t="s">
        <v>104</v>
      </c>
      <c r="BH466" s="1" t="s">
        <v>104</v>
      </c>
      <c r="BI466" s="1" t="s">
        <v>104</v>
      </c>
      <c r="BJ466" s="1" t="s">
        <v>104</v>
      </c>
      <c r="BK466" s="1" t="s">
        <v>104</v>
      </c>
      <c r="BL466" s="1" t="s">
        <v>104</v>
      </c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N467" s="1" t="s">
        <v>104</v>
      </c>
      <c r="AO467" s="1" t="s">
        <v>104</v>
      </c>
      <c r="AP467" s="1" t="s">
        <v>104</v>
      </c>
      <c r="AQ467" s="1" t="s">
        <v>104</v>
      </c>
      <c r="AR467" s="1" t="s">
        <v>104</v>
      </c>
      <c r="AS467" s="1" t="s">
        <v>104</v>
      </c>
      <c r="AU467" s="1" t="s">
        <v>104</v>
      </c>
      <c r="AV467" s="1" t="s">
        <v>104</v>
      </c>
      <c r="AX467" s="1" t="str">
        <f>IFERROR(__xludf.DUMMYFUNCTION("""COMPUTED_VALUE"""),"")</f>
        <v/>
      </c>
      <c r="AZ467" s="1" t="str">
        <f>IFERROR(__xludf.DUMMYFUNCTION("""COMPUTED_VALUE"""),"")</f>
        <v/>
      </c>
      <c r="BB467" s="1" t="s">
        <v>104</v>
      </c>
      <c r="BC467" s="1" t="s">
        <v>104</v>
      </c>
      <c r="BE467" s="1" t="s">
        <v>104</v>
      </c>
      <c r="BG467" s="1" t="s">
        <v>104</v>
      </c>
      <c r="BH467" s="1" t="s">
        <v>104</v>
      </c>
      <c r="BI467" s="1" t="s">
        <v>104</v>
      </c>
      <c r="BJ467" s="1" t="s">
        <v>104</v>
      </c>
      <c r="BK467" s="1" t="s">
        <v>104</v>
      </c>
      <c r="BL467" s="1" t="s">
        <v>104</v>
      </c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N468" s="1" t="s">
        <v>104</v>
      </c>
      <c r="AO468" s="1" t="s">
        <v>104</v>
      </c>
      <c r="AP468" s="1" t="s">
        <v>104</v>
      </c>
      <c r="AQ468" s="1" t="s">
        <v>104</v>
      </c>
      <c r="AR468" s="1" t="s">
        <v>104</v>
      </c>
      <c r="AS468" s="1" t="s">
        <v>104</v>
      </c>
      <c r="AU468" s="1" t="s">
        <v>104</v>
      </c>
      <c r="AV468" s="1" t="s">
        <v>104</v>
      </c>
      <c r="AX468" s="1" t="str">
        <f>IFERROR(__xludf.DUMMYFUNCTION("""COMPUTED_VALUE"""),"")</f>
        <v/>
      </c>
      <c r="AZ468" s="1" t="str">
        <f>IFERROR(__xludf.DUMMYFUNCTION("""COMPUTED_VALUE"""),"")</f>
        <v/>
      </c>
      <c r="BB468" s="1" t="s">
        <v>104</v>
      </c>
      <c r="BC468" s="1" t="s">
        <v>104</v>
      </c>
      <c r="BE468" s="1" t="s">
        <v>104</v>
      </c>
      <c r="BG468" s="1" t="s">
        <v>104</v>
      </c>
      <c r="BH468" s="1" t="s">
        <v>104</v>
      </c>
      <c r="BI468" s="1" t="s">
        <v>104</v>
      </c>
      <c r="BJ468" s="1" t="s">
        <v>104</v>
      </c>
      <c r="BK468" s="1" t="s">
        <v>104</v>
      </c>
      <c r="BL468" s="1" t="s">
        <v>104</v>
      </c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N469" s="1" t="s">
        <v>104</v>
      </c>
      <c r="AO469" s="1" t="s">
        <v>104</v>
      </c>
      <c r="AP469" s="1" t="s">
        <v>104</v>
      </c>
      <c r="AQ469" s="1" t="s">
        <v>104</v>
      </c>
      <c r="AR469" s="1" t="s">
        <v>104</v>
      </c>
      <c r="AS469" s="1" t="s">
        <v>104</v>
      </c>
      <c r="AU469" s="1" t="s">
        <v>104</v>
      </c>
      <c r="AV469" s="1" t="s">
        <v>104</v>
      </c>
      <c r="AX469" s="1" t="str">
        <f>IFERROR(__xludf.DUMMYFUNCTION("""COMPUTED_VALUE"""),"")</f>
        <v/>
      </c>
      <c r="AZ469" s="1" t="str">
        <f>IFERROR(__xludf.DUMMYFUNCTION("""COMPUTED_VALUE"""),"")</f>
        <v/>
      </c>
      <c r="BB469" s="1" t="s">
        <v>104</v>
      </c>
      <c r="BC469" s="1" t="s">
        <v>104</v>
      </c>
      <c r="BE469" s="1" t="s">
        <v>104</v>
      </c>
      <c r="BG469" s="1" t="s">
        <v>104</v>
      </c>
      <c r="BH469" s="1" t="s">
        <v>104</v>
      </c>
      <c r="BI469" s="1" t="s">
        <v>104</v>
      </c>
      <c r="BJ469" s="1" t="s">
        <v>104</v>
      </c>
      <c r="BK469" s="1" t="s">
        <v>104</v>
      </c>
      <c r="BL469" s="1" t="s">
        <v>104</v>
      </c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N470" s="1" t="s">
        <v>104</v>
      </c>
      <c r="AO470" s="1" t="s">
        <v>104</v>
      </c>
      <c r="AP470" s="1" t="s">
        <v>104</v>
      </c>
      <c r="AQ470" s="1" t="s">
        <v>104</v>
      </c>
      <c r="AR470" s="1" t="s">
        <v>104</v>
      </c>
      <c r="AS470" s="1" t="s">
        <v>104</v>
      </c>
      <c r="AU470" s="1" t="s">
        <v>104</v>
      </c>
      <c r="AV470" s="1" t="s">
        <v>104</v>
      </c>
      <c r="AX470" s="1" t="str">
        <f>IFERROR(__xludf.DUMMYFUNCTION("""COMPUTED_VALUE"""),"")</f>
        <v/>
      </c>
      <c r="AZ470" s="1" t="str">
        <f>IFERROR(__xludf.DUMMYFUNCTION("""COMPUTED_VALUE"""),"")</f>
        <v/>
      </c>
      <c r="BB470" s="1" t="s">
        <v>104</v>
      </c>
      <c r="BC470" s="1" t="s">
        <v>104</v>
      </c>
      <c r="BE470" s="1" t="s">
        <v>104</v>
      </c>
      <c r="BG470" s="1" t="s">
        <v>104</v>
      </c>
      <c r="BH470" s="1" t="s">
        <v>104</v>
      </c>
      <c r="BI470" s="1" t="s">
        <v>104</v>
      </c>
      <c r="BJ470" s="1" t="s">
        <v>104</v>
      </c>
      <c r="BK470" s="1" t="s">
        <v>104</v>
      </c>
      <c r="BL470" s="1" t="s">
        <v>104</v>
      </c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N471" s="1" t="s">
        <v>104</v>
      </c>
      <c r="AO471" s="1" t="s">
        <v>104</v>
      </c>
      <c r="AP471" s="1" t="s">
        <v>104</v>
      </c>
      <c r="AQ471" s="1" t="s">
        <v>104</v>
      </c>
      <c r="AR471" s="1" t="s">
        <v>104</v>
      </c>
      <c r="AS471" s="1" t="s">
        <v>104</v>
      </c>
      <c r="AU471" s="1" t="s">
        <v>104</v>
      </c>
      <c r="AV471" s="1" t="s">
        <v>104</v>
      </c>
      <c r="AX471" s="1" t="str">
        <f>IFERROR(__xludf.DUMMYFUNCTION("""COMPUTED_VALUE"""),"")</f>
        <v/>
      </c>
      <c r="AZ471" s="1" t="str">
        <f>IFERROR(__xludf.DUMMYFUNCTION("""COMPUTED_VALUE"""),"")</f>
        <v/>
      </c>
      <c r="BB471" s="1" t="s">
        <v>104</v>
      </c>
      <c r="BC471" s="1" t="s">
        <v>104</v>
      </c>
      <c r="BE471" s="1" t="s">
        <v>104</v>
      </c>
      <c r="BG471" s="1" t="s">
        <v>104</v>
      </c>
      <c r="BH471" s="1" t="s">
        <v>104</v>
      </c>
      <c r="BI471" s="1" t="s">
        <v>104</v>
      </c>
      <c r="BJ471" s="1" t="s">
        <v>104</v>
      </c>
      <c r="BK471" s="1" t="s">
        <v>104</v>
      </c>
      <c r="BL471" s="1" t="s">
        <v>104</v>
      </c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N472" s="1" t="s">
        <v>104</v>
      </c>
      <c r="AO472" s="1" t="s">
        <v>104</v>
      </c>
      <c r="AP472" s="1" t="s">
        <v>104</v>
      </c>
      <c r="AQ472" s="1" t="s">
        <v>104</v>
      </c>
      <c r="AR472" s="1" t="s">
        <v>104</v>
      </c>
      <c r="AS472" s="1" t="s">
        <v>104</v>
      </c>
      <c r="AU472" s="1" t="s">
        <v>104</v>
      </c>
      <c r="AV472" s="1" t="s">
        <v>104</v>
      </c>
      <c r="AX472" s="1" t="str">
        <f>IFERROR(__xludf.DUMMYFUNCTION("""COMPUTED_VALUE"""),"")</f>
        <v/>
      </c>
      <c r="AZ472" s="1" t="str">
        <f>IFERROR(__xludf.DUMMYFUNCTION("""COMPUTED_VALUE"""),"")</f>
        <v/>
      </c>
      <c r="BB472" s="1" t="s">
        <v>104</v>
      </c>
      <c r="BC472" s="1" t="s">
        <v>104</v>
      </c>
      <c r="BE472" s="1" t="s">
        <v>104</v>
      </c>
      <c r="BG472" s="1" t="s">
        <v>104</v>
      </c>
      <c r="BH472" s="1" t="s">
        <v>104</v>
      </c>
      <c r="BI472" s="1" t="s">
        <v>104</v>
      </c>
      <c r="BJ472" s="1" t="s">
        <v>104</v>
      </c>
      <c r="BK472" s="1" t="s">
        <v>104</v>
      </c>
      <c r="BL472" s="1" t="s">
        <v>104</v>
      </c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N473" s="1" t="s">
        <v>104</v>
      </c>
      <c r="AO473" s="1" t="s">
        <v>104</v>
      </c>
      <c r="AP473" s="1" t="s">
        <v>104</v>
      </c>
      <c r="AQ473" s="1" t="s">
        <v>104</v>
      </c>
      <c r="AR473" s="1" t="s">
        <v>104</v>
      </c>
      <c r="AS473" s="1" t="s">
        <v>104</v>
      </c>
      <c r="AU473" s="1" t="s">
        <v>104</v>
      </c>
      <c r="AV473" s="1" t="s">
        <v>104</v>
      </c>
      <c r="AX473" s="1" t="str">
        <f>IFERROR(__xludf.DUMMYFUNCTION("""COMPUTED_VALUE"""),"")</f>
        <v/>
      </c>
      <c r="AZ473" s="1" t="str">
        <f>IFERROR(__xludf.DUMMYFUNCTION("""COMPUTED_VALUE"""),"")</f>
        <v/>
      </c>
      <c r="BB473" s="1" t="s">
        <v>104</v>
      </c>
      <c r="BC473" s="1" t="s">
        <v>104</v>
      </c>
      <c r="BE473" s="1" t="s">
        <v>104</v>
      </c>
      <c r="BG473" s="1" t="s">
        <v>104</v>
      </c>
      <c r="BH473" s="1" t="s">
        <v>104</v>
      </c>
      <c r="BI473" s="1" t="s">
        <v>104</v>
      </c>
      <c r="BJ473" s="1" t="s">
        <v>104</v>
      </c>
      <c r="BK473" s="1" t="s">
        <v>104</v>
      </c>
      <c r="BL473" s="1" t="s">
        <v>104</v>
      </c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N474" s="1" t="s">
        <v>104</v>
      </c>
      <c r="AO474" s="1" t="s">
        <v>104</v>
      </c>
      <c r="AP474" s="1" t="s">
        <v>104</v>
      </c>
      <c r="AQ474" s="1" t="s">
        <v>104</v>
      </c>
      <c r="AR474" s="1" t="s">
        <v>104</v>
      </c>
      <c r="AS474" s="1" t="s">
        <v>104</v>
      </c>
      <c r="AU474" s="1" t="s">
        <v>104</v>
      </c>
      <c r="AV474" s="1" t="s">
        <v>104</v>
      </c>
      <c r="AX474" s="1" t="str">
        <f>IFERROR(__xludf.DUMMYFUNCTION("""COMPUTED_VALUE"""),"")</f>
        <v/>
      </c>
      <c r="AZ474" s="1" t="str">
        <f>IFERROR(__xludf.DUMMYFUNCTION("""COMPUTED_VALUE"""),"")</f>
        <v/>
      </c>
      <c r="BB474" s="1" t="s">
        <v>104</v>
      </c>
      <c r="BC474" s="1" t="s">
        <v>104</v>
      </c>
      <c r="BE474" s="1" t="s">
        <v>104</v>
      </c>
      <c r="BG474" s="1" t="s">
        <v>104</v>
      </c>
      <c r="BH474" s="1" t="s">
        <v>104</v>
      </c>
      <c r="BI474" s="1" t="s">
        <v>104</v>
      </c>
      <c r="BJ474" s="1" t="s">
        <v>104</v>
      </c>
      <c r="BK474" s="1" t="s">
        <v>104</v>
      </c>
      <c r="BL474" s="1" t="s">
        <v>104</v>
      </c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N475" s="1" t="s">
        <v>104</v>
      </c>
      <c r="AO475" s="1" t="s">
        <v>104</v>
      </c>
      <c r="AP475" s="1" t="s">
        <v>104</v>
      </c>
      <c r="AQ475" s="1" t="s">
        <v>104</v>
      </c>
      <c r="AR475" s="1" t="s">
        <v>104</v>
      </c>
      <c r="AS475" s="1" t="s">
        <v>104</v>
      </c>
      <c r="AU475" s="1" t="s">
        <v>104</v>
      </c>
      <c r="AV475" s="1" t="s">
        <v>104</v>
      </c>
      <c r="AX475" s="1" t="str">
        <f>IFERROR(__xludf.DUMMYFUNCTION("""COMPUTED_VALUE"""),"")</f>
        <v/>
      </c>
      <c r="AZ475" s="1" t="str">
        <f>IFERROR(__xludf.DUMMYFUNCTION("""COMPUTED_VALUE"""),"")</f>
        <v/>
      </c>
      <c r="BB475" s="1" t="s">
        <v>104</v>
      </c>
      <c r="BC475" s="1" t="s">
        <v>104</v>
      </c>
      <c r="BE475" s="1" t="s">
        <v>104</v>
      </c>
      <c r="BG475" s="1" t="s">
        <v>104</v>
      </c>
      <c r="BH475" s="1" t="s">
        <v>104</v>
      </c>
      <c r="BI475" s="1" t="s">
        <v>104</v>
      </c>
      <c r="BJ475" s="1" t="s">
        <v>104</v>
      </c>
      <c r="BK475" s="1" t="s">
        <v>104</v>
      </c>
      <c r="BL475" s="1" t="s">
        <v>104</v>
      </c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N476" s="1" t="s">
        <v>104</v>
      </c>
      <c r="AO476" s="1" t="s">
        <v>104</v>
      </c>
      <c r="AP476" s="1" t="s">
        <v>104</v>
      </c>
      <c r="AQ476" s="1" t="s">
        <v>104</v>
      </c>
      <c r="AR476" s="1" t="s">
        <v>104</v>
      </c>
      <c r="AS476" s="1" t="s">
        <v>104</v>
      </c>
      <c r="AU476" s="1" t="s">
        <v>104</v>
      </c>
      <c r="AV476" s="1" t="s">
        <v>104</v>
      </c>
      <c r="AX476" s="1" t="str">
        <f>IFERROR(__xludf.DUMMYFUNCTION("""COMPUTED_VALUE"""),"")</f>
        <v/>
      </c>
      <c r="AZ476" s="1" t="str">
        <f>IFERROR(__xludf.DUMMYFUNCTION("""COMPUTED_VALUE"""),"")</f>
        <v/>
      </c>
      <c r="BB476" s="1" t="s">
        <v>104</v>
      </c>
      <c r="BC476" s="1" t="s">
        <v>104</v>
      </c>
      <c r="BE476" s="1" t="s">
        <v>104</v>
      </c>
      <c r="BG476" s="1" t="s">
        <v>104</v>
      </c>
      <c r="BH476" s="1" t="s">
        <v>104</v>
      </c>
      <c r="BI476" s="1" t="s">
        <v>104</v>
      </c>
      <c r="BJ476" s="1" t="s">
        <v>104</v>
      </c>
      <c r="BK476" s="1" t="s">
        <v>104</v>
      </c>
      <c r="BL476" s="1" t="s">
        <v>104</v>
      </c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N477" s="1" t="s">
        <v>104</v>
      </c>
      <c r="AO477" s="1" t="s">
        <v>104</v>
      </c>
      <c r="AP477" s="1" t="s">
        <v>104</v>
      </c>
      <c r="AQ477" s="1" t="s">
        <v>104</v>
      </c>
      <c r="AR477" s="1" t="s">
        <v>104</v>
      </c>
      <c r="AS477" s="1" t="s">
        <v>104</v>
      </c>
      <c r="AU477" s="1" t="s">
        <v>104</v>
      </c>
      <c r="AV477" s="1" t="s">
        <v>104</v>
      </c>
      <c r="AX477" s="1" t="str">
        <f>IFERROR(__xludf.DUMMYFUNCTION("""COMPUTED_VALUE"""),"")</f>
        <v/>
      </c>
      <c r="AZ477" s="1" t="str">
        <f>IFERROR(__xludf.DUMMYFUNCTION("""COMPUTED_VALUE"""),"")</f>
        <v/>
      </c>
      <c r="BB477" s="1" t="s">
        <v>104</v>
      </c>
      <c r="BC477" s="1" t="s">
        <v>104</v>
      </c>
      <c r="BE477" s="1" t="s">
        <v>104</v>
      </c>
      <c r="BG477" s="1" t="s">
        <v>104</v>
      </c>
      <c r="BH477" s="1" t="s">
        <v>104</v>
      </c>
      <c r="BI477" s="1" t="s">
        <v>104</v>
      </c>
      <c r="BJ477" s="1" t="s">
        <v>104</v>
      </c>
      <c r="BK477" s="1" t="s">
        <v>104</v>
      </c>
      <c r="BL477" s="1" t="s">
        <v>104</v>
      </c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N478" s="1" t="s">
        <v>104</v>
      </c>
      <c r="AO478" s="1" t="s">
        <v>104</v>
      </c>
      <c r="AP478" s="1" t="s">
        <v>104</v>
      </c>
      <c r="AQ478" s="1" t="s">
        <v>104</v>
      </c>
      <c r="AR478" s="1" t="s">
        <v>104</v>
      </c>
      <c r="AS478" s="1" t="s">
        <v>104</v>
      </c>
      <c r="AU478" s="1" t="s">
        <v>104</v>
      </c>
      <c r="AV478" s="1" t="s">
        <v>104</v>
      </c>
      <c r="AX478" s="1" t="str">
        <f>IFERROR(__xludf.DUMMYFUNCTION("""COMPUTED_VALUE"""),"")</f>
        <v/>
      </c>
      <c r="AZ478" s="1" t="str">
        <f>IFERROR(__xludf.DUMMYFUNCTION("""COMPUTED_VALUE"""),"")</f>
        <v/>
      </c>
      <c r="BB478" s="1" t="s">
        <v>104</v>
      </c>
      <c r="BC478" s="1" t="s">
        <v>104</v>
      </c>
      <c r="BE478" s="1" t="s">
        <v>104</v>
      </c>
      <c r="BG478" s="1" t="s">
        <v>104</v>
      </c>
      <c r="BH478" s="1" t="s">
        <v>104</v>
      </c>
      <c r="BI478" s="1" t="s">
        <v>104</v>
      </c>
      <c r="BJ478" s="1" t="s">
        <v>104</v>
      </c>
      <c r="BK478" s="1" t="s">
        <v>104</v>
      </c>
      <c r="BL478" s="1" t="s">
        <v>104</v>
      </c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N479" s="1" t="s">
        <v>104</v>
      </c>
      <c r="AO479" s="1" t="s">
        <v>104</v>
      </c>
      <c r="AP479" s="1" t="s">
        <v>104</v>
      </c>
      <c r="AQ479" s="1" t="s">
        <v>104</v>
      </c>
      <c r="AR479" s="1" t="s">
        <v>104</v>
      </c>
      <c r="AS479" s="1" t="s">
        <v>104</v>
      </c>
      <c r="AU479" s="1" t="s">
        <v>104</v>
      </c>
      <c r="AV479" s="1" t="s">
        <v>104</v>
      </c>
      <c r="AX479" s="1" t="str">
        <f>IFERROR(__xludf.DUMMYFUNCTION("""COMPUTED_VALUE"""),"")</f>
        <v/>
      </c>
      <c r="AZ479" s="1" t="str">
        <f>IFERROR(__xludf.DUMMYFUNCTION("""COMPUTED_VALUE"""),"")</f>
        <v/>
      </c>
      <c r="BB479" s="1" t="s">
        <v>104</v>
      </c>
      <c r="BC479" s="1" t="s">
        <v>104</v>
      </c>
      <c r="BE479" s="1" t="s">
        <v>104</v>
      </c>
      <c r="BG479" s="1" t="s">
        <v>104</v>
      </c>
      <c r="BH479" s="1" t="s">
        <v>104</v>
      </c>
      <c r="BI479" s="1" t="s">
        <v>104</v>
      </c>
      <c r="BJ479" s="1" t="s">
        <v>104</v>
      </c>
      <c r="BK479" s="1" t="s">
        <v>104</v>
      </c>
      <c r="BL479" s="1" t="s">
        <v>104</v>
      </c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N480" s="1" t="s">
        <v>104</v>
      </c>
      <c r="AO480" s="1" t="s">
        <v>104</v>
      </c>
      <c r="AP480" s="1" t="s">
        <v>104</v>
      </c>
      <c r="AQ480" s="1" t="s">
        <v>104</v>
      </c>
      <c r="AR480" s="1" t="s">
        <v>104</v>
      </c>
      <c r="AS480" s="1" t="s">
        <v>104</v>
      </c>
      <c r="AU480" s="1" t="s">
        <v>104</v>
      </c>
      <c r="AV480" s="1" t="s">
        <v>104</v>
      </c>
      <c r="AX480" s="1" t="str">
        <f>IFERROR(__xludf.DUMMYFUNCTION("""COMPUTED_VALUE"""),"")</f>
        <v/>
      </c>
      <c r="AZ480" s="1" t="str">
        <f>IFERROR(__xludf.DUMMYFUNCTION("""COMPUTED_VALUE"""),"")</f>
        <v/>
      </c>
      <c r="BB480" s="1" t="s">
        <v>104</v>
      </c>
      <c r="BC480" s="1" t="s">
        <v>104</v>
      </c>
      <c r="BE480" s="1" t="s">
        <v>104</v>
      </c>
      <c r="BG480" s="1" t="s">
        <v>104</v>
      </c>
      <c r="BH480" s="1" t="s">
        <v>104</v>
      </c>
      <c r="BI480" s="1" t="s">
        <v>104</v>
      </c>
      <c r="BJ480" s="1" t="s">
        <v>104</v>
      </c>
      <c r="BK480" s="1" t="s">
        <v>104</v>
      </c>
      <c r="BL480" s="1" t="s">
        <v>104</v>
      </c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N481" s="1" t="s">
        <v>104</v>
      </c>
      <c r="AO481" s="1" t="s">
        <v>104</v>
      </c>
      <c r="AP481" s="1" t="s">
        <v>104</v>
      </c>
      <c r="AQ481" s="1" t="s">
        <v>104</v>
      </c>
      <c r="AR481" s="1" t="s">
        <v>104</v>
      </c>
      <c r="AS481" s="1" t="s">
        <v>104</v>
      </c>
      <c r="AU481" s="1" t="s">
        <v>104</v>
      </c>
      <c r="AV481" s="1" t="s">
        <v>104</v>
      </c>
      <c r="AX481" s="1" t="str">
        <f>IFERROR(__xludf.DUMMYFUNCTION("""COMPUTED_VALUE"""),"")</f>
        <v/>
      </c>
      <c r="AZ481" s="1" t="str">
        <f>IFERROR(__xludf.DUMMYFUNCTION("""COMPUTED_VALUE"""),"")</f>
        <v/>
      </c>
      <c r="BB481" s="1" t="s">
        <v>104</v>
      </c>
      <c r="BC481" s="1" t="s">
        <v>104</v>
      </c>
      <c r="BE481" s="1" t="s">
        <v>104</v>
      </c>
      <c r="BG481" s="1" t="s">
        <v>104</v>
      </c>
      <c r="BH481" s="1" t="s">
        <v>104</v>
      </c>
      <c r="BI481" s="1" t="s">
        <v>104</v>
      </c>
      <c r="BJ481" s="1" t="s">
        <v>104</v>
      </c>
      <c r="BK481" s="1" t="s">
        <v>104</v>
      </c>
      <c r="BL481" s="1" t="s">
        <v>104</v>
      </c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N482" s="1" t="s">
        <v>104</v>
      </c>
      <c r="AO482" s="1" t="s">
        <v>104</v>
      </c>
      <c r="AP482" s="1" t="s">
        <v>104</v>
      </c>
      <c r="AQ482" s="1" t="s">
        <v>104</v>
      </c>
      <c r="AR482" s="1" t="s">
        <v>104</v>
      </c>
      <c r="AS482" s="1" t="s">
        <v>104</v>
      </c>
      <c r="AU482" s="1" t="s">
        <v>104</v>
      </c>
      <c r="AV482" s="1" t="s">
        <v>104</v>
      </c>
      <c r="AX482" s="1" t="str">
        <f>IFERROR(__xludf.DUMMYFUNCTION("""COMPUTED_VALUE"""),"")</f>
        <v/>
      </c>
      <c r="AZ482" s="1" t="str">
        <f>IFERROR(__xludf.DUMMYFUNCTION("""COMPUTED_VALUE"""),"")</f>
        <v/>
      </c>
      <c r="BB482" s="1" t="s">
        <v>104</v>
      </c>
      <c r="BC482" s="1" t="s">
        <v>104</v>
      </c>
      <c r="BE482" s="1" t="s">
        <v>104</v>
      </c>
      <c r="BG482" s="1" t="s">
        <v>104</v>
      </c>
      <c r="BH482" s="1" t="s">
        <v>104</v>
      </c>
      <c r="BI482" s="1" t="s">
        <v>104</v>
      </c>
      <c r="BJ482" s="1" t="s">
        <v>104</v>
      </c>
      <c r="BK482" s="1" t="s">
        <v>104</v>
      </c>
      <c r="BL482" s="1" t="s">
        <v>104</v>
      </c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N483" s="1" t="s">
        <v>104</v>
      </c>
      <c r="AO483" s="1" t="s">
        <v>104</v>
      </c>
      <c r="AP483" s="1" t="s">
        <v>104</v>
      </c>
      <c r="AQ483" s="1" t="s">
        <v>104</v>
      </c>
      <c r="AR483" s="1" t="s">
        <v>104</v>
      </c>
      <c r="AS483" s="1" t="s">
        <v>104</v>
      </c>
      <c r="AU483" s="1" t="s">
        <v>104</v>
      </c>
      <c r="AV483" s="1" t="s">
        <v>104</v>
      </c>
      <c r="AX483" s="1" t="str">
        <f>IFERROR(__xludf.DUMMYFUNCTION("""COMPUTED_VALUE"""),"")</f>
        <v/>
      </c>
      <c r="AZ483" s="1" t="str">
        <f>IFERROR(__xludf.DUMMYFUNCTION("""COMPUTED_VALUE"""),"")</f>
        <v/>
      </c>
      <c r="BB483" s="1" t="s">
        <v>104</v>
      </c>
      <c r="BC483" s="1" t="s">
        <v>104</v>
      </c>
      <c r="BE483" s="1" t="s">
        <v>104</v>
      </c>
      <c r="BG483" s="1" t="s">
        <v>104</v>
      </c>
      <c r="BH483" s="1" t="s">
        <v>104</v>
      </c>
      <c r="BI483" s="1" t="s">
        <v>104</v>
      </c>
      <c r="BJ483" s="1" t="s">
        <v>104</v>
      </c>
      <c r="BK483" s="1" t="s">
        <v>104</v>
      </c>
      <c r="BL483" s="1" t="s">
        <v>104</v>
      </c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N484" s="1" t="s">
        <v>104</v>
      </c>
      <c r="AO484" s="1" t="s">
        <v>104</v>
      </c>
      <c r="AP484" s="1" t="s">
        <v>104</v>
      </c>
      <c r="AQ484" s="1" t="s">
        <v>104</v>
      </c>
      <c r="AR484" s="1" t="s">
        <v>104</v>
      </c>
      <c r="AS484" s="1" t="s">
        <v>104</v>
      </c>
      <c r="AU484" s="1" t="s">
        <v>104</v>
      </c>
      <c r="AV484" s="1" t="s">
        <v>104</v>
      </c>
      <c r="AX484" s="1" t="str">
        <f>IFERROR(__xludf.DUMMYFUNCTION("""COMPUTED_VALUE"""),"")</f>
        <v/>
      </c>
      <c r="AZ484" s="1" t="str">
        <f>IFERROR(__xludf.DUMMYFUNCTION("""COMPUTED_VALUE"""),"")</f>
        <v/>
      </c>
      <c r="BB484" s="1" t="s">
        <v>104</v>
      </c>
      <c r="BC484" s="1" t="s">
        <v>104</v>
      </c>
      <c r="BE484" s="1" t="s">
        <v>104</v>
      </c>
      <c r="BG484" s="1" t="s">
        <v>104</v>
      </c>
      <c r="BH484" s="1" t="s">
        <v>104</v>
      </c>
      <c r="BI484" s="1" t="s">
        <v>104</v>
      </c>
      <c r="BJ484" s="1" t="s">
        <v>104</v>
      </c>
      <c r="BK484" s="1" t="s">
        <v>104</v>
      </c>
      <c r="BL484" s="1" t="s">
        <v>104</v>
      </c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N485" s="1" t="s">
        <v>104</v>
      </c>
      <c r="AO485" s="1" t="s">
        <v>104</v>
      </c>
      <c r="AP485" s="1" t="s">
        <v>104</v>
      </c>
      <c r="AQ485" s="1" t="s">
        <v>104</v>
      </c>
      <c r="AR485" s="1" t="s">
        <v>104</v>
      </c>
      <c r="AS485" s="1" t="s">
        <v>104</v>
      </c>
      <c r="AU485" s="1" t="s">
        <v>104</v>
      </c>
      <c r="AV485" s="1" t="s">
        <v>104</v>
      </c>
      <c r="AX485" s="1" t="str">
        <f>IFERROR(__xludf.DUMMYFUNCTION("""COMPUTED_VALUE"""),"")</f>
        <v/>
      </c>
      <c r="AZ485" s="1" t="str">
        <f>IFERROR(__xludf.DUMMYFUNCTION("""COMPUTED_VALUE"""),"")</f>
        <v/>
      </c>
      <c r="BB485" s="1" t="s">
        <v>104</v>
      </c>
      <c r="BC485" s="1" t="s">
        <v>104</v>
      </c>
      <c r="BE485" s="1" t="s">
        <v>104</v>
      </c>
      <c r="BG485" s="1" t="s">
        <v>104</v>
      </c>
      <c r="BH485" s="1" t="s">
        <v>104</v>
      </c>
      <c r="BI485" s="1" t="s">
        <v>104</v>
      </c>
      <c r="BJ485" s="1" t="s">
        <v>104</v>
      </c>
      <c r="BK485" s="1" t="s">
        <v>104</v>
      </c>
      <c r="BL485" s="1" t="s">
        <v>104</v>
      </c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N486" s="1" t="s">
        <v>104</v>
      </c>
      <c r="AO486" s="1" t="s">
        <v>104</v>
      </c>
      <c r="AP486" s="1" t="s">
        <v>104</v>
      </c>
      <c r="AQ486" s="1" t="s">
        <v>104</v>
      </c>
      <c r="AR486" s="1" t="s">
        <v>104</v>
      </c>
      <c r="AS486" s="1" t="s">
        <v>104</v>
      </c>
      <c r="AU486" s="1" t="s">
        <v>104</v>
      </c>
      <c r="AV486" s="1" t="s">
        <v>104</v>
      </c>
      <c r="AX486" s="1" t="str">
        <f>IFERROR(__xludf.DUMMYFUNCTION("""COMPUTED_VALUE"""),"")</f>
        <v/>
      </c>
      <c r="AZ486" s="1" t="str">
        <f>IFERROR(__xludf.DUMMYFUNCTION("""COMPUTED_VALUE"""),"")</f>
        <v/>
      </c>
      <c r="BB486" s="1" t="s">
        <v>104</v>
      </c>
      <c r="BC486" s="1" t="s">
        <v>104</v>
      </c>
      <c r="BE486" s="1" t="s">
        <v>104</v>
      </c>
      <c r="BG486" s="1" t="s">
        <v>104</v>
      </c>
      <c r="BH486" s="1" t="s">
        <v>104</v>
      </c>
      <c r="BI486" s="1" t="s">
        <v>104</v>
      </c>
      <c r="BJ486" s="1" t="s">
        <v>104</v>
      </c>
      <c r="BK486" s="1" t="s">
        <v>104</v>
      </c>
      <c r="BL486" s="1" t="s">
        <v>104</v>
      </c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N487" s="1" t="s">
        <v>104</v>
      </c>
      <c r="AO487" s="1" t="s">
        <v>104</v>
      </c>
      <c r="AP487" s="1" t="s">
        <v>104</v>
      </c>
      <c r="AQ487" s="1" t="s">
        <v>104</v>
      </c>
      <c r="AR487" s="1" t="s">
        <v>104</v>
      </c>
      <c r="AS487" s="1" t="s">
        <v>104</v>
      </c>
      <c r="AU487" s="1" t="s">
        <v>104</v>
      </c>
      <c r="AV487" s="1" t="s">
        <v>104</v>
      </c>
      <c r="AX487" s="1" t="str">
        <f>IFERROR(__xludf.DUMMYFUNCTION("""COMPUTED_VALUE"""),"")</f>
        <v/>
      </c>
      <c r="AZ487" s="1" t="str">
        <f>IFERROR(__xludf.DUMMYFUNCTION("""COMPUTED_VALUE"""),"")</f>
        <v/>
      </c>
      <c r="BB487" s="1" t="s">
        <v>104</v>
      </c>
      <c r="BC487" s="1" t="s">
        <v>104</v>
      </c>
      <c r="BE487" s="1" t="s">
        <v>104</v>
      </c>
      <c r="BG487" s="1" t="s">
        <v>104</v>
      </c>
      <c r="BH487" s="1" t="s">
        <v>104</v>
      </c>
      <c r="BI487" s="1" t="s">
        <v>104</v>
      </c>
      <c r="BJ487" s="1" t="s">
        <v>104</v>
      </c>
      <c r="BK487" s="1" t="s">
        <v>104</v>
      </c>
      <c r="BL487" s="1" t="s">
        <v>104</v>
      </c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N488" s="1" t="s">
        <v>104</v>
      </c>
      <c r="AO488" s="1" t="s">
        <v>104</v>
      </c>
      <c r="AP488" s="1" t="s">
        <v>104</v>
      </c>
      <c r="AQ488" s="1" t="s">
        <v>104</v>
      </c>
      <c r="AR488" s="1" t="s">
        <v>104</v>
      </c>
      <c r="AS488" s="1" t="s">
        <v>104</v>
      </c>
      <c r="AU488" s="1" t="s">
        <v>104</v>
      </c>
      <c r="AV488" s="1" t="s">
        <v>104</v>
      </c>
      <c r="AX488" s="1" t="str">
        <f>IFERROR(__xludf.DUMMYFUNCTION("""COMPUTED_VALUE"""),"")</f>
        <v/>
      </c>
      <c r="AZ488" s="1" t="str">
        <f>IFERROR(__xludf.DUMMYFUNCTION("""COMPUTED_VALUE"""),"")</f>
        <v/>
      </c>
      <c r="BB488" s="1" t="s">
        <v>104</v>
      </c>
      <c r="BC488" s="1" t="s">
        <v>104</v>
      </c>
      <c r="BE488" s="1" t="s">
        <v>104</v>
      </c>
      <c r="BG488" s="1" t="s">
        <v>104</v>
      </c>
      <c r="BH488" s="1" t="s">
        <v>104</v>
      </c>
      <c r="BI488" s="1" t="s">
        <v>104</v>
      </c>
      <c r="BJ488" s="1" t="s">
        <v>104</v>
      </c>
      <c r="BK488" s="1" t="s">
        <v>104</v>
      </c>
      <c r="BL488" s="1" t="s">
        <v>104</v>
      </c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N489" s="1" t="s">
        <v>104</v>
      </c>
      <c r="AO489" s="1" t="s">
        <v>104</v>
      </c>
      <c r="AP489" s="1" t="s">
        <v>104</v>
      </c>
      <c r="AQ489" s="1" t="s">
        <v>104</v>
      </c>
      <c r="AR489" s="1" t="s">
        <v>104</v>
      </c>
      <c r="AS489" s="1" t="s">
        <v>104</v>
      </c>
      <c r="AU489" s="1" t="s">
        <v>104</v>
      </c>
      <c r="AV489" s="1" t="s">
        <v>104</v>
      </c>
      <c r="AX489" s="1" t="str">
        <f>IFERROR(__xludf.DUMMYFUNCTION("""COMPUTED_VALUE"""),"")</f>
        <v/>
      </c>
      <c r="AZ489" s="1" t="str">
        <f>IFERROR(__xludf.DUMMYFUNCTION("""COMPUTED_VALUE"""),"")</f>
        <v/>
      </c>
      <c r="BB489" s="1" t="s">
        <v>104</v>
      </c>
      <c r="BC489" s="1" t="s">
        <v>104</v>
      </c>
      <c r="BE489" s="1" t="s">
        <v>104</v>
      </c>
      <c r="BG489" s="1" t="s">
        <v>104</v>
      </c>
      <c r="BH489" s="1" t="s">
        <v>104</v>
      </c>
      <c r="BI489" s="1" t="s">
        <v>104</v>
      </c>
      <c r="BJ489" s="1" t="s">
        <v>104</v>
      </c>
      <c r="BK489" s="1" t="s">
        <v>104</v>
      </c>
      <c r="BL489" s="1" t="s">
        <v>104</v>
      </c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N490" s="1" t="s">
        <v>104</v>
      </c>
      <c r="AO490" s="1" t="s">
        <v>104</v>
      </c>
      <c r="AP490" s="1" t="s">
        <v>104</v>
      </c>
      <c r="AQ490" s="1" t="s">
        <v>104</v>
      </c>
      <c r="AR490" s="1" t="s">
        <v>104</v>
      </c>
      <c r="AS490" s="1" t="s">
        <v>104</v>
      </c>
      <c r="AU490" s="1" t="s">
        <v>104</v>
      </c>
      <c r="AV490" s="1" t="s">
        <v>104</v>
      </c>
      <c r="AX490" s="1" t="str">
        <f>IFERROR(__xludf.DUMMYFUNCTION("""COMPUTED_VALUE"""),"")</f>
        <v/>
      </c>
      <c r="AZ490" s="1" t="str">
        <f>IFERROR(__xludf.DUMMYFUNCTION("""COMPUTED_VALUE"""),"")</f>
        <v/>
      </c>
      <c r="BB490" s="1" t="s">
        <v>104</v>
      </c>
      <c r="BC490" s="1" t="s">
        <v>104</v>
      </c>
      <c r="BE490" s="1" t="s">
        <v>104</v>
      </c>
      <c r="BG490" s="1" t="s">
        <v>104</v>
      </c>
      <c r="BH490" s="1" t="s">
        <v>104</v>
      </c>
      <c r="BI490" s="1" t="s">
        <v>104</v>
      </c>
      <c r="BJ490" s="1" t="s">
        <v>104</v>
      </c>
      <c r="BK490" s="1" t="s">
        <v>104</v>
      </c>
      <c r="BL490" s="1" t="s">
        <v>104</v>
      </c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N491" s="1" t="s">
        <v>104</v>
      </c>
      <c r="AO491" s="1" t="s">
        <v>104</v>
      </c>
      <c r="AP491" s="1" t="s">
        <v>104</v>
      </c>
      <c r="AQ491" s="1" t="s">
        <v>104</v>
      </c>
      <c r="AR491" s="1" t="s">
        <v>104</v>
      </c>
      <c r="AS491" s="1" t="s">
        <v>104</v>
      </c>
      <c r="AU491" s="1" t="s">
        <v>104</v>
      </c>
      <c r="AV491" s="1" t="s">
        <v>104</v>
      </c>
      <c r="AX491" s="1" t="str">
        <f>IFERROR(__xludf.DUMMYFUNCTION("""COMPUTED_VALUE"""),"")</f>
        <v/>
      </c>
      <c r="AZ491" s="1" t="str">
        <f>IFERROR(__xludf.DUMMYFUNCTION("""COMPUTED_VALUE"""),"")</f>
        <v/>
      </c>
      <c r="BB491" s="1" t="s">
        <v>104</v>
      </c>
      <c r="BC491" s="1" t="s">
        <v>104</v>
      </c>
      <c r="BE491" s="1" t="s">
        <v>104</v>
      </c>
      <c r="BG491" s="1" t="s">
        <v>104</v>
      </c>
      <c r="BH491" s="1" t="s">
        <v>104</v>
      </c>
      <c r="BI491" s="1" t="s">
        <v>104</v>
      </c>
      <c r="BJ491" s="1" t="s">
        <v>104</v>
      </c>
      <c r="BK491" s="1" t="s">
        <v>104</v>
      </c>
      <c r="BL491" s="1" t="s">
        <v>104</v>
      </c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N492" s="1" t="s">
        <v>104</v>
      </c>
      <c r="AO492" s="1" t="s">
        <v>104</v>
      </c>
      <c r="AP492" s="1" t="s">
        <v>104</v>
      </c>
      <c r="AQ492" s="1" t="s">
        <v>104</v>
      </c>
      <c r="AR492" s="1" t="s">
        <v>104</v>
      </c>
      <c r="AS492" s="1" t="s">
        <v>104</v>
      </c>
      <c r="AU492" s="1" t="s">
        <v>104</v>
      </c>
      <c r="AV492" s="1" t="s">
        <v>104</v>
      </c>
      <c r="AX492" s="1" t="str">
        <f>IFERROR(__xludf.DUMMYFUNCTION("""COMPUTED_VALUE"""),"")</f>
        <v/>
      </c>
      <c r="AZ492" s="1" t="str">
        <f>IFERROR(__xludf.DUMMYFUNCTION("""COMPUTED_VALUE"""),"")</f>
        <v/>
      </c>
      <c r="BB492" s="1" t="s">
        <v>104</v>
      </c>
      <c r="BC492" s="1" t="s">
        <v>104</v>
      </c>
      <c r="BE492" s="1" t="s">
        <v>104</v>
      </c>
      <c r="BG492" s="1" t="s">
        <v>104</v>
      </c>
      <c r="BH492" s="1" t="s">
        <v>104</v>
      </c>
      <c r="BI492" s="1" t="s">
        <v>104</v>
      </c>
      <c r="BJ492" s="1" t="s">
        <v>104</v>
      </c>
      <c r="BK492" s="1" t="s">
        <v>104</v>
      </c>
      <c r="BL492" s="1" t="s">
        <v>104</v>
      </c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N493" s="1" t="s">
        <v>104</v>
      </c>
      <c r="AO493" s="1" t="s">
        <v>104</v>
      </c>
      <c r="AP493" s="1" t="s">
        <v>104</v>
      </c>
      <c r="AQ493" s="1" t="s">
        <v>104</v>
      </c>
      <c r="AR493" s="1" t="s">
        <v>104</v>
      </c>
      <c r="AS493" s="1" t="s">
        <v>104</v>
      </c>
      <c r="AU493" s="1" t="s">
        <v>104</v>
      </c>
      <c r="AV493" s="1" t="s">
        <v>104</v>
      </c>
      <c r="AX493" s="1" t="str">
        <f>IFERROR(__xludf.DUMMYFUNCTION("""COMPUTED_VALUE"""),"")</f>
        <v/>
      </c>
      <c r="AZ493" s="1" t="str">
        <f>IFERROR(__xludf.DUMMYFUNCTION("""COMPUTED_VALUE"""),"")</f>
        <v/>
      </c>
      <c r="BB493" s="1" t="s">
        <v>104</v>
      </c>
      <c r="BC493" s="1" t="s">
        <v>104</v>
      </c>
      <c r="BE493" s="1" t="s">
        <v>104</v>
      </c>
      <c r="BG493" s="1" t="s">
        <v>104</v>
      </c>
      <c r="BH493" s="1" t="s">
        <v>104</v>
      </c>
      <c r="BI493" s="1" t="s">
        <v>104</v>
      </c>
      <c r="BJ493" s="1" t="s">
        <v>104</v>
      </c>
      <c r="BK493" s="1" t="s">
        <v>104</v>
      </c>
      <c r="BL493" s="1" t="s">
        <v>104</v>
      </c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N494" s="1" t="s">
        <v>104</v>
      </c>
      <c r="AO494" s="1" t="s">
        <v>104</v>
      </c>
      <c r="AP494" s="1" t="s">
        <v>104</v>
      </c>
      <c r="AQ494" s="1" t="s">
        <v>104</v>
      </c>
      <c r="AR494" s="1" t="s">
        <v>104</v>
      </c>
      <c r="AS494" s="1" t="s">
        <v>104</v>
      </c>
      <c r="AU494" s="1" t="s">
        <v>104</v>
      </c>
      <c r="AV494" s="1" t="s">
        <v>104</v>
      </c>
      <c r="AX494" s="1" t="str">
        <f>IFERROR(__xludf.DUMMYFUNCTION("""COMPUTED_VALUE"""),"")</f>
        <v/>
      </c>
      <c r="AZ494" s="1" t="str">
        <f>IFERROR(__xludf.DUMMYFUNCTION("""COMPUTED_VALUE"""),"")</f>
        <v/>
      </c>
      <c r="BB494" s="1" t="s">
        <v>104</v>
      </c>
      <c r="BC494" s="1" t="s">
        <v>104</v>
      </c>
      <c r="BE494" s="1" t="s">
        <v>104</v>
      </c>
      <c r="BG494" s="1" t="s">
        <v>104</v>
      </c>
      <c r="BH494" s="1" t="s">
        <v>104</v>
      </c>
      <c r="BI494" s="1" t="s">
        <v>104</v>
      </c>
      <c r="BJ494" s="1" t="s">
        <v>104</v>
      </c>
      <c r="BK494" s="1" t="s">
        <v>104</v>
      </c>
      <c r="BL494" s="1" t="s">
        <v>104</v>
      </c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N495" s="1" t="s">
        <v>104</v>
      </c>
      <c r="AO495" s="1" t="s">
        <v>104</v>
      </c>
      <c r="AP495" s="1" t="s">
        <v>104</v>
      </c>
      <c r="AQ495" s="1" t="s">
        <v>104</v>
      </c>
      <c r="AR495" s="1" t="s">
        <v>104</v>
      </c>
      <c r="AS495" s="1" t="s">
        <v>104</v>
      </c>
      <c r="AU495" s="1" t="s">
        <v>104</v>
      </c>
      <c r="AV495" s="1" t="s">
        <v>104</v>
      </c>
      <c r="AX495" s="1" t="str">
        <f>IFERROR(__xludf.DUMMYFUNCTION("""COMPUTED_VALUE"""),"")</f>
        <v/>
      </c>
      <c r="AZ495" s="1" t="str">
        <f>IFERROR(__xludf.DUMMYFUNCTION("""COMPUTED_VALUE"""),"")</f>
        <v/>
      </c>
      <c r="BB495" s="1" t="s">
        <v>104</v>
      </c>
      <c r="BC495" s="1" t="s">
        <v>104</v>
      </c>
      <c r="BE495" s="1" t="s">
        <v>104</v>
      </c>
      <c r="BG495" s="1" t="s">
        <v>104</v>
      </c>
      <c r="BH495" s="1" t="s">
        <v>104</v>
      </c>
      <c r="BI495" s="1" t="s">
        <v>104</v>
      </c>
      <c r="BJ495" s="1" t="s">
        <v>104</v>
      </c>
      <c r="BK495" s="1" t="s">
        <v>104</v>
      </c>
      <c r="BL495" s="1" t="s">
        <v>104</v>
      </c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N496" s="1" t="s">
        <v>104</v>
      </c>
      <c r="AO496" s="1" t="s">
        <v>104</v>
      </c>
      <c r="AP496" s="1" t="s">
        <v>104</v>
      </c>
      <c r="AQ496" s="1" t="s">
        <v>104</v>
      </c>
      <c r="AR496" s="1" t="s">
        <v>104</v>
      </c>
      <c r="AS496" s="1" t="s">
        <v>104</v>
      </c>
      <c r="AU496" s="1" t="s">
        <v>104</v>
      </c>
      <c r="AV496" s="1" t="s">
        <v>104</v>
      </c>
      <c r="AX496" s="1" t="str">
        <f>IFERROR(__xludf.DUMMYFUNCTION("""COMPUTED_VALUE"""),"")</f>
        <v/>
      </c>
      <c r="AZ496" s="1" t="str">
        <f>IFERROR(__xludf.DUMMYFUNCTION("""COMPUTED_VALUE"""),"")</f>
        <v/>
      </c>
      <c r="BB496" s="1" t="s">
        <v>104</v>
      </c>
      <c r="BC496" s="1" t="s">
        <v>104</v>
      </c>
      <c r="BE496" s="1" t="s">
        <v>104</v>
      </c>
      <c r="BG496" s="1" t="s">
        <v>104</v>
      </c>
      <c r="BH496" s="1" t="s">
        <v>104</v>
      </c>
      <c r="BI496" s="1" t="s">
        <v>104</v>
      </c>
      <c r="BJ496" s="1" t="s">
        <v>104</v>
      </c>
      <c r="BK496" s="1" t="s">
        <v>104</v>
      </c>
      <c r="BL496" s="1" t="s">
        <v>104</v>
      </c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N497" s="1" t="s">
        <v>104</v>
      </c>
      <c r="AO497" s="1" t="s">
        <v>104</v>
      </c>
      <c r="AP497" s="1" t="s">
        <v>104</v>
      </c>
      <c r="AQ497" s="1" t="s">
        <v>104</v>
      </c>
      <c r="AR497" s="1" t="s">
        <v>104</v>
      </c>
      <c r="AS497" s="1" t="s">
        <v>104</v>
      </c>
      <c r="AU497" s="1" t="s">
        <v>104</v>
      </c>
      <c r="AV497" s="1" t="s">
        <v>104</v>
      </c>
      <c r="AX497" s="1" t="str">
        <f>IFERROR(__xludf.DUMMYFUNCTION("""COMPUTED_VALUE"""),"")</f>
        <v/>
      </c>
      <c r="AZ497" s="1" t="str">
        <f>IFERROR(__xludf.DUMMYFUNCTION("""COMPUTED_VALUE"""),"")</f>
        <v/>
      </c>
      <c r="BB497" s="1" t="s">
        <v>104</v>
      </c>
      <c r="BC497" s="1" t="s">
        <v>104</v>
      </c>
      <c r="BE497" s="1" t="s">
        <v>104</v>
      </c>
      <c r="BG497" s="1" t="s">
        <v>104</v>
      </c>
      <c r="BH497" s="1" t="s">
        <v>104</v>
      </c>
      <c r="BI497" s="1" t="s">
        <v>104</v>
      </c>
      <c r="BJ497" s="1" t="s">
        <v>104</v>
      </c>
      <c r="BK497" s="1" t="s">
        <v>104</v>
      </c>
      <c r="BL497" s="1" t="s">
        <v>104</v>
      </c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N498" s="1" t="s">
        <v>104</v>
      </c>
      <c r="AO498" s="1" t="s">
        <v>104</v>
      </c>
      <c r="AP498" s="1" t="s">
        <v>104</v>
      </c>
      <c r="AQ498" s="1" t="s">
        <v>104</v>
      </c>
      <c r="AR498" s="1" t="s">
        <v>104</v>
      </c>
      <c r="AS498" s="1" t="s">
        <v>104</v>
      </c>
      <c r="AU498" s="1" t="s">
        <v>104</v>
      </c>
      <c r="AV498" s="1" t="s">
        <v>104</v>
      </c>
      <c r="AX498" s="1" t="str">
        <f>IFERROR(__xludf.DUMMYFUNCTION("""COMPUTED_VALUE"""),"")</f>
        <v/>
      </c>
      <c r="AZ498" s="1" t="str">
        <f>IFERROR(__xludf.DUMMYFUNCTION("""COMPUTED_VALUE"""),"")</f>
        <v/>
      </c>
      <c r="BB498" s="1" t="s">
        <v>104</v>
      </c>
      <c r="BC498" s="1" t="s">
        <v>104</v>
      </c>
      <c r="BE498" s="1" t="s">
        <v>104</v>
      </c>
      <c r="BG498" s="1" t="s">
        <v>104</v>
      </c>
      <c r="BH498" s="1" t="s">
        <v>104</v>
      </c>
      <c r="BI498" s="1" t="s">
        <v>104</v>
      </c>
      <c r="BJ498" s="1" t="s">
        <v>104</v>
      </c>
      <c r="BK498" s="1" t="s">
        <v>104</v>
      </c>
      <c r="BL498" s="1" t="s">
        <v>104</v>
      </c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N499" s="1" t="s">
        <v>104</v>
      </c>
      <c r="AO499" s="1" t="s">
        <v>104</v>
      </c>
      <c r="AP499" s="1" t="s">
        <v>104</v>
      </c>
      <c r="AQ499" s="1" t="s">
        <v>104</v>
      </c>
      <c r="AR499" s="1" t="s">
        <v>104</v>
      </c>
      <c r="AS499" s="1" t="s">
        <v>104</v>
      </c>
      <c r="AU499" s="1" t="s">
        <v>104</v>
      </c>
      <c r="AV499" s="1" t="s">
        <v>104</v>
      </c>
      <c r="AX499" s="1" t="str">
        <f>IFERROR(__xludf.DUMMYFUNCTION("""COMPUTED_VALUE"""),"")</f>
        <v/>
      </c>
      <c r="AZ499" s="1" t="str">
        <f>IFERROR(__xludf.DUMMYFUNCTION("""COMPUTED_VALUE"""),"")</f>
        <v/>
      </c>
      <c r="BB499" s="1" t="s">
        <v>104</v>
      </c>
      <c r="BC499" s="1" t="s">
        <v>104</v>
      </c>
      <c r="BE499" s="1" t="s">
        <v>104</v>
      </c>
      <c r="BG499" s="1" t="s">
        <v>104</v>
      </c>
      <c r="BH499" s="1" t="s">
        <v>104</v>
      </c>
      <c r="BI499" s="1" t="s">
        <v>104</v>
      </c>
      <c r="BJ499" s="1" t="s">
        <v>104</v>
      </c>
      <c r="BK499" s="1" t="s">
        <v>104</v>
      </c>
      <c r="BL499" s="1" t="s">
        <v>104</v>
      </c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N500" s="1" t="s">
        <v>104</v>
      </c>
      <c r="AO500" s="1" t="s">
        <v>104</v>
      </c>
      <c r="AP500" s="1" t="s">
        <v>104</v>
      </c>
      <c r="AQ500" s="1" t="s">
        <v>104</v>
      </c>
      <c r="AR500" s="1" t="s">
        <v>104</v>
      </c>
      <c r="AS500" s="1" t="s">
        <v>104</v>
      </c>
      <c r="AU500" s="1" t="s">
        <v>104</v>
      </c>
      <c r="AV500" s="1" t="s">
        <v>104</v>
      </c>
      <c r="AX500" s="1" t="str">
        <f>IFERROR(__xludf.DUMMYFUNCTION("""COMPUTED_VALUE"""),"")</f>
        <v/>
      </c>
      <c r="AZ500" s="1" t="str">
        <f>IFERROR(__xludf.DUMMYFUNCTION("""COMPUTED_VALUE"""),"")</f>
        <v/>
      </c>
      <c r="BB500" s="1" t="s">
        <v>104</v>
      </c>
      <c r="BC500" s="1" t="s">
        <v>104</v>
      </c>
      <c r="BE500" s="1" t="s">
        <v>104</v>
      </c>
      <c r="BG500" s="1" t="s">
        <v>104</v>
      </c>
      <c r="BH500" s="1" t="s">
        <v>104</v>
      </c>
      <c r="BI500" s="1" t="s">
        <v>104</v>
      </c>
      <c r="BJ500" s="1" t="s">
        <v>104</v>
      </c>
      <c r="BK500" s="1" t="s">
        <v>104</v>
      </c>
      <c r="BL500" s="1" t="s">
        <v>104</v>
      </c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N501" s="1" t="s">
        <v>104</v>
      </c>
      <c r="AO501" s="1" t="s">
        <v>104</v>
      </c>
      <c r="AP501" s="1" t="s">
        <v>104</v>
      </c>
      <c r="AQ501" s="1" t="s">
        <v>104</v>
      </c>
      <c r="AR501" s="1" t="s">
        <v>104</v>
      </c>
      <c r="AS501" s="1" t="s">
        <v>104</v>
      </c>
      <c r="AU501" s="1" t="s">
        <v>104</v>
      </c>
      <c r="AV501" s="1" t="s">
        <v>104</v>
      </c>
      <c r="AX501" s="1" t="str">
        <f>IFERROR(__xludf.DUMMYFUNCTION("""COMPUTED_VALUE"""),"")</f>
        <v/>
      </c>
      <c r="AZ501" s="1" t="str">
        <f>IFERROR(__xludf.DUMMYFUNCTION("""COMPUTED_VALUE"""),"")</f>
        <v/>
      </c>
      <c r="BB501" s="1" t="s">
        <v>104</v>
      </c>
      <c r="BC501" s="1" t="s">
        <v>104</v>
      </c>
      <c r="BE501" s="1" t="s">
        <v>104</v>
      </c>
      <c r="BG501" s="1" t="s">
        <v>104</v>
      </c>
      <c r="BH501" s="1" t="s">
        <v>104</v>
      </c>
      <c r="BI501" s="1" t="s">
        <v>104</v>
      </c>
      <c r="BJ501" s="1" t="s">
        <v>104</v>
      </c>
      <c r="BK501" s="1" t="s">
        <v>104</v>
      </c>
      <c r="BL501" s="1" t="s">
        <v>104</v>
      </c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N502" s="1" t="s">
        <v>104</v>
      </c>
      <c r="AO502" s="1" t="s">
        <v>104</v>
      </c>
      <c r="AP502" s="1" t="s">
        <v>104</v>
      </c>
      <c r="AQ502" s="1" t="s">
        <v>104</v>
      </c>
      <c r="AR502" s="1" t="s">
        <v>104</v>
      </c>
      <c r="AS502" s="1" t="s">
        <v>104</v>
      </c>
      <c r="AU502" s="1" t="s">
        <v>104</v>
      </c>
      <c r="AV502" s="1" t="s">
        <v>104</v>
      </c>
      <c r="AX502" s="1" t="str">
        <f>IFERROR(__xludf.DUMMYFUNCTION("""COMPUTED_VALUE"""),"")</f>
        <v/>
      </c>
      <c r="AZ502" s="1" t="str">
        <f>IFERROR(__xludf.DUMMYFUNCTION("""COMPUTED_VALUE"""),"")</f>
        <v/>
      </c>
      <c r="BB502" s="1" t="s">
        <v>104</v>
      </c>
      <c r="BC502" s="1" t="s">
        <v>104</v>
      </c>
      <c r="BE502" s="1" t="s">
        <v>104</v>
      </c>
      <c r="BG502" s="1" t="s">
        <v>104</v>
      </c>
      <c r="BH502" s="1" t="s">
        <v>104</v>
      </c>
      <c r="BI502" s="1" t="s">
        <v>104</v>
      </c>
      <c r="BJ502" s="1" t="s">
        <v>104</v>
      </c>
      <c r="BK502" s="1" t="s">
        <v>104</v>
      </c>
      <c r="BL502" s="1" t="s">
        <v>104</v>
      </c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N503" s="1" t="s">
        <v>104</v>
      </c>
      <c r="AO503" s="1" t="s">
        <v>104</v>
      </c>
      <c r="AP503" s="1" t="s">
        <v>104</v>
      </c>
      <c r="AQ503" s="1" t="s">
        <v>104</v>
      </c>
      <c r="AR503" s="1" t="s">
        <v>104</v>
      </c>
      <c r="AS503" s="1" t="s">
        <v>104</v>
      </c>
      <c r="AU503" s="1" t="s">
        <v>104</v>
      </c>
      <c r="AV503" s="1" t="s">
        <v>104</v>
      </c>
      <c r="AX503" s="1" t="str">
        <f>IFERROR(__xludf.DUMMYFUNCTION("""COMPUTED_VALUE"""),"")</f>
        <v/>
      </c>
      <c r="AZ503" s="1" t="str">
        <f>IFERROR(__xludf.DUMMYFUNCTION("""COMPUTED_VALUE"""),"")</f>
        <v/>
      </c>
      <c r="BB503" s="1" t="s">
        <v>104</v>
      </c>
      <c r="BC503" s="1" t="s">
        <v>104</v>
      </c>
      <c r="BE503" s="1" t="s">
        <v>104</v>
      </c>
      <c r="BG503" s="1" t="s">
        <v>104</v>
      </c>
      <c r="BH503" s="1" t="s">
        <v>104</v>
      </c>
      <c r="BI503" s="1" t="s">
        <v>104</v>
      </c>
      <c r="BJ503" s="1" t="s">
        <v>104</v>
      </c>
      <c r="BK503" s="1" t="s">
        <v>104</v>
      </c>
      <c r="BL503" s="1" t="s">
        <v>104</v>
      </c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N504" s="1" t="s">
        <v>104</v>
      </c>
      <c r="AO504" s="1" t="s">
        <v>104</v>
      </c>
      <c r="AP504" s="1" t="s">
        <v>104</v>
      </c>
      <c r="AQ504" s="1" t="s">
        <v>104</v>
      </c>
      <c r="AR504" s="1" t="s">
        <v>104</v>
      </c>
      <c r="AS504" s="1" t="s">
        <v>104</v>
      </c>
      <c r="AU504" s="1" t="s">
        <v>104</v>
      </c>
      <c r="AV504" s="1" t="s">
        <v>104</v>
      </c>
      <c r="AX504" s="1" t="str">
        <f>IFERROR(__xludf.DUMMYFUNCTION("""COMPUTED_VALUE"""),"")</f>
        <v/>
      </c>
      <c r="AZ504" s="1" t="str">
        <f>IFERROR(__xludf.DUMMYFUNCTION("""COMPUTED_VALUE"""),"")</f>
        <v/>
      </c>
      <c r="BB504" s="1" t="s">
        <v>104</v>
      </c>
      <c r="BC504" s="1" t="s">
        <v>104</v>
      </c>
      <c r="BE504" s="1" t="s">
        <v>104</v>
      </c>
      <c r="BG504" s="1" t="s">
        <v>104</v>
      </c>
      <c r="BH504" s="1" t="s">
        <v>104</v>
      </c>
      <c r="BI504" s="1" t="s">
        <v>104</v>
      </c>
      <c r="BJ504" s="1" t="s">
        <v>104</v>
      </c>
      <c r="BK504" s="1" t="s">
        <v>104</v>
      </c>
      <c r="BL504" s="1" t="s">
        <v>104</v>
      </c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N505" s="1" t="s">
        <v>104</v>
      </c>
      <c r="AO505" s="1" t="s">
        <v>104</v>
      </c>
      <c r="AP505" s="1" t="s">
        <v>104</v>
      </c>
      <c r="AQ505" s="1" t="s">
        <v>104</v>
      </c>
      <c r="AR505" s="1" t="s">
        <v>104</v>
      </c>
      <c r="AS505" s="1" t="s">
        <v>104</v>
      </c>
      <c r="AU505" s="1" t="s">
        <v>104</v>
      </c>
      <c r="AV505" s="1" t="s">
        <v>104</v>
      </c>
      <c r="AX505" s="1" t="str">
        <f>IFERROR(__xludf.DUMMYFUNCTION("""COMPUTED_VALUE"""),"")</f>
        <v/>
      </c>
      <c r="AZ505" s="1" t="str">
        <f>IFERROR(__xludf.DUMMYFUNCTION("""COMPUTED_VALUE"""),"")</f>
        <v/>
      </c>
      <c r="BB505" s="1" t="s">
        <v>104</v>
      </c>
      <c r="BC505" s="1" t="s">
        <v>104</v>
      </c>
      <c r="BE505" s="1" t="s">
        <v>104</v>
      </c>
      <c r="BG505" s="1" t="s">
        <v>104</v>
      </c>
      <c r="BH505" s="1" t="s">
        <v>104</v>
      </c>
      <c r="BI505" s="1" t="s">
        <v>104</v>
      </c>
      <c r="BJ505" s="1" t="s">
        <v>104</v>
      </c>
      <c r="BK505" s="1" t="s">
        <v>104</v>
      </c>
      <c r="BL505" s="1" t="s">
        <v>104</v>
      </c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N506" s="1" t="s">
        <v>104</v>
      </c>
      <c r="AO506" s="1" t="s">
        <v>104</v>
      </c>
      <c r="AP506" s="1" t="s">
        <v>104</v>
      </c>
      <c r="AQ506" s="1" t="s">
        <v>104</v>
      </c>
      <c r="AR506" s="1" t="s">
        <v>104</v>
      </c>
      <c r="AS506" s="1" t="s">
        <v>104</v>
      </c>
      <c r="AU506" s="1" t="s">
        <v>104</v>
      </c>
      <c r="AV506" s="1" t="s">
        <v>104</v>
      </c>
      <c r="AX506" s="1" t="str">
        <f>IFERROR(__xludf.DUMMYFUNCTION("""COMPUTED_VALUE"""),"")</f>
        <v/>
      </c>
      <c r="AZ506" s="1" t="str">
        <f>IFERROR(__xludf.DUMMYFUNCTION("""COMPUTED_VALUE"""),"")</f>
        <v/>
      </c>
      <c r="BB506" s="1" t="s">
        <v>104</v>
      </c>
      <c r="BC506" s="1" t="s">
        <v>104</v>
      </c>
      <c r="BE506" s="1" t="s">
        <v>104</v>
      </c>
      <c r="BG506" s="1" t="s">
        <v>104</v>
      </c>
      <c r="BH506" s="1" t="s">
        <v>104</v>
      </c>
      <c r="BI506" s="1" t="s">
        <v>104</v>
      </c>
      <c r="BJ506" s="1" t="s">
        <v>104</v>
      </c>
      <c r="BK506" s="1" t="s">
        <v>104</v>
      </c>
      <c r="BL506" s="1" t="s">
        <v>104</v>
      </c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N507" s="1" t="s">
        <v>104</v>
      </c>
      <c r="AO507" s="1" t="s">
        <v>104</v>
      </c>
      <c r="AP507" s="1" t="s">
        <v>104</v>
      </c>
      <c r="AQ507" s="1" t="s">
        <v>104</v>
      </c>
      <c r="AR507" s="1" t="s">
        <v>104</v>
      </c>
      <c r="AS507" s="1" t="s">
        <v>104</v>
      </c>
      <c r="AU507" s="1" t="s">
        <v>104</v>
      </c>
      <c r="AV507" s="1" t="s">
        <v>104</v>
      </c>
      <c r="AX507" s="1" t="str">
        <f>IFERROR(__xludf.DUMMYFUNCTION("""COMPUTED_VALUE"""),"")</f>
        <v/>
      </c>
      <c r="AZ507" s="1" t="str">
        <f>IFERROR(__xludf.DUMMYFUNCTION("""COMPUTED_VALUE"""),"")</f>
        <v/>
      </c>
      <c r="BB507" s="1" t="s">
        <v>104</v>
      </c>
      <c r="BC507" s="1" t="s">
        <v>104</v>
      </c>
      <c r="BE507" s="1" t="s">
        <v>104</v>
      </c>
      <c r="BG507" s="1" t="s">
        <v>104</v>
      </c>
      <c r="BH507" s="1" t="s">
        <v>104</v>
      </c>
      <c r="BI507" s="1" t="s">
        <v>104</v>
      </c>
      <c r="BJ507" s="1" t="s">
        <v>104</v>
      </c>
      <c r="BK507" s="1" t="s">
        <v>104</v>
      </c>
      <c r="BL507" s="1" t="s">
        <v>104</v>
      </c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N508" s="1" t="s">
        <v>104</v>
      </c>
      <c r="AO508" s="1" t="s">
        <v>104</v>
      </c>
      <c r="AP508" s="1" t="s">
        <v>104</v>
      </c>
      <c r="AQ508" s="1" t="s">
        <v>104</v>
      </c>
      <c r="AR508" s="1" t="s">
        <v>104</v>
      </c>
      <c r="AS508" s="1" t="s">
        <v>104</v>
      </c>
      <c r="AU508" s="1" t="s">
        <v>104</v>
      </c>
      <c r="AV508" s="1" t="s">
        <v>104</v>
      </c>
      <c r="AX508" s="1" t="str">
        <f>IFERROR(__xludf.DUMMYFUNCTION("""COMPUTED_VALUE"""),"")</f>
        <v/>
      </c>
      <c r="AZ508" s="1" t="str">
        <f>IFERROR(__xludf.DUMMYFUNCTION("""COMPUTED_VALUE"""),"")</f>
        <v/>
      </c>
      <c r="BB508" s="1" t="s">
        <v>104</v>
      </c>
      <c r="BC508" s="1" t="s">
        <v>104</v>
      </c>
      <c r="BE508" s="1" t="s">
        <v>104</v>
      </c>
      <c r="BG508" s="1" t="s">
        <v>104</v>
      </c>
      <c r="BH508" s="1" t="s">
        <v>104</v>
      </c>
      <c r="BI508" s="1" t="s">
        <v>104</v>
      </c>
      <c r="BJ508" s="1" t="s">
        <v>104</v>
      </c>
      <c r="BK508" s="1" t="s">
        <v>104</v>
      </c>
      <c r="BL508" s="1" t="s">
        <v>104</v>
      </c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N509" s="1" t="s">
        <v>104</v>
      </c>
      <c r="AO509" s="1" t="s">
        <v>104</v>
      </c>
      <c r="AP509" s="1" t="s">
        <v>104</v>
      </c>
      <c r="AQ509" s="1" t="s">
        <v>104</v>
      </c>
      <c r="AR509" s="1" t="s">
        <v>104</v>
      </c>
      <c r="AS509" s="1" t="s">
        <v>104</v>
      </c>
      <c r="AU509" s="1" t="s">
        <v>104</v>
      </c>
      <c r="AV509" s="1" t="s">
        <v>104</v>
      </c>
      <c r="AX509" s="1" t="str">
        <f>IFERROR(__xludf.DUMMYFUNCTION("""COMPUTED_VALUE"""),"")</f>
        <v/>
      </c>
      <c r="AZ509" s="1" t="str">
        <f>IFERROR(__xludf.DUMMYFUNCTION("""COMPUTED_VALUE"""),"")</f>
        <v/>
      </c>
      <c r="BB509" s="1" t="s">
        <v>104</v>
      </c>
      <c r="BC509" s="1" t="s">
        <v>104</v>
      </c>
      <c r="BE509" s="1" t="s">
        <v>104</v>
      </c>
      <c r="BG509" s="1" t="s">
        <v>104</v>
      </c>
      <c r="BH509" s="1" t="s">
        <v>104</v>
      </c>
      <c r="BI509" s="1" t="s">
        <v>104</v>
      </c>
      <c r="BJ509" s="1" t="s">
        <v>104</v>
      </c>
      <c r="BK509" s="1" t="s">
        <v>104</v>
      </c>
      <c r="BL509" s="1" t="s">
        <v>104</v>
      </c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N510" s="1" t="s">
        <v>104</v>
      </c>
      <c r="AO510" s="1" t="s">
        <v>104</v>
      </c>
      <c r="AP510" s="1" t="s">
        <v>104</v>
      </c>
      <c r="AQ510" s="1" t="s">
        <v>104</v>
      </c>
      <c r="AR510" s="1" t="s">
        <v>104</v>
      </c>
      <c r="AS510" s="1" t="s">
        <v>104</v>
      </c>
      <c r="AU510" s="1" t="s">
        <v>104</v>
      </c>
      <c r="AV510" s="1" t="s">
        <v>104</v>
      </c>
      <c r="AX510" s="1" t="str">
        <f>IFERROR(__xludf.DUMMYFUNCTION("""COMPUTED_VALUE"""),"")</f>
        <v/>
      </c>
      <c r="AZ510" s="1" t="str">
        <f>IFERROR(__xludf.DUMMYFUNCTION("""COMPUTED_VALUE"""),"")</f>
        <v/>
      </c>
      <c r="BB510" s="1" t="s">
        <v>104</v>
      </c>
      <c r="BC510" s="1" t="s">
        <v>104</v>
      </c>
      <c r="BE510" s="1" t="s">
        <v>104</v>
      </c>
      <c r="BG510" s="1" t="s">
        <v>104</v>
      </c>
      <c r="BH510" s="1" t="s">
        <v>104</v>
      </c>
      <c r="BI510" s="1" t="s">
        <v>104</v>
      </c>
      <c r="BJ510" s="1" t="s">
        <v>104</v>
      </c>
      <c r="BK510" s="1" t="s">
        <v>104</v>
      </c>
      <c r="BL510" s="1" t="s">
        <v>104</v>
      </c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N511" s="1" t="s">
        <v>104</v>
      </c>
      <c r="AO511" s="1" t="s">
        <v>104</v>
      </c>
      <c r="AP511" s="1" t="s">
        <v>104</v>
      </c>
      <c r="AQ511" s="1" t="s">
        <v>104</v>
      </c>
      <c r="AR511" s="1" t="s">
        <v>104</v>
      </c>
      <c r="AS511" s="1" t="s">
        <v>104</v>
      </c>
      <c r="AU511" s="1" t="s">
        <v>104</v>
      </c>
      <c r="AV511" s="1" t="s">
        <v>104</v>
      </c>
      <c r="AX511" s="1" t="str">
        <f>IFERROR(__xludf.DUMMYFUNCTION("""COMPUTED_VALUE"""),"")</f>
        <v/>
      </c>
      <c r="AZ511" s="1" t="str">
        <f>IFERROR(__xludf.DUMMYFUNCTION("""COMPUTED_VALUE"""),"")</f>
        <v/>
      </c>
      <c r="BB511" s="1" t="s">
        <v>104</v>
      </c>
      <c r="BC511" s="1" t="s">
        <v>104</v>
      </c>
      <c r="BE511" s="1" t="s">
        <v>104</v>
      </c>
      <c r="BG511" s="1" t="s">
        <v>104</v>
      </c>
      <c r="BH511" s="1" t="s">
        <v>104</v>
      </c>
      <c r="BI511" s="1" t="s">
        <v>104</v>
      </c>
      <c r="BJ511" s="1" t="s">
        <v>104</v>
      </c>
      <c r="BK511" s="1" t="s">
        <v>104</v>
      </c>
      <c r="BL511" s="1" t="s">
        <v>104</v>
      </c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N512" s="1" t="s">
        <v>104</v>
      </c>
      <c r="AO512" s="1" t="s">
        <v>104</v>
      </c>
      <c r="AP512" s="1" t="s">
        <v>104</v>
      </c>
      <c r="AQ512" s="1" t="s">
        <v>104</v>
      </c>
      <c r="AR512" s="1" t="s">
        <v>104</v>
      </c>
      <c r="AS512" s="1" t="s">
        <v>104</v>
      </c>
      <c r="AU512" s="1" t="s">
        <v>104</v>
      </c>
      <c r="AV512" s="1" t="s">
        <v>104</v>
      </c>
      <c r="AX512" s="1" t="str">
        <f>IFERROR(__xludf.DUMMYFUNCTION("""COMPUTED_VALUE"""),"")</f>
        <v/>
      </c>
      <c r="AZ512" s="1" t="str">
        <f>IFERROR(__xludf.DUMMYFUNCTION("""COMPUTED_VALUE"""),"")</f>
        <v/>
      </c>
      <c r="BB512" s="1" t="s">
        <v>104</v>
      </c>
      <c r="BC512" s="1" t="s">
        <v>104</v>
      </c>
      <c r="BE512" s="1" t="s">
        <v>104</v>
      </c>
      <c r="BG512" s="1" t="s">
        <v>104</v>
      </c>
      <c r="BH512" s="1" t="s">
        <v>104</v>
      </c>
      <c r="BI512" s="1" t="s">
        <v>104</v>
      </c>
      <c r="BJ512" s="1" t="s">
        <v>104</v>
      </c>
      <c r="BK512" s="1" t="s">
        <v>104</v>
      </c>
      <c r="BL512" s="1" t="s">
        <v>104</v>
      </c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N513" s="1" t="s">
        <v>104</v>
      </c>
      <c r="AO513" s="1" t="s">
        <v>104</v>
      </c>
      <c r="AP513" s="1" t="s">
        <v>104</v>
      </c>
      <c r="AQ513" s="1" t="s">
        <v>104</v>
      </c>
      <c r="AR513" s="1" t="s">
        <v>104</v>
      </c>
      <c r="AS513" s="1" t="s">
        <v>104</v>
      </c>
      <c r="AU513" s="1" t="s">
        <v>104</v>
      </c>
      <c r="AV513" s="1" t="s">
        <v>104</v>
      </c>
      <c r="AX513" s="1" t="str">
        <f>IFERROR(__xludf.DUMMYFUNCTION("""COMPUTED_VALUE"""),"")</f>
        <v/>
      </c>
      <c r="AZ513" s="1" t="str">
        <f>IFERROR(__xludf.DUMMYFUNCTION("""COMPUTED_VALUE"""),"")</f>
        <v/>
      </c>
      <c r="BB513" s="1" t="s">
        <v>104</v>
      </c>
      <c r="BC513" s="1" t="s">
        <v>104</v>
      </c>
      <c r="BE513" s="1" t="s">
        <v>104</v>
      </c>
      <c r="BG513" s="1" t="s">
        <v>104</v>
      </c>
      <c r="BH513" s="1" t="s">
        <v>104</v>
      </c>
      <c r="BI513" s="1" t="s">
        <v>104</v>
      </c>
      <c r="BJ513" s="1" t="s">
        <v>104</v>
      </c>
      <c r="BK513" s="1" t="s">
        <v>104</v>
      </c>
      <c r="BL513" s="1" t="s">
        <v>104</v>
      </c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N514" s="1" t="s">
        <v>104</v>
      </c>
      <c r="AO514" s="1" t="s">
        <v>104</v>
      </c>
      <c r="AP514" s="1" t="s">
        <v>104</v>
      </c>
      <c r="AQ514" s="1" t="s">
        <v>104</v>
      </c>
      <c r="AR514" s="1" t="s">
        <v>104</v>
      </c>
      <c r="AS514" s="1" t="s">
        <v>104</v>
      </c>
      <c r="AU514" s="1" t="s">
        <v>104</v>
      </c>
      <c r="AV514" s="1" t="s">
        <v>104</v>
      </c>
      <c r="AX514" s="1" t="str">
        <f>IFERROR(__xludf.DUMMYFUNCTION("""COMPUTED_VALUE"""),"")</f>
        <v/>
      </c>
      <c r="AZ514" s="1" t="str">
        <f>IFERROR(__xludf.DUMMYFUNCTION("""COMPUTED_VALUE"""),"")</f>
        <v/>
      </c>
      <c r="BB514" s="1" t="s">
        <v>104</v>
      </c>
      <c r="BC514" s="1" t="s">
        <v>104</v>
      </c>
      <c r="BE514" s="1" t="s">
        <v>104</v>
      </c>
      <c r="BG514" s="1" t="s">
        <v>104</v>
      </c>
      <c r="BH514" s="1" t="s">
        <v>104</v>
      </c>
      <c r="BI514" s="1" t="s">
        <v>104</v>
      </c>
      <c r="BJ514" s="1" t="s">
        <v>104</v>
      </c>
      <c r="BK514" s="1" t="s">
        <v>104</v>
      </c>
      <c r="BL514" s="1" t="s">
        <v>104</v>
      </c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N515" s="1" t="s">
        <v>104</v>
      </c>
      <c r="AO515" s="1" t="s">
        <v>104</v>
      </c>
      <c r="AP515" s="1" t="s">
        <v>104</v>
      </c>
      <c r="AQ515" s="1" t="s">
        <v>104</v>
      </c>
      <c r="AR515" s="1" t="s">
        <v>104</v>
      </c>
      <c r="AS515" s="1" t="s">
        <v>104</v>
      </c>
      <c r="AU515" s="1" t="s">
        <v>104</v>
      </c>
      <c r="AV515" s="1" t="s">
        <v>104</v>
      </c>
      <c r="AX515" s="1" t="str">
        <f>IFERROR(__xludf.DUMMYFUNCTION("""COMPUTED_VALUE"""),"")</f>
        <v/>
      </c>
      <c r="AZ515" s="1" t="str">
        <f>IFERROR(__xludf.DUMMYFUNCTION("""COMPUTED_VALUE"""),"")</f>
        <v/>
      </c>
      <c r="BB515" s="1" t="s">
        <v>104</v>
      </c>
      <c r="BC515" s="1" t="s">
        <v>104</v>
      </c>
      <c r="BE515" s="1" t="s">
        <v>104</v>
      </c>
      <c r="BG515" s="1" t="s">
        <v>104</v>
      </c>
      <c r="BH515" s="1" t="s">
        <v>104</v>
      </c>
      <c r="BI515" s="1" t="s">
        <v>104</v>
      </c>
      <c r="BJ515" s="1" t="s">
        <v>104</v>
      </c>
      <c r="BK515" s="1" t="s">
        <v>104</v>
      </c>
      <c r="BL515" s="1" t="s">
        <v>104</v>
      </c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N516" s="1" t="s">
        <v>104</v>
      </c>
      <c r="AO516" s="1" t="s">
        <v>104</v>
      </c>
      <c r="AP516" s="1" t="s">
        <v>104</v>
      </c>
      <c r="AQ516" s="1" t="s">
        <v>104</v>
      </c>
      <c r="AR516" s="1" t="s">
        <v>104</v>
      </c>
      <c r="AS516" s="1" t="s">
        <v>104</v>
      </c>
      <c r="AU516" s="1" t="s">
        <v>104</v>
      </c>
      <c r="AV516" s="1" t="s">
        <v>104</v>
      </c>
      <c r="AX516" s="1" t="str">
        <f>IFERROR(__xludf.DUMMYFUNCTION("""COMPUTED_VALUE"""),"")</f>
        <v/>
      </c>
      <c r="AZ516" s="1" t="str">
        <f>IFERROR(__xludf.DUMMYFUNCTION("""COMPUTED_VALUE"""),"")</f>
        <v/>
      </c>
      <c r="BB516" s="1" t="s">
        <v>104</v>
      </c>
      <c r="BC516" s="1" t="s">
        <v>104</v>
      </c>
      <c r="BE516" s="1" t="s">
        <v>104</v>
      </c>
      <c r="BG516" s="1" t="s">
        <v>104</v>
      </c>
      <c r="BH516" s="1" t="s">
        <v>104</v>
      </c>
      <c r="BI516" s="1" t="s">
        <v>104</v>
      </c>
      <c r="BJ516" s="1" t="s">
        <v>104</v>
      </c>
      <c r="BK516" s="1" t="s">
        <v>104</v>
      </c>
      <c r="BL516" s="1" t="s">
        <v>104</v>
      </c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N517" s="1" t="s">
        <v>104</v>
      </c>
      <c r="AO517" s="1" t="s">
        <v>104</v>
      </c>
      <c r="AP517" s="1" t="s">
        <v>104</v>
      </c>
      <c r="AQ517" s="1" t="s">
        <v>104</v>
      </c>
      <c r="AR517" s="1" t="s">
        <v>104</v>
      </c>
      <c r="AS517" s="1" t="s">
        <v>104</v>
      </c>
      <c r="AU517" s="1" t="s">
        <v>104</v>
      </c>
      <c r="AV517" s="1" t="s">
        <v>104</v>
      </c>
      <c r="AX517" s="1" t="str">
        <f>IFERROR(__xludf.DUMMYFUNCTION("""COMPUTED_VALUE"""),"")</f>
        <v/>
      </c>
      <c r="AZ517" s="1" t="str">
        <f>IFERROR(__xludf.DUMMYFUNCTION("""COMPUTED_VALUE"""),"")</f>
        <v/>
      </c>
      <c r="BB517" s="1" t="s">
        <v>104</v>
      </c>
      <c r="BC517" s="1" t="s">
        <v>104</v>
      </c>
      <c r="BE517" s="1" t="s">
        <v>104</v>
      </c>
      <c r="BG517" s="1" t="s">
        <v>104</v>
      </c>
      <c r="BH517" s="1" t="s">
        <v>104</v>
      </c>
      <c r="BI517" s="1" t="s">
        <v>104</v>
      </c>
      <c r="BJ517" s="1" t="s">
        <v>104</v>
      </c>
      <c r="BK517" s="1" t="s">
        <v>104</v>
      </c>
      <c r="BL517" s="1" t="s">
        <v>104</v>
      </c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N518" s="1" t="s">
        <v>104</v>
      </c>
      <c r="AO518" s="1" t="s">
        <v>104</v>
      </c>
      <c r="AP518" s="1" t="s">
        <v>104</v>
      </c>
      <c r="AQ518" s="1" t="s">
        <v>104</v>
      </c>
      <c r="AR518" s="1" t="s">
        <v>104</v>
      </c>
      <c r="AS518" s="1" t="s">
        <v>104</v>
      </c>
      <c r="AU518" s="1" t="s">
        <v>104</v>
      </c>
      <c r="AV518" s="1" t="s">
        <v>104</v>
      </c>
      <c r="AX518" s="1" t="str">
        <f>IFERROR(__xludf.DUMMYFUNCTION("""COMPUTED_VALUE"""),"")</f>
        <v/>
      </c>
      <c r="AZ518" s="1" t="str">
        <f>IFERROR(__xludf.DUMMYFUNCTION("""COMPUTED_VALUE"""),"")</f>
        <v/>
      </c>
      <c r="BB518" s="1" t="s">
        <v>104</v>
      </c>
      <c r="BC518" s="1" t="s">
        <v>104</v>
      </c>
      <c r="BE518" s="1" t="s">
        <v>104</v>
      </c>
      <c r="BG518" s="1" t="s">
        <v>104</v>
      </c>
      <c r="BH518" s="1" t="s">
        <v>104</v>
      </c>
      <c r="BI518" s="1" t="s">
        <v>104</v>
      </c>
      <c r="BJ518" s="1" t="s">
        <v>104</v>
      </c>
      <c r="BK518" s="1" t="s">
        <v>104</v>
      </c>
      <c r="BL518" s="1" t="s">
        <v>104</v>
      </c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N519" s="1" t="s">
        <v>104</v>
      </c>
      <c r="AO519" s="1" t="s">
        <v>104</v>
      </c>
      <c r="AP519" s="1" t="s">
        <v>104</v>
      </c>
      <c r="AQ519" s="1" t="s">
        <v>104</v>
      </c>
      <c r="AR519" s="1" t="s">
        <v>104</v>
      </c>
      <c r="AS519" s="1" t="s">
        <v>104</v>
      </c>
      <c r="AU519" s="1" t="s">
        <v>104</v>
      </c>
      <c r="AV519" s="1" t="s">
        <v>104</v>
      </c>
      <c r="AX519" s="1" t="str">
        <f>IFERROR(__xludf.DUMMYFUNCTION("""COMPUTED_VALUE"""),"")</f>
        <v/>
      </c>
      <c r="AZ519" s="1" t="str">
        <f>IFERROR(__xludf.DUMMYFUNCTION("""COMPUTED_VALUE"""),"")</f>
        <v/>
      </c>
      <c r="BB519" s="1" t="s">
        <v>104</v>
      </c>
      <c r="BC519" s="1" t="s">
        <v>104</v>
      </c>
      <c r="BE519" s="1" t="s">
        <v>104</v>
      </c>
      <c r="BG519" s="1" t="s">
        <v>104</v>
      </c>
      <c r="BH519" s="1" t="s">
        <v>104</v>
      </c>
      <c r="BI519" s="1" t="s">
        <v>104</v>
      </c>
      <c r="BJ519" s="1" t="s">
        <v>104</v>
      </c>
      <c r="BK519" s="1" t="s">
        <v>104</v>
      </c>
      <c r="BL519" s="1" t="s">
        <v>104</v>
      </c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N520" s="1" t="s">
        <v>104</v>
      </c>
      <c r="AO520" s="1" t="s">
        <v>104</v>
      </c>
      <c r="AP520" s="1" t="s">
        <v>104</v>
      </c>
      <c r="AQ520" s="1" t="s">
        <v>104</v>
      </c>
      <c r="AR520" s="1" t="s">
        <v>104</v>
      </c>
      <c r="AS520" s="1" t="s">
        <v>104</v>
      </c>
      <c r="AU520" s="1" t="s">
        <v>104</v>
      </c>
      <c r="AV520" s="1" t="s">
        <v>104</v>
      </c>
      <c r="AX520" s="1" t="str">
        <f>IFERROR(__xludf.DUMMYFUNCTION("""COMPUTED_VALUE"""),"")</f>
        <v/>
      </c>
      <c r="AZ520" s="1" t="str">
        <f>IFERROR(__xludf.DUMMYFUNCTION("""COMPUTED_VALUE"""),"")</f>
        <v/>
      </c>
      <c r="BB520" s="1" t="s">
        <v>104</v>
      </c>
      <c r="BC520" s="1" t="s">
        <v>104</v>
      </c>
      <c r="BE520" s="1" t="s">
        <v>104</v>
      </c>
      <c r="BG520" s="1" t="s">
        <v>104</v>
      </c>
      <c r="BH520" s="1" t="s">
        <v>104</v>
      </c>
      <c r="BI520" s="1" t="s">
        <v>104</v>
      </c>
      <c r="BJ520" s="1" t="s">
        <v>104</v>
      </c>
      <c r="BK520" s="1" t="s">
        <v>104</v>
      </c>
      <c r="BL520" s="1" t="s">
        <v>104</v>
      </c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N521" s="1" t="s">
        <v>104</v>
      </c>
      <c r="AO521" s="1" t="s">
        <v>104</v>
      </c>
      <c r="AP521" s="1" t="s">
        <v>104</v>
      </c>
      <c r="AQ521" s="1" t="s">
        <v>104</v>
      </c>
      <c r="AR521" s="1" t="s">
        <v>104</v>
      </c>
      <c r="AS521" s="1" t="s">
        <v>104</v>
      </c>
      <c r="AU521" s="1" t="s">
        <v>104</v>
      </c>
      <c r="AV521" s="1" t="s">
        <v>104</v>
      </c>
      <c r="AX521" s="1" t="str">
        <f>IFERROR(__xludf.DUMMYFUNCTION("""COMPUTED_VALUE"""),"")</f>
        <v/>
      </c>
      <c r="AZ521" s="1" t="str">
        <f>IFERROR(__xludf.DUMMYFUNCTION("""COMPUTED_VALUE"""),"")</f>
        <v/>
      </c>
      <c r="BB521" s="1" t="s">
        <v>104</v>
      </c>
      <c r="BC521" s="1" t="s">
        <v>104</v>
      </c>
      <c r="BE521" s="1" t="s">
        <v>104</v>
      </c>
      <c r="BG521" s="1" t="s">
        <v>104</v>
      </c>
      <c r="BH521" s="1" t="s">
        <v>104</v>
      </c>
      <c r="BI521" s="1" t="s">
        <v>104</v>
      </c>
      <c r="BJ521" s="1" t="s">
        <v>104</v>
      </c>
      <c r="BK521" s="1" t="s">
        <v>104</v>
      </c>
      <c r="BL521" s="1" t="s">
        <v>104</v>
      </c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N522" s="1" t="s">
        <v>104</v>
      </c>
      <c r="AO522" s="1" t="s">
        <v>104</v>
      </c>
      <c r="AP522" s="1" t="s">
        <v>104</v>
      </c>
      <c r="AQ522" s="1" t="s">
        <v>104</v>
      </c>
      <c r="AR522" s="1" t="s">
        <v>104</v>
      </c>
      <c r="AS522" s="1" t="s">
        <v>104</v>
      </c>
      <c r="AU522" s="1" t="s">
        <v>104</v>
      </c>
      <c r="AV522" s="1" t="s">
        <v>104</v>
      </c>
      <c r="AX522" s="1" t="str">
        <f>IFERROR(__xludf.DUMMYFUNCTION("""COMPUTED_VALUE"""),"")</f>
        <v/>
      </c>
      <c r="AZ522" s="1" t="str">
        <f>IFERROR(__xludf.DUMMYFUNCTION("""COMPUTED_VALUE"""),"")</f>
        <v/>
      </c>
      <c r="BB522" s="1" t="s">
        <v>104</v>
      </c>
      <c r="BC522" s="1" t="s">
        <v>104</v>
      </c>
      <c r="BE522" s="1" t="s">
        <v>104</v>
      </c>
      <c r="BG522" s="1" t="s">
        <v>104</v>
      </c>
      <c r="BH522" s="1" t="s">
        <v>104</v>
      </c>
      <c r="BI522" s="1" t="s">
        <v>104</v>
      </c>
      <c r="BJ522" s="1" t="s">
        <v>104</v>
      </c>
      <c r="BK522" s="1" t="s">
        <v>104</v>
      </c>
      <c r="BL522" s="1" t="s">
        <v>104</v>
      </c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N523" s="1" t="s">
        <v>104</v>
      </c>
      <c r="AO523" s="1" t="s">
        <v>104</v>
      </c>
      <c r="AP523" s="1" t="s">
        <v>104</v>
      </c>
      <c r="AQ523" s="1" t="s">
        <v>104</v>
      </c>
      <c r="AR523" s="1" t="s">
        <v>104</v>
      </c>
      <c r="AS523" s="1" t="s">
        <v>104</v>
      </c>
      <c r="AU523" s="1" t="s">
        <v>104</v>
      </c>
      <c r="AV523" s="1" t="s">
        <v>104</v>
      </c>
      <c r="AX523" s="1" t="str">
        <f>IFERROR(__xludf.DUMMYFUNCTION("""COMPUTED_VALUE"""),"")</f>
        <v/>
      </c>
      <c r="AZ523" s="1" t="str">
        <f>IFERROR(__xludf.DUMMYFUNCTION("""COMPUTED_VALUE"""),"")</f>
        <v/>
      </c>
      <c r="BB523" s="1" t="s">
        <v>104</v>
      </c>
      <c r="BC523" s="1" t="s">
        <v>104</v>
      </c>
      <c r="BE523" s="1" t="s">
        <v>104</v>
      </c>
      <c r="BG523" s="1" t="s">
        <v>104</v>
      </c>
      <c r="BH523" s="1" t="s">
        <v>104</v>
      </c>
      <c r="BI523" s="1" t="s">
        <v>104</v>
      </c>
      <c r="BJ523" s="1" t="s">
        <v>104</v>
      </c>
      <c r="BK523" s="1" t="s">
        <v>104</v>
      </c>
      <c r="BL523" s="1" t="s">
        <v>104</v>
      </c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N524" s="1" t="s">
        <v>104</v>
      </c>
      <c r="AO524" s="1" t="s">
        <v>104</v>
      </c>
      <c r="AP524" s="1" t="s">
        <v>104</v>
      </c>
      <c r="AQ524" s="1" t="s">
        <v>104</v>
      </c>
      <c r="AR524" s="1" t="s">
        <v>104</v>
      </c>
      <c r="AS524" s="1" t="s">
        <v>104</v>
      </c>
      <c r="AU524" s="1" t="s">
        <v>104</v>
      </c>
      <c r="AV524" s="1" t="s">
        <v>104</v>
      </c>
      <c r="AX524" s="1" t="str">
        <f>IFERROR(__xludf.DUMMYFUNCTION("""COMPUTED_VALUE"""),"")</f>
        <v/>
      </c>
      <c r="AZ524" s="1" t="str">
        <f>IFERROR(__xludf.DUMMYFUNCTION("""COMPUTED_VALUE"""),"")</f>
        <v/>
      </c>
      <c r="BB524" s="1" t="s">
        <v>104</v>
      </c>
      <c r="BC524" s="1" t="s">
        <v>104</v>
      </c>
      <c r="BE524" s="1" t="s">
        <v>104</v>
      </c>
      <c r="BG524" s="1" t="s">
        <v>104</v>
      </c>
      <c r="BH524" s="1" t="s">
        <v>104</v>
      </c>
      <c r="BI524" s="1" t="s">
        <v>104</v>
      </c>
      <c r="BJ524" s="1" t="s">
        <v>104</v>
      </c>
      <c r="BK524" s="1" t="s">
        <v>104</v>
      </c>
      <c r="BL524" s="1" t="s">
        <v>104</v>
      </c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N525" s="1" t="s">
        <v>104</v>
      </c>
      <c r="AO525" s="1" t="s">
        <v>104</v>
      </c>
      <c r="AP525" s="1" t="s">
        <v>104</v>
      </c>
      <c r="AQ525" s="1" t="s">
        <v>104</v>
      </c>
      <c r="AR525" s="1" t="s">
        <v>104</v>
      </c>
      <c r="AS525" s="1" t="s">
        <v>104</v>
      </c>
      <c r="AU525" s="1" t="s">
        <v>104</v>
      </c>
      <c r="AV525" s="1" t="s">
        <v>104</v>
      </c>
      <c r="AX525" s="1" t="str">
        <f>IFERROR(__xludf.DUMMYFUNCTION("""COMPUTED_VALUE"""),"")</f>
        <v/>
      </c>
      <c r="AZ525" s="1" t="str">
        <f>IFERROR(__xludf.DUMMYFUNCTION("""COMPUTED_VALUE"""),"")</f>
        <v/>
      </c>
      <c r="BB525" s="1" t="s">
        <v>104</v>
      </c>
      <c r="BC525" s="1" t="s">
        <v>104</v>
      </c>
      <c r="BE525" s="1" t="s">
        <v>104</v>
      </c>
      <c r="BG525" s="1" t="s">
        <v>104</v>
      </c>
      <c r="BH525" s="1" t="s">
        <v>104</v>
      </c>
      <c r="BI525" s="1" t="s">
        <v>104</v>
      </c>
      <c r="BJ525" s="1" t="s">
        <v>104</v>
      </c>
      <c r="BK525" s="1" t="s">
        <v>104</v>
      </c>
      <c r="BL525" s="1" t="s">
        <v>104</v>
      </c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N526" s="1" t="s">
        <v>104</v>
      </c>
      <c r="AO526" s="1" t="s">
        <v>104</v>
      </c>
      <c r="AP526" s="1" t="s">
        <v>104</v>
      </c>
      <c r="AQ526" s="1" t="s">
        <v>104</v>
      </c>
      <c r="AR526" s="1" t="s">
        <v>104</v>
      </c>
      <c r="AS526" s="1" t="s">
        <v>104</v>
      </c>
      <c r="AU526" s="1" t="s">
        <v>104</v>
      </c>
      <c r="AV526" s="1" t="s">
        <v>104</v>
      </c>
      <c r="AX526" s="1" t="str">
        <f>IFERROR(__xludf.DUMMYFUNCTION("""COMPUTED_VALUE"""),"")</f>
        <v/>
      </c>
      <c r="AZ526" s="1" t="str">
        <f>IFERROR(__xludf.DUMMYFUNCTION("""COMPUTED_VALUE"""),"")</f>
        <v/>
      </c>
      <c r="BB526" s="1" t="s">
        <v>104</v>
      </c>
      <c r="BC526" s="1" t="s">
        <v>104</v>
      </c>
      <c r="BE526" s="1" t="s">
        <v>104</v>
      </c>
      <c r="BG526" s="1" t="s">
        <v>104</v>
      </c>
      <c r="BH526" s="1" t="s">
        <v>104</v>
      </c>
      <c r="BI526" s="1" t="s">
        <v>104</v>
      </c>
      <c r="BJ526" s="1" t="s">
        <v>104</v>
      </c>
      <c r="BK526" s="1" t="s">
        <v>104</v>
      </c>
      <c r="BL526" s="1" t="s">
        <v>104</v>
      </c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N527" s="1" t="s">
        <v>104</v>
      </c>
      <c r="AO527" s="1" t="s">
        <v>104</v>
      </c>
      <c r="AP527" s="1" t="s">
        <v>104</v>
      </c>
      <c r="AQ527" s="1" t="s">
        <v>104</v>
      </c>
      <c r="AR527" s="1" t="s">
        <v>104</v>
      </c>
      <c r="AS527" s="1" t="s">
        <v>104</v>
      </c>
      <c r="AU527" s="1" t="s">
        <v>104</v>
      </c>
      <c r="AV527" s="1" t="s">
        <v>104</v>
      </c>
      <c r="AX527" s="1" t="str">
        <f>IFERROR(__xludf.DUMMYFUNCTION("""COMPUTED_VALUE"""),"")</f>
        <v/>
      </c>
      <c r="AZ527" s="1" t="str">
        <f>IFERROR(__xludf.DUMMYFUNCTION("""COMPUTED_VALUE"""),"")</f>
        <v/>
      </c>
      <c r="BB527" s="1" t="s">
        <v>104</v>
      </c>
      <c r="BC527" s="1" t="s">
        <v>104</v>
      </c>
      <c r="BE527" s="1" t="s">
        <v>104</v>
      </c>
      <c r="BG527" s="1" t="s">
        <v>104</v>
      </c>
      <c r="BH527" s="1" t="s">
        <v>104</v>
      </c>
      <c r="BI527" s="1" t="s">
        <v>104</v>
      </c>
      <c r="BJ527" s="1" t="s">
        <v>104</v>
      </c>
      <c r="BK527" s="1" t="s">
        <v>104</v>
      </c>
      <c r="BL527" s="1" t="s">
        <v>104</v>
      </c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N528" s="1" t="s">
        <v>104</v>
      </c>
      <c r="AO528" s="1" t="s">
        <v>104</v>
      </c>
      <c r="AP528" s="1" t="s">
        <v>104</v>
      </c>
      <c r="AQ528" s="1" t="s">
        <v>104</v>
      </c>
      <c r="AR528" s="1" t="s">
        <v>104</v>
      </c>
      <c r="AS528" s="1" t="s">
        <v>104</v>
      </c>
      <c r="AU528" s="1" t="s">
        <v>104</v>
      </c>
      <c r="AV528" s="1" t="s">
        <v>104</v>
      </c>
      <c r="AX528" s="1" t="str">
        <f>IFERROR(__xludf.DUMMYFUNCTION("""COMPUTED_VALUE"""),"")</f>
        <v/>
      </c>
      <c r="AZ528" s="1" t="str">
        <f>IFERROR(__xludf.DUMMYFUNCTION("""COMPUTED_VALUE"""),"")</f>
        <v/>
      </c>
      <c r="BB528" s="1" t="s">
        <v>104</v>
      </c>
      <c r="BC528" s="1" t="s">
        <v>104</v>
      </c>
      <c r="BE528" s="1" t="s">
        <v>104</v>
      </c>
      <c r="BG528" s="1" t="s">
        <v>104</v>
      </c>
      <c r="BH528" s="1" t="s">
        <v>104</v>
      </c>
      <c r="BI528" s="1" t="s">
        <v>104</v>
      </c>
      <c r="BJ528" s="1" t="s">
        <v>104</v>
      </c>
      <c r="BK528" s="1" t="s">
        <v>104</v>
      </c>
      <c r="BL528" s="1" t="s">
        <v>104</v>
      </c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N529" s="1" t="s">
        <v>104</v>
      </c>
      <c r="AO529" s="1" t="s">
        <v>104</v>
      </c>
      <c r="AP529" s="1" t="s">
        <v>104</v>
      </c>
      <c r="AQ529" s="1" t="s">
        <v>104</v>
      </c>
      <c r="AR529" s="1" t="s">
        <v>104</v>
      </c>
      <c r="AS529" s="1" t="s">
        <v>104</v>
      </c>
      <c r="AU529" s="1" t="s">
        <v>104</v>
      </c>
      <c r="AV529" s="1" t="s">
        <v>104</v>
      </c>
      <c r="AX529" s="1" t="str">
        <f>IFERROR(__xludf.DUMMYFUNCTION("""COMPUTED_VALUE"""),"")</f>
        <v/>
      </c>
      <c r="AZ529" s="1" t="str">
        <f>IFERROR(__xludf.DUMMYFUNCTION("""COMPUTED_VALUE"""),"")</f>
        <v/>
      </c>
      <c r="BB529" s="1" t="s">
        <v>104</v>
      </c>
      <c r="BC529" s="1" t="s">
        <v>104</v>
      </c>
      <c r="BE529" s="1" t="s">
        <v>104</v>
      </c>
      <c r="BG529" s="1" t="s">
        <v>104</v>
      </c>
      <c r="BH529" s="1" t="s">
        <v>104</v>
      </c>
      <c r="BI529" s="1" t="s">
        <v>104</v>
      </c>
      <c r="BJ529" s="1" t="s">
        <v>104</v>
      </c>
      <c r="BK529" s="1" t="s">
        <v>104</v>
      </c>
      <c r="BL529" s="1" t="s">
        <v>104</v>
      </c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N530" s="1" t="s">
        <v>104</v>
      </c>
      <c r="AO530" s="1" t="s">
        <v>104</v>
      </c>
      <c r="AP530" s="1" t="s">
        <v>104</v>
      </c>
      <c r="AQ530" s="1" t="s">
        <v>104</v>
      </c>
      <c r="AR530" s="1" t="s">
        <v>104</v>
      </c>
      <c r="AS530" s="1" t="s">
        <v>104</v>
      </c>
      <c r="AU530" s="1" t="s">
        <v>104</v>
      </c>
      <c r="AV530" s="1" t="s">
        <v>104</v>
      </c>
      <c r="AX530" s="1" t="str">
        <f>IFERROR(__xludf.DUMMYFUNCTION("""COMPUTED_VALUE"""),"")</f>
        <v/>
      </c>
      <c r="AZ530" s="1" t="str">
        <f>IFERROR(__xludf.DUMMYFUNCTION("""COMPUTED_VALUE"""),"")</f>
        <v/>
      </c>
      <c r="BB530" s="1" t="s">
        <v>104</v>
      </c>
      <c r="BC530" s="1" t="s">
        <v>104</v>
      </c>
      <c r="BE530" s="1" t="s">
        <v>104</v>
      </c>
      <c r="BG530" s="1" t="s">
        <v>104</v>
      </c>
      <c r="BH530" s="1" t="s">
        <v>104</v>
      </c>
      <c r="BI530" s="1" t="s">
        <v>104</v>
      </c>
      <c r="BJ530" s="1" t="s">
        <v>104</v>
      </c>
      <c r="BK530" s="1" t="s">
        <v>104</v>
      </c>
      <c r="BL530" s="1" t="s">
        <v>104</v>
      </c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N531" s="1" t="s">
        <v>104</v>
      </c>
      <c r="AO531" s="1" t="s">
        <v>104</v>
      </c>
      <c r="AP531" s="1" t="s">
        <v>104</v>
      </c>
      <c r="AQ531" s="1" t="s">
        <v>104</v>
      </c>
      <c r="AR531" s="1" t="s">
        <v>104</v>
      </c>
      <c r="AS531" s="1" t="s">
        <v>104</v>
      </c>
      <c r="AU531" s="1" t="s">
        <v>104</v>
      </c>
      <c r="AV531" s="1" t="s">
        <v>104</v>
      </c>
      <c r="AX531" s="1" t="str">
        <f>IFERROR(__xludf.DUMMYFUNCTION("""COMPUTED_VALUE"""),"")</f>
        <v/>
      </c>
      <c r="AZ531" s="1" t="str">
        <f>IFERROR(__xludf.DUMMYFUNCTION("""COMPUTED_VALUE"""),"")</f>
        <v/>
      </c>
      <c r="BB531" s="1" t="s">
        <v>104</v>
      </c>
      <c r="BC531" s="1" t="s">
        <v>104</v>
      </c>
      <c r="BE531" s="1" t="s">
        <v>104</v>
      </c>
      <c r="BG531" s="1" t="s">
        <v>104</v>
      </c>
      <c r="BH531" s="1" t="s">
        <v>104</v>
      </c>
      <c r="BI531" s="1" t="s">
        <v>104</v>
      </c>
      <c r="BJ531" s="1" t="s">
        <v>104</v>
      </c>
      <c r="BK531" s="1" t="s">
        <v>104</v>
      </c>
      <c r="BL531" s="1" t="s">
        <v>104</v>
      </c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N532" s="1" t="s">
        <v>104</v>
      </c>
      <c r="AO532" s="1" t="s">
        <v>104</v>
      </c>
      <c r="AP532" s="1" t="s">
        <v>104</v>
      </c>
      <c r="AQ532" s="1" t="s">
        <v>104</v>
      </c>
      <c r="AR532" s="1" t="s">
        <v>104</v>
      </c>
      <c r="AS532" s="1" t="s">
        <v>104</v>
      </c>
      <c r="AU532" s="1" t="s">
        <v>104</v>
      </c>
      <c r="AV532" s="1" t="s">
        <v>104</v>
      </c>
      <c r="AX532" s="1" t="str">
        <f>IFERROR(__xludf.DUMMYFUNCTION("""COMPUTED_VALUE"""),"")</f>
        <v/>
      </c>
      <c r="AZ532" s="1" t="str">
        <f>IFERROR(__xludf.DUMMYFUNCTION("""COMPUTED_VALUE"""),"")</f>
        <v/>
      </c>
      <c r="BB532" s="1" t="s">
        <v>104</v>
      </c>
      <c r="BC532" s="1" t="s">
        <v>104</v>
      </c>
      <c r="BE532" s="1" t="s">
        <v>104</v>
      </c>
      <c r="BG532" s="1" t="s">
        <v>104</v>
      </c>
      <c r="BH532" s="1" t="s">
        <v>104</v>
      </c>
      <c r="BI532" s="1" t="s">
        <v>104</v>
      </c>
      <c r="BJ532" s="1" t="s">
        <v>104</v>
      </c>
      <c r="BK532" s="1" t="s">
        <v>104</v>
      </c>
      <c r="BL532" s="1" t="s">
        <v>104</v>
      </c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N533" s="1" t="s">
        <v>104</v>
      </c>
      <c r="AO533" s="1" t="s">
        <v>104</v>
      </c>
      <c r="AP533" s="1" t="s">
        <v>104</v>
      </c>
      <c r="AQ533" s="1" t="s">
        <v>104</v>
      </c>
      <c r="AR533" s="1" t="s">
        <v>104</v>
      </c>
      <c r="AS533" s="1" t="s">
        <v>104</v>
      </c>
      <c r="AU533" s="1" t="s">
        <v>104</v>
      </c>
      <c r="AV533" s="1" t="s">
        <v>104</v>
      </c>
      <c r="AX533" s="1" t="str">
        <f>IFERROR(__xludf.DUMMYFUNCTION("""COMPUTED_VALUE"""),"")</f>
        <v/>
      </c>
      <c r="AZ533" s="1" t="str">
        <f>IFERROR(__xludf.DUMMYFUNCTION("""COMPUTED_VALUE"""),"")</f>
        <v/>
      </c>
      <c r="BB533" s="1" t="s">
        <v>104</v>
      </c>
      <c r="BC533" s="1" t="s">
        <v>104</v>
      </c>
      <c r="BE533" s="1" t="s">
        <v>104</v>
      </c>
      <c r="BG533" s="1" t="s">
        <v>104</v>
      </c>
      <c r="BH533" s="1" t="s">
        <v>104</v>
      </c>
      <c r="BI533" s="1" t="s">
        <v>104</v>
      </c>
      <c r="BJ533" s="1" t="s">
        <v>104</v>
      </c>
      <c r="BK533" s="1" t="s">
        <v>104</v>
      </c>
      <c r="BL533" s="1" t="s">
        <v>104</v>
      </c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N534" s="1" t="s">
        <v>104</v>
      </c>
      <c r="AO534" s="1" t="s">
        <v>104</v>
      </c>
      <c r="AP534" s="1" t="s">
        <v>104</v>
      </c>
      <c r="AQ534" s="1" t="s">
        <v>104</v>
      </c>
      <c r="AR534" s="1" t="s">
        <v>104</v>
      </c>
      <c r="AS534" s="1" t="s">
        <v>104</v>
      </c>
      <c r="AU534" s="1" t="s">
        <v>104</v>
      </c>
      <c r="AV534" s="1" t="s">
        <v>104</v>
      </c>
      <c r="AX534" s="1" t="str">
        <f>IFERROR(__xludf.DUMMYFUNCTION("""COMPUTED_VALUE"""),"")</f>
        <v/>
      </c>
      <c r="AZ534" s="1" t="str">
        <f>IFERROR(__xludf.DUMMYFUNCTION("""COMPUTED_VALUE"""),"")</f>
        <v/>
      </c>
      <c r="BB534" s="1" t="s">
        <v>104</v>
      </c>
      <c r="BC534" s="1" t="s">
        <v>104</v>
      </c>
      <c r="BE534" s="1" t="s">
        <v>104</v>
      </c>
      <c r="BG534" s="1" t="s">
        <v>104</v>
      </c>
      <c r="BH534" s="1" t="s">
        <v>104</v>
      </c>
      <c r="BI534" s="1" t="s">
        <v>104</v>
      </c>
      <c r="BJ534" s="1" t="s">
        <v>104</v>
      </c>
      <c r="BK534" s="1" t="s">
        <v>104</v>
      </c>
      <c r="BL534" s="1" t="s">
        <v>104</v>
      </c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N535" s="1" t="s">
        <v>104</v>
      </c>
      <c r="AO535" s="1" t="s">
        <v>104</v>
      </c>
      <c r="AP535" s="1" t="s">
        <v>104</v>
      </c>
      <c r="AQ535" s="1" t="s">
        <v>104</v>
      </c>
      <c r="AR535" s="1" t="s">
        <v>104</v>
      </c>
      <c r="AS535" s="1" t="s">
        <v>104</v>
      </c>
      <c r="AU535" s="1" t="s">
        <v>104</v>
      </c>
      <c r="AV535" s="1" t="s">
        <v>104</v>
      </c>
      <c r="AX535" s="1" t="str">
        <f>IFERROR(__xludf.DUMMYFUNCTION("""COMPUTED_VALUE"""),"")</f>
        <v/>
      </c>
      <c r="AZ535" s="1" t="str">
        <f>IFERROR(__xludf.DUMMYFUNCTION("""COMPUTED_VALUE"""),"")</f>
        <v/>
      </c>
      <c r="BB535" s="1" t="s">
        <v>104</v>
      </c>
      <c r="BC535" s="1" t="s">
        <v>104</v>
      </c>
      <c r="BE535" s="1" t="s">
        <v>104</v>
      </c>
      <c r="BG535" s="1" t="s">
        <v>104</v>
      </c>
      <c r="BH535" s="1" t="s">
        <v>104</v>
      </c>
      <c r="BI535" s="1" t="s">
        <v>104</v>
      </c>
      <c r="BJ535" s="1" t="s">
        <v>104</v>
      </c>
      <c r="BK535" s="1" t="s">
        <v>104</v>
      </c>
      <c r="BL535" s="1" t="s">
        <v>104</v>
      </c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N536" s="1" t="s">
        <v>104</v>
      </c>
      <c r="AO536" s="1" t="s">
        <v>104</v>
      </c>
      <c r="AP536" s="1" t="s">
        <v>104</v>
      </c>
      <c r="AQ536" s="1" t="s">
        <v>104</v>
      </c>
      <c r="AR536" s="1" t="s">
        <v>104</v>
      </c>
      <c r="AS536" s="1" t="s">
        <v>104</v>
      </c>
      <c r="AU536" s="1" t="s">
        <v>104</v>
      </c>
      <c r="AV536" s="1" t="s">
        <v>104</v>
      </c>
      <c r="AX536" s="1" t="str">
        <f>IFERROR(__xludf.DUMMYFUNCTION("""COMPUTED_VALUE"""),"")</f>
        <v/>
      </c>
      <c r="AZ536" s="1" t="str">
        <f>IFERROR(__xludf.DUMMYFUNCTION("""COMPUTED_VALUE"""),"")</f>
        <v/>
      </c>
      <c r="BB536" s="1" t="s">
        <v>104</v>
      </c>
      <c r="BC536" s="1" t="s">
        <v>104</v>
      </c>
      <c r="BE536" s="1" t="s">
        <v>104</v>
      </c>
      <c r="BG536" s="1" t="s">
        <v>104</v>
      </c>
      <c r="BH536" s="1" t="s">
        <v>104</v>
      </c>
      <c r="BI536" s="1" t="s">
        <v>104</v>
      </c>
      <c r="BJ536" s="1" t="s">
        <v>104</v>
      </c>
      <c r="BK536" s="1" t="s">
        <v>104</v>
      </c>
      <c r="BL536" s="1" t="s">
        <v>104</v>
      </c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N537" s="1" t="s">
        <v>104</v>
      </c>
      <c r="AO537" s="1" t="s">
        <v>104</v>
      </c>
      <c r="AP537" s="1" t="s">
        <v>104</v>
      </c>
      <c r="AQ537" s="1" t="s">
        <v>104</v>
      </c>
      <c r="AR537" s="1" t="s">
        <v>104</v>
      </c>
      <c r="AS537" s="1" t="s">
        <v>104</v>
      </c>
      <c r="AU537" s="1" t="s">
        <v>104</v>
      </c>
      <c r="AV537" s="1" t="s">
        <v>104</v>
      </c>
      <c r="AX537" s="1" t="str">
        <f>IFERROR(__xludf.DUMMYFUNCTION("""COMPUTED_VALUE"""),"")</f>
        <v/>
      </c>
      <c r="AZ537" s="1" t="str">
        <f>IFERROR(__xludf.DUMMYFUNCTION("""COMPUTED_VALUE"""),"")</f>
        <v/>
      </c>
      <c r="BB537" s="1" t="s">
        <v>104</v>
      </c>
      <c r="BC537" s="1" t="s">
        <v>104</v>
      </c>
      <c r="BE537" s="1" t="s">
        <v>104</v>
      </c>
      <c r="BG537" s="1" t="s">
        <v>104</v>
      </c>
      <c r="BH537" s="1" t="s">
        <v>104</v>
      </c>
      <c r="BI537" s="1" t="s">
        <v>104</v>
      </c>
      <c r="BJ537" s="1" t="s">
        <v>104</v>
      </c>
      <c r="BK537" s="1" t="s">
        <v>104</v>
      </c>
      <c r="BL537" s="1" t="s">
        <v>104</v>
      </c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N538" s="1" t="s">
        <v>104</v>
      </c>
      <c r="AO538" s="1" t="s">
        <v>104</v>
      </c>
      <c r="AP538" s="1" t="s">
        <v>104</v>
      </c>
      <c r="AQ538" s="1" t="s">
        <v>104</v>
      </c>
      <c r="AR538" s="1" t="s">
        <v>104</v>
      </c>
      <c r="AS538" s="1" t="s">
        <v>104</v>
      </c>
      <c r="AU538" s="1" t="s">
        <v>104</v>
      </c>
      <c r="AV538" s="1" t="s">
        <v>104</v>
      </c>
      <c r="AX538" s="1" t="str">
        <f>IFERROR(__xludf.DUMMYFUNCTION("""COMPUTED_VALUE"""),"")</f>
        <v/>
      </c>
      <c r="AZ538" s="1" t="str">
        <f>IFERROR(__xludf.DUMMYFUNCTION("""COMPUTED_VALUE"""),"")</f>
        <v/>
      </c>
      <c r="BB538" s="1" t="s">
        <v>104</v>
      </c>
      <c r="BC538" s="1" t="s">
        <v>104</v>
      </c>
      <c r="BE538" s="1" t="s">
        <v>104</v>
      </c>
      <c r="BG538" s="1" t="s">
        <v>104</v>
      </c>
      <c r="BH538" s="1" t="s">
        <v>104</v>
      </c>
      <c r="BI538" s="1" t="s">
        <v>104</v>
      </c>
      <c r="BJ538" s="1" t="s">
        <v>104</v>
      </c>
      <c r="BK538" s="1" t="s">
        <v>104</v>
      </c>
      <c r="BL538" s="1" t="s">
        <v>104</v>
      </c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N539" s="1" t="s">
        <v>104</v>
      </c>
      <c r="AO539" s="1" t="s">
        <v>104</v>
      </c>
      <c r="AP539" s="1" t="s">
        <v>104</v>
      </c>
      <c r="AQ539" s="1" t="s">
        <v>104</v>
      </c>
      <c r="AR539" s="1" t="s">
        <v>104</v>
      </c>
      <c r="AS539" s="1" t="s">
        <v>104</v>
      </c>
      <c r="AU539" s="1" t="s">
        <v>104</v>
      </c>
      <c r="AV539" s="1" t="s">
        <v>104</v>
      </c>
      <c r="AX539" s="1" t="str">
        <f>IFERROR(__xludf.DUMMYFUNCTION("""COMPUTED_VALUE"""),"")</f>
        <v/>
      </c>
      <c r="AZ539" s="1" t="str">
        <f>IFERROR(__xludf.DUMMYFUNCTION("""COMPUTED_VALUE"""),"")</f>
        <v/>
      </c>
      <c r="BB539" s="1" t="s">
        <v>104</v>
      </c>
      <c r="BC539" s="1" t="s">
        <v>104</v>
      </c>
      <c r="BE539" s="1" t="s">
        <v>104</v>
      </c>
      <c r="BG539" s="1" t="s">
        <v>104</v>
      </c>
      <c r="BH539" s="1" t="s">
        <v>104</v>
      </c>
      <c r="BI539" s="1" t="s">
        <v>104</v>
      </c>
      <c r="BJ539" s="1" t="s">
        <v>104</v>
      </c>
      <c r="BK539" s="1" t="s">
        <v>104</v>
      </c>
      <c r="BL539" s="1" t="s">
        <v>104</v>
      </c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N540" s="1" t="s">
        <v>104</v>
      </c>
      <c r="AO540" s="1" t="s">
        <v>104</v>
      </c>
      <c r="AP540" s="1" t="s">
        <v>104</v>
      </c>
      <c r="AQ540" s="1" t="s">
        <v>104</v>
      </c>
      <c r="AR540" s="1" t="s">
        <v>104</v>
      </c>
      <c r="AS540" s="1" t="s">
        <v>104</v>
      </c>
      <c r="AU540" s="1" t="s">
        <v>104</v>
      </c>
      <c r="AV540" s="1" t="s">
        <v>104</v>
      </c>
      <c r="AX540" s="1" t="str">
        <f>IFERROR(__xludf.DUMMYFUNCTION("""COMPUTED_VALUE"""),"")</f>
        <v/>
      </c>
      <c r="AZ540" s="1" t="str">
        <f>IFERROR(__xludf.DUMMYFUNCTION("""COMPUTED_VALUE"""),"")</f>
        <v/>
      </c>
      <c r="BB540" s="1" t="s">
        <v>104</v>
      </c>
      <c r="BC540" s="1" t="s">
        <v>104</v>
      </c>
      <c r="BE540" s="1" t="s">
        <v>104</v>
      </c>
      <c r="BG540" s="1" t="s">
        <v>104</v>
      </c>
      <c r="BH540" s="1" t="s">
        <v>104</v>
      </c>
      <c r="BI540" s="1" t="s">
        <v>104</v>
      </c>
      <c r="BJ540" s="1" t="s">
        <v>104</v>
      </c>
      <c r="BK540" s="1" t="s">
        <v>104</v>
      </c>
      <c r="BL540" s="1" t="s">
        <v>104</v>
      </c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N541" s="1" t="s">
        <v>104</v>
      </c>
      <c r="AO541" s="1" t="s">
        <v>104</v>
      </c>
      <c r="AP541" s="1" t="s">
        <v>104</v>
      </c>
      <c r="AQ541" s="1" t="s">
        <v>104</v>
      </c>
      <c r="AR541" s="1" t="s">
        <v>104</v>
      </c>
      <c r="AS541" s="1" t="s">
        <v>104</v>
      </c>
      <c r="AU541" s="1" t="s">
        <v>104</v>
      </c>
      <c r="AV541" s="1" t="s">
        <v>104</v>
      </c>
      <c r="AX541" s="1" t="str">
        <f>IFERROR(__xludf.DUMMYFUNCTION("""COMPUTED_VALUE"""),"")</f>
        <v/>
      </c>
      <c r="AZ541" s="1" t="str">
        <f>IFERROR(__xludf.DUMMYFUNCTION("""COMPUTED_VALUE"""),"")</f>
        <v/>
      </c>
      <c r="BB541" s="1" t="s">
        <v>104</v>
      </c>
      <c r="BC541" s="1" t="s">
        <v>104</v>
      </c>
      <c r="BE541" s="1" t="s">
        <v>104</v>
      </c>
      <c r="BG541" s="1" t="s">
        <v>104</v>
      </c>
      <c r="BH541" s="1" t="s">
        <v>104</v>
      </c>
      <c r="BI541" s="1" t="s">
        <v>104</v>
      </c>
      <c r="BJ541" s="1" t="s">
        <v>104</v>
      </c>
      <c r="BK541" s="1" t="s">
        <v>104</v>
      </c>
      <c r="BL541" s="1" t="s">
        <v>104</v>
      </c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N542" s="1" t="s">
        <v>104</v>
      </c>
      <c r="AO542" s="1" t="s">
        <v>104</v>
      </c>
      <c r="AP542" s="1" t="s">
        <v>104</v>
      </c>
      <c r="AQ542" s="1" t="s">
        <v>104</v>
      </c>
      <c r="AR542" s="1" t="s">
        <v>104</v>
      </c>
      <c r="AS542" s="1" t="s">
        <v>104</v>
      </c>
      <c r="AU542" s="1" t="s">
        <v>104</v>
      </c>
      <c r="AV542" s="1" t="s">
        <v>104</v>
      </c>
      <c r="AX542" s="1" t="str">
        <f>IFERROR(__xludf.DUMMYFUNCTION("""COMPUTED_VALUE"""),"")</f>
        <v/>
      </c>
      <c r="AZ542" s="1" t="str">
        <f>IFERROR(__xludf.DUMMYFUNCTION("""COMPUTED_VALUE"""),"")</f>
        <v/>
      </c>
      <c r="BB542" s="1" t="s">
        <v>104</v>
      </c>
      <c r="BC542" s="1" t="s">
        <v>104</v>
      </c>
      <c r="BE542" s="1" t="s">
        <v>104</v>
      </c>
      <c r="BG542" s="1" t="s">
        <v>104</v>
      </c>
      <c r="BH542" s="1" t="s">
        <v>104</v>
      </c>
      <c r="BI542" s="1" t="s">
        <v>104</v>
      </c>
      <c r="BJ542" s="1" t="s">
        <v>104</v>
      </c>
      <c r="BK542" s="1" t="s">
        <v>104</v>
      </c>
      <c r="BL542" s="1" t="s">
        <v>104</v>
      </c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N543" s="1" t="s">
        <v>104</v>
      </c>
      <c r="AO543" s="1" t="s">
        <v>104</v>
      </c>
      <c r="AP543" s="1" t="s">
        <v>104</v>
      </c>
      <c r="AQ543" s="1" t="s">
        <v>104</v>
      </c>
      <c r="AR543" s="1" t="s">
        <v>104</v>
      </c>
      <c r="AS543" s="1" t="s">
        <v>104</v>
      </c>
      <c r="AU543" s="1" t="s">
        <v>104</v>
      </c>
      <c r="AV543" s="1" t="s">
        <v>104</v>
      </c>
      <c r="AX543" s="1" t="str">
        <f>IFERROR(__xludf.DUMMYFUNCTION("""COMPUTED_VALUE"""),"")</f>
        <v/>
      </c>
      <c r="AZ543" s="1" t="str">
        <f>IFERROR(__xludf.DUMMYFUNCTION("""COMPUTED_VALUE"""),"")</f>
        <v/>
      </c>
      <c r="BB543" s="1" t="s">
        <v>104</v>
      </c>
      <c r="BC543" s="1" t="s">
        <v>104</v>
      </c>
      <c r="BE543" s="1" t="s">
        <v>104</v>
      </c>
      <c r="BG543" s="1" t="s">
        <v>104</v>
      </c>
      <c r="BH543" s="1" t="s">
        <v>104</v>
      </c>
      <c r="BI543" s="1" t="s">
        <v>104</v>
      </c>
      <c r="BJ543" s="1" t="s">
        <v>104</v>
      </c>
      <c r="BK543" s="1" t="s">
        <v>104</v>
      </c>
      <c r="BL543" s="1" t="s">
        <v>104</v>
      </c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N544" s="1" t="s">
        <v>104</v>
      </c>
      <c r="AO544" s="1" t="s">
        <v>104</v>
      </c>
      <c r="AP544" s="1" t="s">
        <v>104</v>
      </c>
      <c r="AQ544" s="1" t="s">
        <v>104</v>
      </c>
      <c r="AR544" s="1" t="s">
        <v>104</v>
      </c>
      <c r="AS544" s="1" t="s">
        <v>104</v>
      </c>
      <c r="AU544" s="1" t="s">
        <v>104</v>
      </c>
      <c r="AV544" s="1" t="s">
        <v>104</v>
      </c>
      <c r="AX544" s="1" t="str">
        <f>IFERROR(__xludf.DUMMYFUNCTION("""COMPUTED_VALUE"""),"")</f>
        <v/>
      </c>
      <c r="AZ544" s="1" t="str">
        <f>IFERROR(__xludf.DUMMYFUNCTION("""COMPUTED_VALUE"""),"")</f>
        <v/>
      </c>
      <c r="BB544" s="1" t="s">
        <v>104</v>
      </c>
      <c r="BC544" s="1" t="s">
        <v>104</v>
      </c>
      <c r="BE544" s="1" t="s">
        <v>104</v>
      </c>
      <c r="BG544" s="1" t="s">
        <v>104</v>
      </c>
      <c r="BH544" s="1" t="s">
        <v>104</v>
      </c>
      <c r="BI544" s="1" t="s">
        <v>104</v>
      </c>
      <c r="BJ544" s="1" t="s">
        <v>104</v>
      </c>
      <c r="BK544" s="1" t="s">
        <v>104</v>
      </c>
      <c r="BL544" s="1" t="s">
        <v>104</v>
      </c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N545" s="1" t="s">
        <v>104</v>
      </c>
      <c r="AO545" s="1" t="s">
        <v>104</v>
      </c>
      <c r="AP545" s="1" t="s">
        <v>104</v>
      </c>
      <c r="AQ545" s="1" t="s">
        <v>104</v>
      </c>
      <c r="AR545" s="1" t="s">
        <v>104</v>
      </c>
      <c r="AS545" s="1" t="s">
        <v>104</v>
      </c>
      <c r="AU545" s="1" t="s">
        <v>104</v>
      </c>
      <c r="AV545" s="1" t="s">
        <v>104</v>
      </c>
      <c r="AX545" s="1" t="str">
        <f>IFERROR(__xludf.DUMMYFUNCTION("""COMPUTED_VALUE"""),"")</f>
        <v/>
      </c>
      <c r="AZ545" s="1" t="str">
        <f>IFERROR(__xludf.DUMMYFUNCTION("""COMPUTED_VALUE"""),"")</f>
        <v/>
      </c>
      <c r="BB545" s="1" t="s">
        <v>104</v>
      </c>
      <c r="BC545" s="1" t="s">
        <v>104</v>
      </c>
      <c r="BE545" s="1" t="s">
        <v>104</v>
      </c>
      <c r="BG545" s="1" t="s">
        <v>104</v>
      </c>
      <c r="BH545" s="1" t="s">
        <v>104</v>
      </c>
      <c r="BI545" s="1" t="s">
        <v>104</v>
      </c>
      <c r="BJ545" s="1" t="s">
        <v>104</v>
      </c>
      <c r="BK545" s="1" t="s">
        <v>104</v>
      </c>
      <c r="BL545" s="1" t="s">
        <v>104</v>
      </c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N546" s="1" t="s">
        <v>104</v>
      </c>
      <c r="AO546" s="1" t="s">
        <v>104</v>
      </c>
      <c r="AP546" s="1" t="s">
        <v>104</v>
      </c>
      <c r="AQ546" s="1" t="s">
        <v>104</v>
      </c>
      <c r="AR546" s="1" t="s">
        <v>104</v>
      </c>
      <c r="AS546" s="1" t="s">
        <v>104</v>
      </c>
      <c r="AU546" s="1" t="s">
        <v>104</v>
      </c>
      <c r="AV546" s="1" t="s">
        <v>104</v>
      </c>
      <c r="AX546" s="1" t="str">
        <f>IFERROR(__xludf.DUMMYFUNCTION("""COMPUTED_VALUE"""),"")</f>
        <v/>
      </c>
      <c r="AZ546" s="1" t="str">
        <f>IFERROR(__xludf.DUMMYFUNCTION("""COMPUTED_VALUE"""),"")</f>
        <v/>
      </c>
      <c r="BB546" s="1" t="s">
        <v>104</v>
      </c>
      <c r="BC546" s="1" t="s">
        <v>104</v>
      </c>
      <c r="BE546" s="1" t="s">
        <v>104</v>
      </c>
      <c r="BG546" s="1" t="s">
        <v>104</v>
      </c>
      <c r="BH546" s="1" t="s">
        <v>104</v>
      </c>
      <c r="BI546" s="1" t="s">
        <v>104</v>
      </c>
      <c r="BJ546" s="1" t="s">
        <v>104</v>
      </c>
      <c r="BK546" s="1" t="s">
        <v>104</v>
      </c>
      <c r="BL546" s="1" t="s">
        <v>104</v>
      </c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N547" s="1" t="s">
        <v>104</v>
      </c>
      <c r="AO547" s="1" t="s">
        <v>104</v>
      </c>
      <c r="AP547" s="1" t="s">
        <v>104</v>
      </c>
      <c r="AQ547" s="1" t="s">
        <v>104</v>
      </c>
      <c r="AR547" s="1" t="s">
        <v>104</v>
      </c>
      <c r="AS547" s="1" t="s">
        <v>104</v>
      </c>
      <c r="AU547" s="1" t="s">
        <v>104</v>
      </c>
      <c r="AV547" s="1" t="s">
        <v>104</v>
      </c>
      <c r="AX547" s="1" t="str">
        <f>IFERROR(__xludf.DUMMYFUNCTION("""COMPUTED_VALUE"""),"")</f>
        <v/>
      </c>
      <c r="AZ547" s="1" t="str">
        <f>IFERROR(__xludf.DUMMYFUNCTION("""COMPUTED_VALUE"""),"")</f>
        <v/>
      </c>
      <c r="BB547" s="1" t="s">
        <v>104</v>
      </c>
      <c r="BC547" s="1" t="s">
        <v>104</v>
      </c>
      <c r="BE547" s="1" t="s">
        <v>104</v>
      </c>
      <c r="BG547" s="1" t="s">
        <v>104</v>
      </c>
      <c r="BH547" s="1" t="s">
        <v>104</v>
      </c>
      <c r="BI547" s="1" t="s">
        <v>104</v>
      </c>
      <c r="BJ547" s="1" t="s">
        <v>104</v>
      </c>
      <c r="BK547" s="1" t="s">
        <v>104</v>
      </c>
      <c r="BL547" s="1" t="s">
        <v>104</v>
      </c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N548" s="1" t="s">
        <v>104</v>
      </c>
      <c r="AO548" s="1" t="s">
        <v>104</v>
      </c>
      <c r="AP548" s="1" t="s">
        <v>104</v>
      </c>
      <c r="AQ548" s="1" t="s">
        <v>104</v>
      </c>
      <c r="AR548" s="1" t="s">
        <v>104</v>
      </c>
      <c r="AS548" s="1" t="s">
        <v>104</v>
      </c>
      <c r="AU548" s="1" t="s">
        <v>104</v>
      </c>
      <c r="AV548" s="1" t="s">
        <v>104</v>
      </c>
      <c r="AX548" s="1" t="str">
        <f>IFERROR(__xludf.DUMMYFUNCTION("""COMPUTED_VALUE"""),"")</f>
        <v/>
      </c>
      <c r="AZ548" s="1" t="str">
        <f>IFERROR(__xludf.DUMMYFUNCTION("""COMPUTED_VALUE"""),"")</f>
        <v/>
      </c>
      <c r="BB548" s="1" t="s">
        <v>104</v>
      </c>
      <c r="BC548" s="1" t="s">
        <v>104</v>
      </c>
      <c r="BE548" s="1" t="s">
        <v>104</v>
      </c>
      <c r="BG548" s="1" t="s">
        <v>104</v>
      </c>
      <c r="BH548" s="1" t="s">
        <v>104</v>
      </c>
      <c r="BI548" s="1" t="s">
        <v>104</v>
      </c>
      <c r="BJ548" s="1" t="s">
        <v>104</v>
      </c>
      <c r="BK548" s="1" t="s">
        <v>104</v>
      </c>
      <c r="BL548" s="1" t="s">
        <v>104</v>
      </c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N549" s="1" t="s">
        <v>104</v>
      </c>
      <c r="AO549" s="1" t="s">
        <v>104</v>
      </c>
      <c r="AP549" s="1" t="s">
        <v>104</v>
      </c>
      <c r="AQ549" s="1" t="s">
        <v>104</v>
      </c>
      <c r="AR549" s="1" t="s">
        <v>104</v>
      </c>
      <c r="AS549" s="1" t="s">
        <v>104</v>
      </c>
      <c r="AU549" s="1" t="s">
        <v>104</v>
      </c>
      <c r="AV549" s="1" t="s">
        <v>104</v>
      </c>
      <c r="AX549" s="1" t="str">
        <f>IFERROR(__xludf.DUMMYFUNCTION("""COMPUTED_VALUE"""),"")</f>
        <v/>
      </c>
      <c r="AZ549" s="1" t="str">
        <f>IFERROR(__xludf.DUMMYFUNCTION("""COMPUTED_VALUE"""),"")</f>
        <v/>
      </c>
      <c r="BB549" s="1" t="s">
        <v>104</v>
      </c>
      <c r="BC549" s="1" t="s">
        <v>104</v>
      </c>
      <c r="BE549" s="1" t="s">
        <v>104</v>
      </c>
      <c r="BG549" s="1" t="s">
        <v>104</v>
      </c>
      <c r="BH549" s="1" t="s">
        <v>104</v>
      </c>
      <c r="BI549" s="1" t="s">
        <v>104</v>
      </c>
      <c r="BJ549" s="1" t="s">
        <v>104</v>
      </c>
      <c r="BK549" s="1" t="s">
        <v>104</v>
      </c>
      <c r="BL549" s="1" t="s">
        <v>104</v>
      </c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N550" s="1" t="s">
        <v>104</v>
      </c>
      <c r="AO550" s="1" t="s">
        <v>104</v>
      </c>
      <c r="AP550" s="1" t="s">
        <v>104</v>
      </c>
      <c r="AQ550" s="1" t="s">
        <v>104</v>
      </c>
      <c r="AR550" s="1" t="s">
        <v>104</v>
      </c>
      <c r="AS550" s="1" t="s">
        <v>104</v>
      </c>
      <c r="AU550" s="1" t="s">
        <v>104</v>
      </c>
      <c r="AV550" s="1" t="s">
        <v>104</v>
      </c>
      <c r="AX550" s="1" t="str">
        <f>IFERROR(__xludf.DUMMYFUNCTION("""COMPUTED_VALUE"""),"")</f>
        <v/>
      </c>
      <c r="AZ550" s="1" t="str">
        <f>IFERROR(__xludf.DUMMYFUNCTION("""COMPUTED_VALUE"""),"")</f>
        <v/>
      </c>
      <c r="BB550" s="1" t="s">
        <v>104</v>
      </c>
      <c r="BC550" s="1" t="s">
        <v>104</v>
      </c>
      <c r="BE550" s="1" t="s">
        <v>104</v>
      </c>
      <c r="BG550" s="1" t="s">
        <v>104</v>
      </c>
      <c r="BH550" s="1" t="s">
        <v>104</v>
      </c>
      <c r="BI550" s="1" t="s">
        <v>104</v>
      </c>
      <c r="BJ550" s="1" t="s">
        <v>104</v>
      </c>
      <c r="BK550" s="1" t="s">
        <v>104</v>
      </c>
      <c r="BL550" s="1" t="s">
        <v>104</v>
      </c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N551" s="1" t="s">
        <v>104</v>
      </c>
      <c r="AO551" s="1" t="s">
        <v>104</v>
      </c>
      <c r="AP551" s="1" t="s">
        <v>104</v>
      </c>
      <c r="AQ551" s="1" t="s">
        <v>104</v>
      </c>
      <c r="AR551" s="1" t="s">
        <v>104</v>
      </c>
      <c r="AS551" s="1" t="s">
        <v>104</v>
      </c>
      <c r="AU551" s="1" t="s">
        <v>104</v>
      </c>
      <c r="AV551" s="1" t="s">
        <v>104</v>
      </c>
      <c r="AX551" s="1" t="str">
        <f>IFERROR(__xludf.DUMMYFUNCTION("""COMPUTED_VALUE"""),"")</f>
        <v/>
      </c>
      <c r="AZ551" s="1" t="str">
        <f>IFERROR(__xludf.DUMMYFUNCTION("""COMPUTED_VALUE"""),"")</f>
        <v/>
      </c>
      <c r="BB551" s="1" t="s">
        <v>104</v>
      </c>
      <c r="BC551" s="1" t="s">
        <v>104</v>
      </c>
      <c r="BE551" s="1" t="s">
        <v>104</v>
      </c>
      <c r="BG551" s="1" t="s">
        <v>104</v>
      </c>
      <c r="BH551" s="1" t="s">
        <v>104</v>
      </c>
      <c r="BI551" s="1" t="s">
        <v>104</v>
      </c>
      <c r="BJ551" s="1" t="s">
        <v>104</v>
      </c>
      <c r="BK551" s="1" t="s">
        <v>104</v>
      </c>
      <c r="BL551" s="1" t="s">
        <v>104</v>
      </c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N552" s="1" t="s">
        <v>104</v>
      </c>
      <c r="AO552" s="1" t="s">
        <v>104</v>
      </c>
      <c r="AP552" s="1" t="s">
        <v>104</v>
      </c>
      <c r="AQ552" s="1" t="s">
        <v>104</v>
      </c>
      <c r="AR552" s="1" t="s">
        <v>104</v>
      </c>
      <c r="AS552" s="1" t="s">
        <v>104</v>
      </c>
      <c r="AU552" s="1" t="s">
        <v>104</v>
      </c>
      <c r="AV552" s="1" t="s">
        <v>104</v>
      </c>
      <c r="AX552" s="1" t="str">
        <f>IFERROR(__xludf.DUMMYFUNCTION("""COMPUTED_VALUE"""),"")</f>
        <v/>
      </c>
      <c r="AZ552" s="1" t="str">
        <f>IFERROR(__xludf.DUMMYFUNCTION("""COMPUTED_VALUE"""),"")</f>
        <v/>
      </c>
      <c r="BB552" s="1" t="s">
        <v>104</v>
      </c>
      <c r="BC552" s="1" t="s">
        <v>104</v>
      </c>
      <c r="BE552" s="1" t="s">
        <v>104</v>
      </c>
      <c r="BG552" s="1" t="s">
        <v>104</v>
      </c>
      <c r="BH552" s="1" t="s">
        <v>104</v>
      </c>
      <c r="BI552" s="1" t="s">
        <v>104</v>
      </c>
      <c r="BJ552" s="1" t="s">
        <v>104</v>
      </c>
      <c r="BK552" s="1" t="s">
        <v>104</v>
      </c>
      <c r="BL552" s="1" t="s">
        <v>104</v>
      </c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N553" s="1" t="s">
        <v>104</v>
      </c>
      <c r="AO553" s="1" t="s">
        <v>104</v>
      </c>
      <c r="AP553" s="1" t="s">
        <v>104</v>
      </c>
      <c r="AQ553" s="1" t="s">
        <v>104</v>
      </c>
      <c r="AR553" s="1" t="s">
        <v>104</v>
      </c>
      <c r="AS553" s="1" t="s">
        <v>104</v>
      </c>
      <c r="AU553" s="1" t="s">
        <v>104</v>
      </c>
      <c r="AV553" s="1" t="s">
        <v>104</v>
      </c>
      <c r="AX553" s="1" t="str">
        <f>IFERROR(__xludf.DUMMYFUNCTION("""COMPUTED_VALUE"""),"")</f>
        <v/>
      </c>
      <c r="AZ553" s="1" t="str">
        <f>IFERROR(__xludf.DUMMYFUNCTION("""COMPUTED_VALUE"""),"")</f>
        <v/>
      </c>
      <c r="BB553" s="1" t="s">
        <v>104</v>
      </c>
      <c r="BC553" s="1" t="s">
        <v>104</v>
      </c>
      <c r="BE553" s="1" t="s">
        <v>104</v>
      </c>
      <c r="BG553" s="1" t="s">
        <v>104</v>
      </c>
      <c r="BH553" s="1" t="s">
        <v>104</v>
      </c>
      <c r="BI553" s="1" t="s">
        <v>104</v>
      </c>
      <c r="BJ553" s="1" t="s">
        <v>104</v>
      </c>
      <c r="BK553" s="1" t="s">
        <v>104</v>
      </c>
      <c r="BL553" s="1" t="s">
        <v>104</v>
      </c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N554" s="1" t="s">
        <v>104</v>
      </c>
      <c r="AO554" s="1" t="s">
        <v>104</v>
      </c>
      <c r="AP554" s="1" t="s">
        <v>104</v>
      </c>
      <c r="AQ554" s="1" t="s">
        <v>104</v>
      </c>
      <c r="AR554" s="1" t="s">
        <v>104</v>
      </c>
      <c r="AS554" s="1" t="s">
        <v>104</v>
      </c>
      <c r="AU554" s="1" t="s">
        <v>104</v>
      </c>
      <c r="AV554" s="1" t="s">
        <v>104</v>
      </c>
      <c r="AX554" s="1" t="str">
        <f>IFERROR(__xludf.DUMMYFUNCTION("""COMPUTED_VALUE"""),"")</f>
        <v/>
      </c>
      <c r="AZ554" s="1" t="str">
        <f>IFERROR(__xludf.DUMMYFUNCTION("""COMPUTED_VALUE"""),"")</f>
        <v/>
      </c>
      <c r="BB554" s="1" t="s">
        <v>104</v>
      </c>
      <c r="BC554" s="1" t="s">
        <v>104</v>
      </c>
      <c r="BE554" s="1" t="s">
        <v>104</v>
      </c>
      <c r="BG554" s="1" t="s">
        <v>104</v>
      </c>
      <c r="BH554" s="1" t="s">
        <v>104</v>
      </c>
      <c r="BI554" s="1" t="s">
        <v>104</v>
      </c>
      <c r="BJ554" s="1" t="s">
        <v>104</v>
      </c>
      <c r="BK554" s="1" t="s">
        <v>104</v>
      </c>
      <c r="BL554" s="1" t="s">
        <v>104</v>
      </c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N555" s="1" t="s">
        <v>104</v>
      </c>
      <c r="AO555" s="1" t="s">
        <v>104</v>
      </c>
      <c r="AP555" s="1" t="s">
        <v>104</v>
      </c>
      <c r="AQ555" s="1" t="s">
        <v>104</v>
      </c>
      <c r="AR555" s="1" t="s">
        <v>104</v>
      </c>
      <c r="AS555" s="1" t="s">
        <v>104</v>
      </c>
      <c r="AU555" s="1" t="s">
        <v>104</v>
      </c>
      <c r="AV555" s="1" t="s">
        <v>104</v>
      </c>
      <c r="AX555" s="1" t="str">
        <f>IFERROR(__xludf.DUMMYFUNCTION("""COMPUTED_VALUE"""),"")</f>
        <v/>
      </c>
      <c r="AZ555" s="1" t="str">
        <f>IFERROR(__xludf.DUMMYFUNCTION("""COMPUTED_VALUE"""),"")</f>
        <v/>
      </c>
      <c r="BB555" s="1" t="s">
        <v>104</v>
      </c>
      <c r="BC555" s="1" t="s">
        <v>104</v>
      </c>
      <c r="BE555" s="1" t="s">
        <v>104</v>
      </c>
      <c r="BG555" s="1" t="s">
        <v>104</v>
      </c>
      <c r="BH555" s="1" t="s">
        <v>104</v>
      </c>
      <c r="BI555" s="1" t="s">
        <v>104</v>
      </c>
      <c r="BJ555" s="1" t="s">
        <v>104</v>
      </c>
      <c r="BK555" s="1" t="s">
        <v>104</v>
      </c>
      <c r="BL555" s="1" t="s">
        <v>104</v>
      </c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N556" s="1" t="s">
        <v>104</v>
      </c>
      <c r="AO556" s="1" t="s">
        <v>104</v>
      </c>
      <c r="AP556" s="1" t="s">
        <v>104</v>
      </c>
      <c r="AQ556" s="1" t="s">
        <v>104</v>
      </c>
      <c r="AR556" s="1" t="s">
        <v>104</v>
      </c>
      <c r="AS556" s="1" t="s">
        <v>104</v>
      </c>
      <c r="AU556" s="1" t="s">
        <v>104</v>
      </c>
      <c r="AV556" s="1" t="s">
        <v>104</v>
      </c>
      <c r="AX556" s="1" t="str">
        <f>IFERROR(__xludf.DUMMYFUNCTION("""COMPUTED_VALUE"""),"")</f>
        <v/>
      </c>
      <c r="AZ556" s="1" t="str">
        <f>IFERROR(__xludf.DUMMYFUNCTION("""COMPUTED_VALUE"""),"")</f>
        <v/>
      </c>
      <c r="BB556" s="1" t="s">
        <v>104</v>
      </c>
      <c r="BC556" s="1" t="s">
        <v>104</v>
      </c>
      <c r="BE556" s="1" t="s">
        <v>104</v>
      </c>
      <c r="BG556" s="1" t="s">
        <v>104</v>
      </c>
      <c r="BH556" s="1" t="s">
        <v>104</v>
      </c>
      <c r="BI556" s="1" t="s">
        <v>104</v>
      </c>
      <c r="BJ556" s="1" t="s">
        <v>104</v>
      </c>
      <c r="BK556" s="1" t="s">
        <v>104</v>
      </c>
      <c r="BL556" s="1" t="s">
        <v>104</v>
      </c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N557" s="1" t="s">
        <v>104</v>
      </c>
      <c r="AO557" s="1" t="s">
        <v>104</v>
      </c>
      <c r="AP557" s="1" t="s">
        <v>104</v>
      </c>
      <c r="AQ557" s="1" t="s">
        <v>104</v>
      </c>
      <c r="AR557" s="1" t="s">
        <v>104</v>
      </c>
      <c r="AS557" s="1" t="s">
        <v>104</v>
      </c>
      <c r="AU557" s="1" t="s">
        <v>104</v>
      </c>
      <c r="AV557" s="1" t="s">
        <v>104</v>
      </c>
      <c r="AX557" s="1" t="str">
        <f>IFERROR(__xludf.DUMMYFUNCTION("""COMPUTED_VALUE"""),"")</f>
        <v/>
      </c>
      <c r="AZ557" s="1" t="str">
        <f>IFERROR(__xludf.DUMMYFUNCTION("""COMPUTED_VALUE"""),"")</f>
        <v/>
      </c>
      <c r="BB557" s="1" t="s">
        <v>104</v>
      </c>
      <c r="BC557" s="1" t="s">
        <v>104</v>
      </c>
      <c r="BE557" s="1" t="s">
        <v>104</v>
      </c>
      <c r="BG557" s="1" t="s">
        <v>104</v>
      </c>
      <c r="BH557" s="1" t="s">
        <v>104</v>
      </c>
      <c r="BI557" s="1" t="s">
        <v>104</v>
      </c>
      <c r="BJ557" s="1" t="s">
        <v>104</v>
      </c>
      <c r="BK557" s="1" t="s">
        <v>104</v>
      </c>
      <c r="BL557" s="1" t="s">
        <v>104</v>
      </c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N558" s="1" t="s">
        <v>104</v>
      </c>
      <c r="AO558" s="1" t="s">
        <v>104</v>
      </c>
      <c r="AP558" s="1" t="s">
        <v>104</v>
      </c>
      <c r="AQ558" s="1" t="s">
        <v>104</v>
      </c>
      <c r="AR558" s="1" t="s">
        <v>104</v>
      </c>
      <c r="AS558" s="1" t="s">
        <v>104</v>
      </c>
      <c r="AU558" s="1" t="s">
        <v>104</v>
      </c>
      <c r="AV558" s="1" t="s">
        <v>104</v>
      </c>
      <c r="AX558" s="1" t="str">
        <f>IFERROR(__xludf.DUMMYFUNCTION("""COMPUTED_VALUE"""),"")</f>
        <v/>
      </c>
      <c r="AZ558" s="1" t="str">
        <f>IFERROR(__xludf.DUMMYFUNCTION("""COMPUTED_VALUE"""),"")</f>
        <v/>
      </c>
      <c r="BB558" s="1" t="s">
        <v>104</v>
      </c>
      <c r="BC558" s="1" t="s">
        <v>104</v>
      </c>
      <c r="BE558" s="1" t="s">
        <v>104</v>
      </c>
      <c r="BG558" s="1" t="s">
        <v>104</v>
      </c>
      <c r="BH558" s="1" t="s">
        <v>104</v>
      </c>
      <c r="BI558" s="1" t="s">
        <v>104</v>
      </c>
      <c r="BJ558" s="1" t="s">
        <v>104</v>
      </c>
      <c r="BK558" s="1" t="s">
        <v>104</v>
      </c>
      <c r="BL558" s="1" t="s">
        <v>104</v>
      </c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N559" s="1" t="s">
        <v>104</v>
      </c>
      <c r="AO559" s="1" t="s">
        <v>104</v>
      </c>
      <c r="AP559" s="1" t="s">
        <v>104</v>
      </c>
      <c r="AQ559" s="1" t="s">
        <v>104</v>
      </c>
      <c r="AR559" s="1" t="s">
        <v>104</v>
      </c>
      <c r="AS559" s="1" t="s">
        <v>104</v>
      </c>
      <c r="AU559" s="1" t="s">
        <v>104</v>
      </c>
      <c r="AV559" s="1" t="s">
        <v>104</v>
      </c>
      <c r="AX559" s="1" t="str">
        <f>IFERROR(__xludf.DUMMYFUNCTION("""COMPUTED_VALUE"""),"")</f>
        <v/>
      </c>
      <c r="AZ559" s="1" t="str">
        <f>IFERROR(__xludf.DUMMYFUNCTION("""COMPUTED_VALUE"""),"")</f>
        <v/>
      </c>
      <c r="BB559" s="1" t="s">
        <v>104</v>
      </c>
      <c r="BC559" s="1" t="s">
        <v>104</v>
      </c>
      <c r="BE559" s="1" t="s">
        <v>104</v>
      </c>
      <c r="BG559" s="1" t="s">
        <v>104</v>
      </c>
      <c r="BH559" s="1" t="s">
        <v>104</v>
      </c>
      <c r="BI559" s="1" t="s">
        <v>104</v>
      </c>
      <c r="BJ559" s="1" t="s">
        <v>104</v>
      </c>
      <c r="BK559" s="1" t="s">
        <v>104</v>
      </c>
      <c r="BL559" s="1" t="s">
        <v>104</v>
      </c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N560" s="1" t="s">
        <v>104</v>
      </c>
      <c r="AO560" s="1" t="s">
        <v>104</v>
      </c>
      <c r="AP560" s="1" t="s">
        <v>104</v>
      </c>
      <c r="AQ560" s="1" t="s">
        <v>104</v>
      </c>
      <c r="AR560" s="1" t="s">
        <v>104</v>
      </c>
      <c r="AS560" s="1" t="s">
        <v>104</v>
      </c>
      <c r="AU560" s="1" t="s">
        <v>104</v>
      </c>
      <c r="AV560" s="1" t="s">
        <v>104</v>
      </c>
      <c r="AX560" s="1" t="str">
        <f>IFERROR(__xludf.DUMMYFUNCTION("""COMPUTED_VALUE"""),"")</f>
        <v/>
      </c>
      <c r="AZ560" s="1" t="str">
        <f>IFERROR(__xludf.DUMMYFUNCTION("""COMPUTED_VALUE"""),"")</f>
        <v/>
      </c>
      <c r="BB560" s="1" t="s">
        <v>104</v>
      </c>
      <c r="BC560" s="1" t="s">
        <v>104</v>
      </c>
      <c r="BE560" s="1" t="s">
        <v>104</v>
      </c>
      <c r="BG560" s="1" t="s">
        <v>104</v>
      </c>
      <c r="BH560" s="1" t="s">
        <v>104</v>
      </c>
      <c r="BI560" s="1" t="s">
        <v>104</v>
      </c>
      <c r="BJ560" s="1" t="s">
        <v>104</v>
      </c>
      <c r="BK560" s="1" t="s">
        <v>104</v>
      </c>
      <c r="BL560" s="1" t="s">
        <v>104</v>
      </c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N561" s="1" t="s">
        <v>104</v>
      </c>
      <c r="AO561" s="1" t="s">
        <v>104</v>
      </c>
      <c r="AP561" s="1" t="s">
        <v>104</v>
      </c>
      <c r="AQ561" s="1" t="s">
        <v>104</v>
      </c>
      <c r="AR561" s="1" t="s">
        <v>104</v>
      </c>
      <c r="AS561" s="1" t="s">
        <v>104</v>
      </c>
      <c r="AU561" s="1" t="s">
        <v>104</v>
      </c>
      <c r="AV561" s="1" t="s">
        <v>104</v>
      </c>
      <c r="AX561" s="1" t="str">
        <f>IFERROR(__xludf.DUMMYFUNCTION("""COMPUTED_VALUE"""),"")</f>
        <v/>
      </c>
      <c r="AZ561" s="1" t="str">
        <f>IFERROR(__xludf.DUMMYFUNCTION("""COMPUTED_VALUE"""),"")</f>
        <v/>
      </c>
      <c r="BB561" s="1" t="s">
        <v>104</v>
      </c>
      <c r="BC561" s="1" t="s">
        <v>104</v>
      </c>
      <c r="BE561" s="1" t="s">
        <v>104</v>
      </c>
      <c r="BG561" s="1" t="s">
        <v>104</v>
      </c>
      <c r="BH561" s="1" t="s">
        <v>104</v>
      </c>
      <c r="BI561" s="1" t="s">
        <v>104</v>
      </c>
      <c r="BJ561" s="1" t="s">
        <v>104</v>
      </c>
      <c r="BK561" s="1" t="s">
        <v>104</v>
      </c>
      <c r="BL561" s="1" t="s">
        <v>104</v>
      </c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N562" s="1" t="s">
        <v>104</v>
      </c>
      <c r="AO562" s="1" t="s">
        <v>104</v>
      </c>
      <c r="AP562" s="1" t="s">
        <v>104</v>
      </c>
      <c r="AQ562" s="1" t="s">
        <v>104</v>
      </c>
      <c r="AR562" s="1" t="s">
        <v>104</v>
      </c>
      <c r="AS562" s="1" t="s">
        <v>104</v>
      </c>
      <c r="AU562" s="1" t="s">
        <v>104</v>
      </c>
      <c r="AV562" s="1" t="s">
        <v>104</v>
      </c>
      <c r="AX562" s="1" t="str">
        <f>IFERROR(__xludf.DUMMYFUNCTION("""COMPUTED_VALUE"""),"")</f>
        <v/>
      </c>
      <c r="AZ562" s="1" t="str">
        <f>IFERROR(__xludf.DUMMYFUNCTION("""COMPUTED_VALUE"""),"")</f>
        <v/>
      </c>
      <c r="BB562" s="1" t="s">
        <v>104</v>
      </c>
      <c r="BC562" s="1" t="s">
        <v>104</v>
      </c>
      <c r="BE562" s="1" t="s">
        <v>104</v>
      </c>
      <c r="BG562" s="1" t="s">
        <v>104</v>
      </c>
      <c r="BH562" s="1" t="s">
        <v>104</v>
      </c>
      <c r="BI562" s="1" t="s">
        <v>104</v>
      </c>
      <c r="BJ562" s="1" t="s">
        <v>104</v>
      </c>
      <c r="BK562" s="1" t="s">
        <v>104</v>
      </c>
      <c r="BL562" s="1" t="s">
        <v>104</v>
      </c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N563" s="1" t="s">
        <v>104</v>
      </c>
      <c r="AO563" s="1" t="s">
        <v>104</v>
      </c>
      <c r="AP563" s="1" t="s">
        <v>104</v>
      </c>
      <c r="AQ563" s="1" t="s">
        <v>104</v>
      </c>
      <c r="AR563" s="1" t="s">
        <v>104</v>
      </c>
      <c r="AS563" s="1" t="s">
        <v>104</v>
      </c>
      <c r="AU563" s="1" t="s">
        <v>104</v>
      </c>
      <c r="AV563" s="1" t="s">
        <v>104</v>
      </c>
      <c r="AX563" s="1" t="str">
        <f>IFERROR(__xludf.DUMMYFUNCTION("""COMPUTED_VALUE"""),"")</f>
        <v/>
      </c>
      <c r="AZ563" s="1" t="str">
        <f>IFERROR(__xludf.DUMMYFUNCTION("""COMPUTED_VALUE"""),"")</f>
        <v/>
      </c>
      <c r="BB563" s="1" t="s">
        <v>104</v>
      </c>
      <c r="BC563" s="1" t="s">
        <v>104</v>
      </c>
      <c r="BE563" s="1" t="s">
        <v>104</v>
      </c>
      <c r="BG563" s="1" t="s">
        <v>104</v>
      </c>
      <c r="BH563" s="1" t="s">
        <v>104</v>
      </c>
      <c r="BI563" s="1" t="s">
        <v>104</v>
      </c>
      <c r="BJ563" s="1" t="s">
        <v>104</v>
      </c>
      <c r="BK563" s="1" t="s">
        <v>104</v>
      </c>
      <c r="BL563" s="1" t="s">
        <v>104</v>
      </c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N564" s="1" t="s">
        <v>104</v>
      </c>
      <c r="AO564" s="1" t="s">
        <v>104</v>
      </c>
      <c r="AP564" s="1" t="s">
        <v>104</v>
      </c>
      <c r="AQ564" s="1" t="s">
        <v>104</v>
      </c>
      <c r="AR564" s="1" t="s">
        <v>104</v>
      </c>
      <c r="AS564" s="1" t="s">
        <v>104</v>
      </c>
      <c r="AU564" s="1" t="s">
        <v>104</v>
      </c>
      <c r="AV564" s="1" t="s">
        <v>104</v>
      </c>
      <c r="AX564" s="1" t="str">
        <f>IFERROR(__xludf.DUMMYFUNCTION("""COMPUTED_VALUE"""),"")</f>
        <v/>
      </c>
      <c r="AZ564" s="1" t="str">
        <f>IFERROR(__xludf.DUMMYFUNCTION("""COMPUTED_VALUE"""),"")</f>
        <v/>
      </c>
      <c r="BB564" s="1" t="s">
        <v>104</v>
      </c>
      <c r="BC564" s="1" t="s">
        <v>104</v>
      </c>
      <c r="BE564" s="1" t="s">
        <v>104</v>
      </c>
      <c r="BG564" s="1" t="s">
        <v>104</v>
      </c>
      <c r="BH564" s="1" t="s">
        <v>104</v>
      </c>
      <c r="BI564" s="1" t="s">
        <v>104</v>
      </c>
      <c r="BJ564" s="1" t="s">
        <v>104</v>
      </c>
      <c r="BK564" s="1" t="s">
        <v>104</v>
      </c>
      <c r="BL564" s="1" t="s">
        <v>104</v>
      </c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N565" s="1" t="s">
        <v>104</v>
      </c>
      <c r="AO565" s="1" t="s">
        <v>104</v>
      </c>
      <c r="AP565" s="1" t="s">
        <v>104</v>
      </c>
      <c r="AQ565" s="1" t="s">
        <v>104</v>
      </c>
      <c r="AR565" s="1" t="s">
        <v>104</v>
      </c>
      <c r="AS565" s="1" t="s">
        <v>104</v>
      </c>
      <c r="AU565" s="1" t="s">
        <v>104</v>
      </c>
      <c r="AV565" s="1" t="s">
        <v>104</v>
      </c>
      <c r="AX565" s="1" t="str">
        <f>IFERROR(__xludf.DUMMYFUNCTION("""COMPUTED_VALUE"""),"")</f>
        <v/>
      </c>
      <c r="AZ565" s="1" t="str">
        <f>IFERROR(__xludf.DUMMYFUNCTION("""COMPUTED_VALUE"""),"")</f>
        <v/>
      </c>
      <c r="BB565" s="1" t="s">
        <v>104</v>
      </c>
      <c r="BC565" s="1" t="s">
        <v>104</v>
      </c>
      <c r="BE565" s="1" t="s">
        <v>104</v>
      </c>
      <c r="BG565" s="1" t="s">
        <v>104</v>
      </c>
      <c r="BH565" s="1" t="s">
        <v>104</v>
      </c>
      <c r="BI565" s="1" t="s">
        <v>104</v>
      </c>
      <c r="BJ565" s="1" t="s">
        <v>104</v>
      </c>
      <c r="BK565" s="1" t="s">
        <v>104</v>
      </c>
      <c r="BL565" s="1" t="s">
        <v>104</v>
      </c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N566" s="1" t="s">
        <v>104</v>
      </c>
      <c r="AO566" s="1" t="s">
        <v>104</v>
      </c>
      <c r="AP566" s="1" t="s">
        <v>104</v>
      </c>
      <c r="AQ566" s="1" t="s">
        <v>104</v>
      </c>
      <c r="AR566" s="1" t="s">
        <v>104</v>
      </c>
      <c r="AS566" s="1" t="s">
        <v>104</v>
      </c>
      <c r="AU566" s="1" t="s">
        <v>104</v>
      </c>
      <c r="AV566" s="1" t="s">
        <v>104</v>
      </c>
      <c r="AX566" s="1" t="str">
        <f>IFERROR(__xludf.DUMMYFUNCTION("""COMPUTED_VALUE"""),"")</f>
        <v/>
      </c>
      <c r="AZ566" s="1" t="str">
        <f>IFERROR(__xludf.DUMMYFUNCTION("""COMPUTED_VALUE"""),"")</f>
        <v/>
      </c>
      <c r="BB566" s="1" t="s">
        <v>104</v>
      </c>
      <c r="BC566" s="1" t="s">
        <v>104</v>
      </c>
      <c r="BE566" s="1" t="s">
        <v>104</v>
      </c>
      <c r="BG566" s="1" t="s">
        <v>104</v>
      </c>
      <c r="BH566" s="1" t="s">
        <v>104</v>
      </c>
      <c r="BI566" s="1" t="s">
        <v>104</v>
      </c>
      <c r="BJ566" s="1" t="s">
        <v>104</v>
      </c>
      <c r="BK566" s="1" t="s">
        <v>104</v>
      </c>
      <c r="BL566" s="1" t="s">
        <v>104</v>
      </c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N567" s="1" t="s">
        <v>104</v>
      </c>
      <c r="AO567" s="1" t="s">
        <v>104</v>
      </c>
      <c r="AP567" s="1" t="s">
        <v>104</v>
      </c>
      <c r="AQ567" s="1" t="s">
        <v>104</v>
      </c>
      <c r="AR567" s="1" t="s">
        <v>104</v>
      </c>
      <c r="AS567" s="1" t="s">
        <v>104</v>
      </c>
      <c r="AU567" s="1" t="s">
        <v>104</v>
      </c>
      <c r="AV567" s="1" t="s">
        <v>104</v>
      </c>
      <c r="AX567" s="1" t="str">
        <f>IFERROR(__xludf.DUMMYFUNCTION("""COMPUTED_VALUE"""),"")</f>
        <v/>
      </c>
      <c r="AZ567" s="1" t="str">
        <f>IFERROR(__xludf.DUMMYFUNCTION("""COMPUTED_VALUE"""),"")</f>
        <v/>
      </c>
      <c r="BB567" s="1" t="s">
        <v>104</v>
      </c>
      <c r="BC567" s="1" t="s">
        <v>104</v>
      </c>
      <c r="BE567" s="1" t="s">
        <v>104</v>
      </c>
      <c r="BG567" s="1" t="s">
        <v>104</v>
      </c>
      <c r="BH567" s="1" t="s">
        <v>104</v>
      </c>
      <c r="BI567" s="1" t="s">
        <v>104</v>
      </c>
      <c r="BJ567" s="1" t="s">
        <v>104</v>
      </c>
      <c r="BK567" s="1" t="s">
        <v>104</v>
      </c>
      <c r="BL567" s="1" t="s">
        <v>104</v>
      </c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N568" s="1" t="s">
        <v>104</v>
      </c>
      <c r="AO568" s="1" t="s">
        <v>104</v>
      </c>
      <c r="AP568" s="1" t="s">
        <v>104</v>
      </c>
      <c r="AQ568" s="1" t="s">
        <v>104</v>
      </c>
      <c r="AR568" s="1" t="s">
        <v>104</v>
      </c>
      <c r="AS568" s="1" t="s">
        <v>104</v>
      </c>
      <c r="AU568" s="1" t="s">
        <v>104</v>
      </c>
      <c r="AV568" s="1" t="s">
        <v>104</v>
      </c>
      <c r="AX568" s="1" t="str">
        <f>IFERROR(__xludf.DUMMYFUNCTION("""COMPUTED_VALUE"""),"")</f>
        <v/>
      </c>
      <c r="AZ568" s="1" t="str">
        <f>IFERROR(__xludf.DUMMYFUNCTION("""COMPUTED_VALUE"""),"")</f>
        <v/>
      </c>
      <c r="BB568" s="1" t="s">
        <v>104</v>
      </c>
      <c r="BC568" s="1" t="s">
        <v>104</v>
      </c>
      <c r="BE568" s="1" t="s">
        <v>104</v>
      </c>
      <c r="BG568" s="1" t="s">
        <v>104</v>
      </c>
      <c r="BH568" s="1" t="s">
        <v>104</v>
      </c>
      <c r="BI568" s="1" t="s">
        <v>104</v>
      </c>
      <c r="BJ568" s="1" t="s">
        <v>104</v>
      </c>
      <c r="BK568" s="1" t="s">
        <v>104</v>
      </c>
      <c r="BL568" s="1" t="s">
        <v>104</v>
      </c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N569" s="1" t="s">
        <v>104</v>
      </c>
      <c r="AO569" s="1" t="s">
        <v>104</v>
      </c>
      <c r="AP569" s="1" t="s">
        <v>104</v>
      </c>
      <c r="AQ569" s="1" t="s">
        <v>104</v>
      </c>
      <c r="AR569" s="1" t="s">
        <v>104</v>
      </c>
      <c r="AS569" s="1" t="s">
        <v>104</v>
      </c>
      <c r="AU569" s="1" t="s">
        <v>104</v>
      </c>
      <c r="AV569" s="1" t="s">
        <v>104</v>
      </c>
      <c r="AX569" s="1" t="str">
        <f>IFERROR(__xludf.DUMMYFUNCTION("""COMPUTED_VALUE"""),"")</f>
        <v/>
      </c>
      <c r="AZ569" s="1" t="str">
        <f>IFERROR(__xludf.DUMMYFUNCTION("""COMPUTED_VALUE"""),"")</f>
        <v/>
      </c>
      <c r="BB569" s="1" t="s">
        <v>104</v>
      </c>
      <c r="BC569" s="1" t="s">
        <v>104</v>
      </c>
      <c r="BE569" s="1" t="s">
        <v>104</v>
      </c>
      <c r="BG569" s="1" t="s">
        <v>104</v>
      </c>
      <c r="BH569" s="1" t="s">
        <v>104</v>
      </c>
      <c r="BI569" s="1" t="s">
        <v>104</v>
      </c>
      <c r="BJ569" s="1" t="s">
        <v>104</v>
      </c>
      <c r="BK569" s="1" t="s">
        <v>104</v>
      </c>
      <c r="BL569" s="1" t="s">
        <v>104</v>
      </c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N570" s="1" t="s">
        <v>104</v>
      </c>
      <c r="AO570" s="1" t="s">
        <v>104</v>
      </c>
      <c r="AP570" s="1" t="s">
        <v>104</v>
      </c>
      <c r="AQ570" s="1" t="s">
        <v>104</v>
      </c>
      <c r="AR570" s="1" t="s">
        <v>104</v>
      </c>
      <c r="AS570" s="1" t="s">
        <v>104</v>
      </c>
      <c r="AU570" s="1" t="s">
        <v>104</v>
      </c>
      <c r="AV570" s="1" t="s">
        <v>104</v>
      </c>
      <c r="AX570" s="1" t="str">
        <f>IFERROR(__xludf.DUMMYFUNCTION("""COMPUTED_VALUE"""),"")</f>
        <v/>
      </c>
      <c r="AZ570" s="1" t="str">
        <f>IFERROR(__xludf.DUMMYFUNCTION("""COMPUTED_VALUE"""),"")</f>
        <v/>
      </c>
      <c r="BB570" s="1" t="s">
        <v>104</v>
      </c>
      <c r="BC570" s="1" t="s">
        <v>104</v>
      </c>
      <c r="BE570" s="1" t="s">
        <v>104</v>
      </c>
      <c r="BG570" s="1" t="s">
        <v>104</v>
      </c>
      <c r="BH570" s="1" t="s">
        <v>104</v>
      </c>
      <c r="BI570" s="1" t="s">
        <v>104</v>
      </c>
      <c r="BJ570" s="1" t="s">
        <v>104</v>
      </c>
      <c r="BK570" s="1" t="s">
        <v>104</v>
      </c>
      <c r="BL570" s="1" t="s">
        <v>104</v>
      </c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N571" s="1" t="s">
        <v>104</v>
      </c>
      <c r="AO571" s="1" t="s">
        <v>104</v>
      </c>
      <c r="AP571" s="1" t="s">
        <v>104</v>
      </c>
      <c r="AQ571" s="1" t="s">
        <v>104</v>
      </c>
      <c r="AR571" s="1" t="s">
        <v>104</v>
      </c>
      <c r="AS571" s="1" t="s">
        <v>104</v>
      </c>
      <c r="AU571" s="1" t="s">
        <v>104</v>
      </c>
      <c r="AV571" s="1" t="s">
        <v>104</v>
      </c>
      <c r="AX571" s="1" t="str">
        <f>IFERROR(__xludf.DUMMYFUNCTION("""COMPUTED_VALUE"""),"")</f>
        <v/>
      </c>
      <c r="AZ571" s="1" t="str">
        <f>IFERROR(__xludf.DUMMYFUNCTION("""COMPUTED_VALUE"""),"")</f>
        <v/>
      </c>
      <c r="BB571" s="1" t="s">
        <v>104</v>
      </c>
      <c r="BC571" s="1" t="s">
        <v>104</v>
      </c>
      <c r="BE571" s="1" t="s">
        <v>104</v>
      </c>
      <c r="BG571" s="1" t="s">
        <v>104</v>
      </c>
      <c r="BH571" s="1" t="s">
        <v>104</v>
      </c>
      <c r="BI571" s="1" t="s">
        <v>104</v>
      </c>
      <c r="BJ571" s="1" t="s">
        <v>104</v>
      </c>
      <c r="BK571" s="1" t="s">
        <v>104</v>
      </c>
      <c r="BL571" s="1" t="s">
        <v>104</v>
      </c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N572" s="1" t="s">
        <v>104</v>
      </c>
      <c r="AO572" s="1" t="s">
        <v>104</v>
      </c>
      <c r="AP572" s="1" t="s">
        <v>104</v>
      </c>
      <c r="AQ572" s="1" t="s">
        <v>104</v>
      </c>
      <c r="AR572" s="1" t="s">
        <v>104</v>
      </c>
      <c r="AS572" s="1" t="s">
        <v>104</v>
      </c>
      <c r="AU572" s="1" t="s">
        <v>104</v>
      </c>
      <c r="AV572" s="1" t="s">
        <v>104</v>
      </c>
      <c r="AX572" s="1" t="str">
        <f>IFERROR(__xludf.DUMMYFUNCTION("""COMPUTED_VALUE"""),"")</f>
        <v/>
      </c>
      <c r="AZ572" s="1" t="str">
        <f>IFERROR(__xludf.DUMMYFUNCTION("""COMPUTED_VALUE"""),"")</f>
        <v/>
      </c>
      <c r="BB572" s="1" t="s">
        <v>104</v>
      </c>
      <c r="BC572" s="1" t="s">
        <v>104</v>
      </c>
      <c r="BE572" s="1" t="s">
        <v>104</v>
      </c>
      <c r="BG572" s="1" t="s">
        <v>104</v>
      </c>
      <c r="BH572" s="1" t="s">
        <v>104</v>
      </c>
      <c r="BI572" s="1" t="s">
        <v>104</v>
      </c>
      <c r="BJ572" s="1" t="s">
        <v>104</v>
      </c>
      <c r="BK572" s="1" t="s">
        <v>104</v>
      </c>
      <c r="BL572" s="1" t="s">
        <v>104</v>
      </c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N573" s="1" t="s">
        <v>104</v>
      </c>
      <c r="AO573" s="1" t="s">
        <v>104</v>
      </c>
      <c r="AP573" s="1" t="s">
        <v>104</v>
      </c>
      <c r="AQ573" s="1" t="s">
        <v>104</v>
      </c>
      <c r="AR573" s="1" t="s">
        <v>104</v>
      </c>
      <c r="AS573" s="1" t="s">
        <v>104</v>
      </c>
      <c r="AU573" s="1" t="s">
        <v>104</v>
      </c>
      <c r="AV573" s="1" t="s">
        <v>104</v>
      </c>
      <c r="AX573" s="1" t="str">
        <f>IFERROR(__xludf.DUMMYFUNCTION("""COMPUTED_VALUE"""),"")</f>
        <v/>
      </c>
      <c r="AZ573" s="1" t="str">
        <f>IFERROR(__xludf.DUMMYFUNCTION("""COMPUTED_VALUE"""),"")</f>
        <v/>
      </c>
      <c r="BB573" s="1" t="s">
        <v>104</v>
      </c>
      <c r="BC573" s="1" t="s">
        <v>104</v>
      </c>
      <c r="BE573" s="1" t="s">
        <v>104</v>
      </c>
      <c r="BG573" s="1" t="s">
        <v>104</v>
      </c>
      <c r="BH573" s="1" t="s">
        <v>104</v>
      </c>
      <c r="BI573" s="1" t="s">
        <v>104</v>
      </c>
      <c r="BJ573" s="1" t="s">
        <v>104</v>
      </c>
      <c r="BK573" s="1" t="s">
        <v>104</v>
      </c>
      <c r="BL573" s="1" t="s">
        <v>104</v>
      </c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N574" s="1" t="s">
        <v>104</v>
      </c>
      <c r="AO574" s="1" t="s">
        <v>104</v>
      </c>
      <c r="AP574" s="1" t="s">
        <v>104</v>
      </c>
      <c r="AQ574" s="1" t="s">
        <v>104</v>
      </c>
      <c r="AR574" s="1" t="s">
        <v>104</v>
      </c>
      <c r="AS574" s="1" t="s">
        <v>104</v>
      </c>
      <c r="AU574" s="1" t="s">
        <v>104</v>
      </c>
      <c r="AV574" s="1" t="s">
        <v>104</v>
      </c>
      <c r="AX574" s="1" t="str">
        <f>IFERROR(__xludf.DUMMYFUNCTION("""COMPUTED_VALUE"""),"")</f>
        <v/>
      </c>
      <c r="AZ574" s="1" t="str">
        <f>IFERROR(__xludf.DUMMYFUNCTION("""COMPUTED_VALUE"""),"")</f>
        <v/>
      </c>
      <c r="BB574" s="1" t="s">
        <v>104</v>
      </c>
      <c r="BC574" s="1" t="s">
        <v>104</v>
      </c>
      <c r="BE574" s="1" t="s">
        <v>104</v>
      </c>
      <c r="BG574" s="1" t="s">
        <v>104</v>
      </c>
      <c r="BH574" s="1" t="s">
        <v>104</v>
      </c>
      <c r="BI574" s="1" t="s">
        <v>104</v>
      </c>
      <c r="BJ574" s="1" t="s">
        <v>104</v>
      </c>
      <c r="BK574" s="1" t="s">
        <v>104</v>
      </c>
      <c r="BL574" s="1" t="s">
        <v>104</v>
      </c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N575" s="1" t="s">
        <v>104</v>
      </c>
      <c r="AO575" s="1" t="s">
        <v>104</v>
      </c>
      <c r="AP575" s="1" t="s">
        <v>104</v>
      </c>
      <c r="AQ575" s="1" t="s">
        <v>104</v>
      </c>
      <c r="AR575" s="1" t="s">
        <v>104</v>
      </c>
      <c r="AS575" s="1" t="s">
        <v>104</v>
      </c>
      <c r="AU575" s="1" t="s">
        <v>104</v>
      </c>
      <c r="AV575" s="1" t="s">
        <v>104</v>
      </c>
      <c r="AX575" s="1" t="str">
        <f>IFERROR(__xludf.DUMMYFUNCTION("""COMPUTED_VALUE"""),"")</f>
        <v/>
      </c>
      <c r="AZ575" s="1" t="str">
        <f>IFERROR(__xludf.DUMMYFUNCTION("""COMPUTED_VALUE"""),"")</f>
        <v/>
      </c>
      <c r="BB575" s="1" t="s">
        <v>104</v>
      </c>
      <c r="BC575" s="1" t="s">
        <v>104</v>
      </c>
      <c r="BE575" s="1" t="s">
        <v>104</v>
      </c>
      <c r="BG575" s="1" t="s">
        <v>104</v>
      </c>
      <c r="BH575" s="1" t="s">
        <v>104</v>
      </c>
      <c r="BI575" s="1" t="s">
        <v>104</v>
      </c>
      <c r="BJ575" s="1" t="s">
        <v>104</v>
      </c>
      <c r="BK575" s="1" t="s">
        <v>104</v>
      </c>
      <c r="BL575" s="1" t="s">
        <v>104</v>
      </c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N576" s="1" t="s">
        <v>104</v>
      </c>
      <c r="AO576" s="1" t="s">
        <v>104</v>
      </c>
      <c r="AP576" s="1" t="s">
        <v>104</v>
      </c>
      <c r="AQ576" s="1" t="s">
        <v>104</v>
      </c>
      <c r="AR576" s="1" t="s">
        <v>104</v>
      </c>
      <c r="AS576" s="1" t="s">
        <v>104</v>
      </c>
      <c r="AU576" s="1" t="s">
        <v>104</v>
      </c>
      <c r="AV576" s="1" t="s">
        <v>104</v>
      </c>
      <c r="AX576" s="1" t="str">
        <f>IFERROR(__xludf.DUMMYFUNCTION("""COMPUTED_VALUE"""),"")</f>
        <v/>
      </c>
      <c r="AZ576" s="1" t="str">
        <f>IFERROR(__xludf.DUMMYFUNCTION("""COMPUTED_VALUE"""),"")</f>
        <v/>
      </c>
      <c r="BB576" s="1" t="s">
        <v>104</v>
      </c>
      <c r="BC576" s="1" t="s">
        <v>104</v>
      </c>
      <c r="BE576" s="1" t="s">
        <v>104</v>
      </c>
      <c r="BG576" s="1" t="s">
        <v>104</v>
      </c>
      <c r="BH576" s="1" t="s">
        <v>104</v>
      </c>
      <c r="BI576" s="1" t="s">
        <v>104</v>
      </c>
      <c r="BJ576" s="1" t="s">
        <v>104</v>
      </c>
      <c r="BK576" s="1" t="s">
        <v>104</v>
      </c>
      <c r="BL576" s="1" t="s">
        <v>104</v>
      </c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N577" s="1" t="s">
        <v>104</v>
      </c>
      <c r="AO577" s="1" t="s">
        <v>104</v>
      </c>
      <c r="AP577" s="1" t="s">
        <v>104</v>
      </c>
      <c r="AQ577" s="1" t="s">
        <v>104</v>
      </c>
      <c r="AR577" s="1" t="s">
        <v>104</v>
      </c>
      <c r="AS577" s="1" t="s">
        <v>104</v>
      </c>
      <c r="AU577" s="1" t="s">
        <v>104</v>
      </c>
      <c r="AV577" s="1" t="s">
        <v>104</v>
      </c>
      <c r="AX577" s="1" t="str">
        <f>IFERROR(__xludf.DUMMYFUNCTION("""COMPUTED_VALUE"""),"")</f>
        <v/>
      </c>
      <c r="AZ577" s="1" t="str">
        <f>IFERROR(__xludf.DUMMYFUNCTION("""COMPUTED_VALUE"""),"")</f>
        <v/>
      </c>
      <c r="BB577" s="1" t="s">
        <v>104</v>
      </c>
      <c r="BC577" s="1" t="s">
        <v>104</v>
      </c>
      <c r="BE577" s="1" t="s">
        <v>104</v>
      </c>
      <c r="BG577" s="1" t="s">
        <v>104</v>
      </c>
      <c r="BH577" s="1" t="s">
        <v>104</v>
      </c>
      <c r="BI577" s="1" t="s">
        <v>104</v>
      </c>
      <c r="BJ577" s="1" t="s">
        <v>104</v>
      </c>
      <c r="BK577" s="1" t="s">
        <v>104</v>
      </c>
      <c r="BL577" s="1" t="s">
        <v>104</v>
      </c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N578" s="1" t="s">
        <v>104</v>
      </c>
      <c r="AO578" s="1" t="s">
        <v>104</v>
      </c>
      <c r="AP578" s="1" t="s">
        <v>104</v>
      </c>
      <c r="AQ578" s="1" t="s">
        <v>104</v>
      </c>
      <c r="AR578" s="1" t="s">
        <v>104</v>
      </c>
      <c r="AS578" s="1" t="s">
        <v>104</v>
      </c>
      <c r="AU578" s="1" t="s">
        <v>104</v>
      </c>
      <c r="AV578" s="1" t="s">
        <v>104</v>
      </c>
      <c r="AX578" s="1" t="str">
        <f>IFERROR(__xludf.DUMMYFUNCTION("""COMPUTED_VALUE"""),"")</f>
        <v/>
      </c>
      <c r="AZ578" s="1" t="str">
        <f>IFERROR(__xludf.DUMMYFUNCTION("""COMPUTED_VALUE"""),"")</f>
        <v/>
      </c>
      <c r="BB578" s="1" t="s">
        <v>104</v>
      </c>
      <c r="BC578" s="1" t="s">
        <v>104</v>
      </c>
      <c r="BE578" s="1" t="s">
        <v>104</v>
      </c>
      <c r="BG578" s="1" t="s">
        <v>104</v>
      </c>
      <c r="BH578" s="1" t="s">
        <v>104</v>
      </c>
      <c r="BI578" s="1" t="s">
        <v>104</v>
      </c>
      <c r="BJ578" s="1" t="s">
        <v>104</v>
      </c>
      <c r="BK578" s="1" t="s">
        <v>104</v>
      </c>
      <c r="BL578" s="1" t="s">
        <v>104</v>
      </c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N579" s="1" t="s">
        <v>104</v>
      </c>
      <c r="AO579" s="1" t="s">
        <v>104</v>
      </c>
      <c r="AP579" s="1" t="s">
        <v>104</v>
      </c>
      <c r="AQ579" s="1" t="s">
        <v>104</v>
      </c>
      <c r="AR579" s="1" t="s">
        <v>104</v>
      </c>
      <c r="AS579" s="1" t="s">
        <v>104</v>
      </c>
      <c r="AU579" s="1" t="s">
        <v>104</v>
      </c>
      <c r="AV579" s="1" t="s">
        <v>104</v>
      </c>
      <c r="AX579" s="1" t="str">
        <f>IFERROR(__xludf.DUMMYFUNCTION("""COMPUTED_VALUE"""),"")</f>
        <v/>
      </c>
      <c r="AZ579" s="1" t="str">
        <f>IFERROR(__xludf.DUMMYFUNCTION("""COMPUTED_VALUE"""),"")</f>
        <v/>
      </c>
      <c r="BB579" s="1" t="s">
        <v>104</v>
      </c>
      <c r="BC579" s="1" t="s">
        <v>104</v>
      </c>
      <c r="BE579" s="1" t="s">
        <v>104</v>
      </c>
      <c r="BG579" s="1" t="s">
        <v>104</v>
      </c>
      <c r="BH579" s="1" t="s">
        <v>104</v>
      </c>
      <c r="BI579" s="1" t="s">
        <v>104</v>
      </c>
      <c r="BJ579" s="1" t="s">
        <v>104</v>
      </c>
      <c r="BK579" s="1" t="s">
        <v>104</v>
      </c>
      <c r="BL579" s="1" t="s">
        <v>104</v>
      </c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N580" s="1" t="s">
        <v>104</v>
      </c>
      <c r="AO580" s="1" t="s">
        <v>104</v>
      </c>
      <c r="AP580" s="1" t="s">
        <v>104</v>
      </c>
      <c r="AQ580" s="1" t="s">
        <v>104</v>
      </c>
      <c r="AR580" s="1" t="s">
        <v>104</v>
      </c>
      <c r="AS580" s="1" t="s">
        <v>104</v>
      </c>
      <c r="AU580" s="1" t="s">
        <v>104</v>
      </c>
      <c r="AV580" s="1" t="s">
        <v>104</v>
      </c>
      <c r="AX580" s="1" t="str">
        <f>IFERROR(__xludf.DUMMYFUNCTION("""COMPUTED_VALUE"""),"")</f>
        <v/>
      </c>
      <c r="AZ580" s="1" t="str">
        <f>IFERROR(__xludf.DUMMYFUNCTION("""COMPUTED_VALUE"""),"")</f>
        <v/>
      </c>
      <c r="BB580" s="1" t="s">
        <v>104</v>
      </c>
      <c r="BC580" s="1" t="s">
        <v>104</v>
      </c>
      <c r="BE580" s="1" t="s">
        <v>104</v>
      </c>
      <c r="BG580" s="1" t="s">
        <v>104</v>
      </c>
      <c r="BH580" s="1" t="s">
        <v>104</v>
      </c>
      <c r="BI580" s="1" t="s">
        <v>104</v>
      </c>
      <c r="BJ580" s="1" t="s">
        <v>104</v>
      </c>
      <c r="BK580" s="1" t="s">
        <v>104</v>
      </c>
      <c r="BL580" s="1" t="s">
        <v>104</v>
      </c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N581" s="1" t="s">
        <v>104</v>
      </c>
      <c r="AO581" s="1" t="s">
        <v>104</v>
      </c>
      <c r="AP581" s="1" t="s">
        <v>104</v>
      </c>
      <c r="AQ581" s="1" t="s">
        <v>104</v>
      </c>
      <c r="AR581" s="1" t="s">
        <v>104</v>
      </c>
      <c r="AS581" s="1" t="s">
        <v>104</v>
      </c>
      <c r="AU581" s="1" t="s">
        <v>104</v>
      </c>
      <c r="AV581" s="1" t="s">
        <v>104</v>
      </c>
      <c r="AX581" s="1" t="str">
        <f>IFERROR(__xludf.DUMMYFUNCTION("""COMPUTED_VALUE"""),"")</f>
        <v/>
      </c>
      <c r="AZ581" s="1" t="str">
        <f>IFERROR(__xludf.DUMMYFUNCTION("""COMPUTED_VALUE"""),"")</f>
        <v/>
      </c>
      <c r="BB581" s="1" t="s">
        <v>104</v>
      </c>
      <c r="BC581" s="1" t="s">
        <v>104</v>
      </c>
      <c r="BE581" s="1" t="s">
        <v>104</v>
      </c>
      <c r="BG581" s="1" t="s">
        <v>104</v>
      </c>
      <c r="BH581" s="1" t="s">
        <v>104</v>
      </c>
      <c r="BI581" s="1" t="s">
        <v>104</v>
      </c>
      <c r="BJ581" s="1" t="s">
        <v>104</v>
      </c>
      <c r="BK581" s="1" t="s">
        <v>104</v>
      </c>
      <c r="BL581" s="1" t="s">
        <v>104</v>
      </c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N582" s="1" t="s">
        <v>104</v>
      </c>
      <c r="AO582" s="1" t="s">
        <v>104</v>
      </c>
      <c r="AP582" s="1" t="s">
        <v>104</v>
      </c>
      <c r="AQ582" s="1" t="s">
        <v>104</v>
      </c>
      <c r="AR582" s="1" t="s">
        <v>104</v>
      </c>
      <c r="AS582" s="1" t="s">
        <v>104</v>
      </c>
      <c r="AU582" s="1" t="s">
        <v>104</v>
      </c>
      <c r="AV582" s="1" t="s">
        <v>104</v>
      </c>
      <c r="AX582" s="1" t="str">
        <f>IFERROR(__xludf.DUMMYFUNCTION("""COMPUTED_VALUE"""),"")</f>
        <v/>
      </c>
      <c r="AZ582" s="1" t="str">
        <f>IFERROR(__xludf.DUMMYFUNCTION("""COMPUTED_VALUE"""),"")</f>
        <v/>
      </c>
      <c r="BB582" s="1" t="s">
        <v>104</v>
      </c>
      <c r="BC582" s="1" t="s">
        <v>104</v>
      </c>
      <c r="BE582" s="1" t="s">
        <v>104</v>
      </c>
      <c r="BG582" s="1" t="s">
        <v>104</v>
      </c>
      <c r="BH582" s="1" t="s">
        <v>104</v>
      </c>
      <c r="BI582" s="1" t="s">
        <v>104</v>
      </c>
      <c r="BJ582" s="1" t="s">
        <v>104</v>
      </c>
      <c r="BK582" s="1" t="s">
        <v>104</v>
      </c>
      <c r="BL582" s="1" t="s">
        <v>104</v>
      </c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N583" s="1" t="s">
        <v>104</v>
      </c>
      <c r="AO583" s="1" t="s">
        <v>104</v>
      </c>
      <c r="AP583" s="1" t="s">
        <v>104</v>
      </c>
      <c r="AQ583" s="1" t="s">
        <v>104</v>
      </c>
      <c r="AR583" s="1" t="s">
        <v>104</v>
      </c>
      <c r="AS583" s="1" t="s">
        <v>104</v>
      </c>
      <c r="AU583" s="1" t="s">
        <v>104</v>
      </c>
      <c r="AV583" s="1" t="s">
        <v>104</v>
      </c>
      <c r="AX583" s="1" t="str">
        <f>IFERROR(__xludf.DUMMYFUNCTION("""COMPUTED_VALUE"""),"")</f>
        <v/>
      </c>
      <c r="AZ583" s="1" t="str">
        <f>IFERROR(__xludf.DUMMYFUNCTION("""COMPUTED_VALUE"""),"")</f>
        <v/>
      </c>
      <c r="BB583" s="1" t="s">
        <v>104</v>
      </c>
      <c r="BC583" s="1" t="s">
        <v>104</v>
      </c>
      <c r="BE583" s="1" t="s">
        <v>104</v>
      </c>
      <c r="BG583" s="1" t="s">
        <v>104</v>
      </c>
      <c r="BH583" s="1" t="s">
        <v>104</v>
      </c>
      <c r="BI583" s="1" t="s">
        <v>104</v>
      </c>
      <c r="BJ583" s="1" t="s">
        <v>104</v>
      </c>
      <c r="BK583" s="1" t="s">
        <v>104</v>
      </c>
      <c r="BL583" s="1" t="s">
        <v>104</v>
      </c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N584" s="1" t="s">
        <v>104</v>
      </c>
      <c r="AO584" s="1" t="s">
        <v>104</v>
      </c>
      <c r="AP584" s="1" t="s">
        <v>104</v>
      </c>
      <c r="AQ584" s="1" t="s">
        <v>104</v>
      </c>
      <c r="AR584" s="1" t="s">
        <v>104</v>
      </c>
      <c r="AS584" s="1" t="s">
        <v>104</v>
      </c>
      <c r="AU584" s="1" t="s">
        <v>104</v>
      </c>
      <c r="AV584" s="1" t="s">
        <v>104</v>
      </c>
      <c r="AX584" s="1" t="str">
        <f>IFERROR(__xludf.DUMMYFUNCTION("""COMPUTED_VALUE"""),"")</f>
        <v/>
      </c>
      <c r="AZ584" s="1" t="str">
        <f>IFERROR(__xludf.DUMMYFUNCTION("""COMPUTED_VALUE"""),"")</f>
        <v/>
      </c>
      <c r="BB584" s="1" t="s">
        <v>104</v>
      </c>
      <c r="BC584" s="1" t="s">
        <v>104</v>
      </c>
      <c r="BE584" s="1" t="s">
        <v>104</v>
      </c>
      <c r="BG584" s="1" t="s">
        <v>104</v>
      </c>
      <c r="BH584" s="1" t="s">
        <v>104</v>
      </c>
      <c r="BI584" s="1" t="s">
        <v>104</v>
      </c>
      <c r="BJ584" s="1" t="s">
        <v>104</v>
      </c>
      <c r="BK584" s="1" t="s">
        <v>104</v>
      </c>
      <c r="BL584" s="1" t="s">
        <v>104</v>
      </c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N585" s="1" t="s">
        <v>104</v>
      </c>
      <c r="AO585" s="1" t="s">
        <v>104</v>
      </c>
      <c r="AP585" s="1" t="s">
        <v>104</v>
      </c>
      <c r="AQ585" s="1" t="s">
        <v>104</v>
      </c>
      <c r="AR585" s="1" t="s">
        <v>104</v>
      </c>
      <c r="AS585" s="1" t="s">
        <v>104</v>
      </c>
      <c r="AU585" s="1" t="s">
        <v>104</v>
      </c>
      <c r="AV585" s="1" t="s">
        <v>104</v>
      </c>
      <c r="AX585" s="1" t="str">
        <f>IFERROR(__xludf.DUMMYFUNCTION("""COMPUTED_VALUE"""),"")</f>
        <v/>
      </c>
      <c r="AZ585" s="1" t="str">
        <f>IFERROR(__xludf.DUMMYFUNCTION("""COMPUTED_VALUE"""),"")</f>
        <v/>
      </c>
      <c r="BB585" s="1" t="s">
        <v>104</v>
      </c>
      <c r="BC585" s="1" t="s">
        <v>104</v>
      </c>
      <c r="BE585" s="1" t="s">
        <v>104</v>
      </c>
      <c r="BG585" s="1" t="s">
        <v>104</v>
      </c>
      <c r="BH585" s="1" t="s">
        <v>104</v>
      </c>
      <c r="BI585" s="1" t="s">
        <v>104</v>
      </c>
      <c r="BJ585" s="1" t="s">
        <v>104</v>
      </c>
      <c r="BK585" s="1" t="s">
        <v>104</v>
      </c>
      <c r="BL585" s="1" t="s">
        <v>104</v>
      </c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N586" s="1" t="s">
        <v>104</v>
      </c>
      <c r="AO586" s="1" t="s">
        <v>104</v>
      </c>
      <c r="AP586" s="1" t="s">
        <v>104</v>
      </c>
      <c r="AQ586" s="1" t="s">
        <v>104</v>
      </c>
      <c r="AR586" s="1" t="s">
        <v>104</v>
      </c>
      <c r="AS586" s="1" t="s">
        <v>104</v>
      </c>
      <c r="AU586" s="1" t="s">
        <v>104</v>
      </c>
      <c r="AV586" s="1" t="s">
        <v>104</v>
      </c>
      <c r="AX586" s="1" t="str">
        <f>IFERROR(__xludf.DUMMYFUNCTION("""COMPUTED_VALUE"""),"")</f>
        <v/>
      </c>
      <c r="AZ586" s="1" t="str">
        <f>IFERROR(__xludf.DUMMYFUNCTION("""COMPUTED_VALUE"""),"")</f>
        <v/>
      </c>
      <c r="BB586" s="1" t="s">
        <v>104</v>
      </c>
      <c r="BC586" s="1" t="s">
        <v>104</v>
      </c>
      <c r="BE586" s="1" t="s">
        <v>104</v>
      </c>
      <c r="BG586" s="1" t="s">
        <v>104</v>
      </c>
      <c r="BH586" s="1" t="s">
        <v>104</v>
      </c>
      <c r="BI586" s="1" t="s">
        <v>104</v>
      </c>
      <c r="BJ586" s="1" t="s">
        <v>104</v>
      </c>
      <c r="BK586" s="1" t="s">
        <v>104</v>
      </c>
      <c r="BL586" s="1" t="s">
        <v>104</v>
      </c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N587" s="1" t="s">
        <v>104</v>
      </c>
      <c r="AO587" s="1" t="s">
        <v>104</v>
      </c>
      <c r="AP587" s="1" t="s">
        <v>104</v>
      </c>
      <c r="AQ587" s="1" t="s">
        <v>104</v>
      </c>
      <c r="AR587" s="1" t="s">
        <v>104</v>
      </c>
      <c r="AS587" s="1" t="s">
        <v>104</v>
      </c>
      <c r="AU587" s="1" t="s">
        <v>104</v>
      </c>
      <c r="AV587" s="1" t="s">
        <v>104</v>
      </c>
      <c r="AX587" s="1" t="str">
        <f>IFERROR(__xludf.DUMMYFUNCTION("""COMPUTED_VALUE"""),"")</f>
        <v/>
      </c>
      <c r="AZ587" s="1" t="str">
        <f>IFERROR(__xludf.DUMMYFUNCTION("""COMPUTED_VALUE"""),"")</f>
        <v/>
      </c>
      <c r="BB587" s="1" t="s">
        <v>104</v>
      </c>
      <c r="BC587" s="1" t="s">
        <v>104</v>
      </c>
      <c r="BE587" s="1" t="s">
        <v>104</v>
      </c>
      <c r="BG587" s="1" t="s">
        <v>104</v>
      </c>
      <c r="BH587" s="1" t="s">
        <v>104</v>
      </c>
      <c r="BI587" s="1" t="s">
        <v>104</v>
      </c>
      <c r="BJ587" s="1" t="s">
        <v>104</v>
      </c>
      <c r="BK587" s="1" t="s">
        <v>104</v>
      </c>
      <c r="BL587" s="1" t="s">
        <v>104</v>
      </c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N588" s="1" t="s">
        <v>104</v>
      </c>
      <c r="AO588" s="1" t="s">
        <v>104</v>
      </c>
      <c r="AP588" s="1" t="s">
        <v>104</v>
      </c>
      <c r="AQ588" s="1" t="s">
        <v>104</v>
      </c>
      <c r="AR588" s="1" t="s">
        <v>104</v>
      </c>
      <c r="AS588" s="1" t="s">
        <v>104</v>
      </c>
      <c r="AU588" s="1" t="s">
        <v>104</v>
      </c>
      <c r="AV588" s="1" t="s">
        <v>104</v>
      </c>
      <c r="AX588" s="1" t="str">
        <f>IFERROR(__xludf.DUMMYFUNCTION("""COMPUTED_VALUE"""),"")</f>
        <v/>
      </c>
      <c r="AZ588" s="1" t="str">
        <f>IFERROR(__xludf.DUMMYFUNCTION("""COMPUTED_VALUE"""),"")</f>
        <v/>
      </c>
      <c r="BB588" s="1" t="s">
        <v>104</v>
      </c>
      <c r="BC588" s="1" t="s">
        <v>104</v>
      </c>
      <c r="BE588" s="1" t="s">
        <v>104</v>
      </c>
      <c r="BG588" s="1" t="s">
        <v>104</v>
      </c>
      <c r="BH588" s="1" t="s">
        <v>104</v>
      </c>
      <c r="BI588" s="1" t="s">
        <v>104</v>
      </c>
      <c r="BJ588" s="1" t="s">
        <v>104</v>
      </c>
      <c r="BK588" s="1" t="s">
        <v>104</v>
      </c>
      <c r="BL588" s="1" t="s">
        <v>104</v>
      </c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N589" s="1" t="s">
        <v>104</v>
      </c>
      <c r="AO589" s="1" t="s">
        <v>104</v>
      </c>
      <c r="AP589" s="1" t="s">
        <v>104</v>
      </c>
      <c r="AQ589" s="1" t="s">
        <v>104</v>
      </c>
      <c r="AR589" s="1" t="s">
        <v>104</v>
      </c>
      <c r="AS589" s="1" t="s">
        <v>104</v>
      </c>
      <c r="AU589" s="1" t="s">
        <v>104</v>
      </c>
      <c r="AV589" s="1" t="s">
        <v>104</v>
      </c>
      <c r="AX589" s="1" t="str">
        <f>IFERROR(__xludf.DUMMYFUNCTION("""COMPUTED_VALUE"""),"")</f>
        <v/>
      </c>
      <c r="AZ589" s="1" t="str">
        <f>IFERROR(__xludf.DUMMYFUNCTION("""COMPUTED_VALUE"""),"")</f>
        <v/>
      </c>
      <c r="BB589" s="1" t="s">
        <v>104</v>
      </c>
      <c r="BC589" s="1" t="s">
        <v>104</v>
      </c>
      <c r="BE589" s="1" t="s">
        <v>104</v>
      </c>
      <c r="BG589" s="1" t="s">
        <v>104</v>
      </c>
      <c r="BH589" s="1" t="s">
        <v>104</v>
      </c>
      <c r="BI589" s="1" t="s">
        <v>104</v>
      </c>
      <c r="BJ589" s="1" t="s">
        <v>104</v>
      </c>
      <c r="BK589" s="1" t="s">
        <v>104</v>
      </c>
      <c r="BL589" s="1" t="s">
        <v>104</v>
      </c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N590" s="1" t="s">
        <v>104</v>
      </c>
      <c r="AO590" s="1" t="s">
        <v>104</v>
      </c>
      <c r="AP590" s="1" t="s">
        <v>104</v>
      </c>
      <c r="AQ590" s="1" t="s">
        <v>104</v>
      </c>
      <c r="AR590" s="1" t="s">
        <v>104</v>
      </c>
      <c r="AS590" s="1" t="s">
        <v>104</v>
      </c>
      <c r="AU590" s="1" t="s">
        <v>104</v>
      </c>
      <c r="AV590" s="1" t="s">
        <v>104</v>
      </c>
      <c r="AX590" s="1" t="str">
        <f>IFERROR(__xludf.DUMMYFUNCTION("""COMPUTED_VALUE"""),"")</f>
        <v/>
      </c>
      <c r="AZ590" s="1" t="str">
        <f>IFERROR(__xludf.DUMMYFUNCTION("""COMPUTED_VALUE"""),"")</f>
        <v/>
      </c>
      <c r="BB590" s="1" t="s">
        <v>104</v>
      </c>
      <c r="BC590" s="1" t="s">
        <v>104</v>
      </c>
      <c r="BE590" s="1" t="s">
        <v>104</v>
      </c>
      <c r="BG590" s="1" t="s">
        <v>104</v>
      </c>
      <c r="BH590" s="1" t="s">
        <v>104</v>
      </c>
      <c r="BI590" s="1" t="s">
        <v>104</v>
      </c>
      <c r="BJ590" s="1" t="s">
        <v>104</v>
      </c>
      <c r="BK590" s="1" t="s">
        <v>104</v>
      </c>
      <c r="BL590" s="1" t="s">
        <v>104</v>
      </c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N591" s="1" t="s">
        <v>104</v>
      </c>
      <c r="AO591" s="1" t="s">
        <v>104</v>
      </c>
      <c r="AP591" s="1" t="s">
        <v>104</v>
      </c>
      <c r="AQ591" s="1" t="s">
        <v>104</v>
      </c>
      <c r="AR591" s="1" t="s">
        <v>104</v>
      </c>
      <c r="AS591" s="1" t="s">
        <v>104</v>
      </c>
      <c r="AU591" s="1" t="s">
        <v>104</v>
      </c>
      <c r="AV591" s="1" t="s">
        <v>104</v>
      </c>
      <c r="AX591" s="1" t="str">
        <f>IFERROR(__xludf.DUMMYFUNCTION("""COMPUTED_VALUE"""),"")</f>
        <v/>
      </c>
      <c r="AZ591" s="1" t="str">
        <f>IFERROR(__xludf.DUMMYFUNCTION("""COMPUTED_VALUE"""),"")</f>
        <v/>
      </c>
      <c r="BB591" s="1" t="s">
        <v>104</v>
      </c>
      <c r="BC591" s="1" t="s">
        <v>104</v>
      </c>
      <c r="BE591" s="1" t="s">
        <v>104</v>
      </c>
      <c r="BG591" s="1" t="s">
        <v>104</v>
      </c>
      <c r="BH591" s="1" t="s">
        <v>104</v>
      </c>
      <c r="BI591" s="1" t="s">
        <v>104</v>
      </c>
      <c r="BJ591" s="1" t="s">
        <v>104</v>
      </c>
      <c r="BK591" s="1" t="s">
        <v>104</v>
      </c>
      <c r="BL591" s="1" t="s">
        <v>104</v>
      </c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N592" s="1" t="s">
        <v>104</v>
      </c>
      <c r="AO592" s="1" t="s">
        <v>104</v>
      </c>
      <c r="AP592" s="1" t="s">
        <v>104</v>
      </c>
      <c r="AQ592" s="1" t="s">
        <v>104</v>
      </c>
      <c r="AR592" s="1" t="s">
        <v>104</v>
      </c>
      <c r="AS592" s="1" t="s">
        <v>104</v>
      </c>
      <c r="AU592" s="1" t="s">
        <v>104</v>
      </c>
      <c r="AV592" s="1" t="s">
        <v>104</v>
      </c>
      <c r="AX592" s="1" t="str">
        <f>IFERROR(__xludf.DUMMYFUNCTION("""COMPUTED_VALUE"""),"")</f>
        <v/>
      </c>
      <c r="AZ592" s="1" t="str">
        <f>IFERROR(__xludf.DUMMYFUNCTION("""COMPUTED_VALUE"""),"")</f>
        <v/>
      </c>
      <c r="BB592" s="1" t="s">
        <v>104</v>
      </c>
      <c r="BC592" s="1" t="s">
        <v>104</v>
      </c>
      <c r="BE592" s="1" t="s">
        <v>104</v>
      </c>
      <c r="BG592" s="1" t="s">
        <v>104</v>
      </c>
      <c r="BH592" s="1" t="s">
        <v>104</v>
      </c>
      <c r="BI592" s="1" t="s">
        <v>104</v>
      </c>
      <c r="BJ592" s="1" t="s">
        <v>104</v>
      </c>
      <c r="BK592" s="1" t="s">
        <v>104</v>
      </c>
      <c r="BL592" s="1" t="s">
        <v>104</v>
      </c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N593" s="1" t="s">
        <v>104</v>
      </c>
      <c r="AO593" s="1" t="s">
        <v>104</v>
      </c>
      <c r="AP593" s="1" t="s">
        <v>104</v>
      </c>
      <c r="AQ593" s="1" t="s">
        <v>104</v>
      </c>
      <c r="AR593" s="1" t="s">
        <v>104</v>
      </c>
      <c r="AS593" s="1" t="s">
        <v>104</v>
      </c>
      <c r="AU593" s="1" t="s">
        <v>104</v>
      </c>
      <c r="AV593" s="1" t="s">
        <v>104</v>
      </c>
      <c r="AX593" s="1" t="str">
        <f>IFERROR(__xludf.DUMMYFUNCTION("""COMPUTED_VALUE"""),"")</f>
        <v/>
      </c>
      <c r="AZ593" s="1" t="str">
        <f>IFERROR(__xludf.DUMMYFUNCTION("""COMPUTED_VALUE"""),"")</f>
        <v/>
      </c>
      <c r="BB593" s="1" t="s">
        <v>104</v>
      </c>
      <c r="BC593" s="1" t="s">
        <v>104</v>
      </c>
      <c r="BE593" s="1" t="s">
        <v>104</v>
      </c>
      <c r="BG593" s="1" t="s">
        <v>104</v>
      </c>
      <c r="BH593" s="1" t="s">
        <v>104</v>
      </c>
      <c r="BI593" s="1" t="s">
        <v>104</v>
      </c>
      <c r="BJ593" s="1" t="s">
        <v>104</v>
      </c>
      <c r="BK593" s="1" t="s">
        <v>104</v>
      </c>
      <c r="BL593" s="1" t="s">
        <v>104</v>
      </c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N594" s="1" t="s">
        <v>104</v>
      </c>
      <c r="AO594" s="1" t="s">
        <v>104</v>
      </c>
      <c r="AP594" s="1" t="s">
        <v>104</v>
      </c>
      <c r="AQ594" s="1" t="s">
        <v>104</v>
      </c>
      <c r="AR594" s="1" t="s">
        <v>104</v>
      </c>
      <c r="AS594" s="1" t="s">
        <v>104</v>
      </c>
      <c r="AU594" s="1" t="s">
        <v>104</v>
      </c>
      <c r="AV594" s="1" t="s">
        <v>104</v>
      </c>
      <c r="AX594" s="1" t="str">
        <f>IFERROR(__xludf.DUMMYFUNCTION("""COMPUTED_VALUE"""),"")</f>
        <v/>
      </c>
      <c r="AZ594" s="1" t="str">
        <f>IFERROR(__xludf.DUMMYFUNCTION("""COMPUTED_VALUE"""),"")</f>
        <v/>
      </c>
      <c r="BB594" s="1" t="s">
        <v>104</v>
      </c>
      <c r="BC594" s="1" t="s">
        <v>104</v>
      </c>
      <c r="BE594" s="1" t="s">
        <v>104</v>
      </c>
      <c r="BG594" s="1" t="s">
        <v>104</v>
      </c>
      <c r="BH594" s="1" t="s">
        <v>104</v>
      </c>
      <c r="BI594" s="1" t="s">
        <v>104</v>
      </c>
      <c r="BJ594" s="1" t="s">
        <v>104</v>
      </c>
      <c r="BK594" s="1" t="s">
        <v>104</v>
      </c>
      <c r="BL594" s="1" t="s">
        <v>104</v>
      </c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N595" s="1" t="s">
        <v>104</v>
      </c>
      <c r="AO595" s="1" t="s">
        <v>104</v>
      </c>
      <c r="AP595" s="1" t="s">
        <v>104</v>
      </c>
      <c r="AQ595" s="1" t="s">
        <v>104</v>
      </c>
      <c r="AR595" s="1" t="s">
        <v>104</v>
      </c>
      <c r="AS595" s="1" t="s">
        <v>104</v>
      </c>
      <c r="AU595" s="1" t="s">
        <v>104</v>
      </c>
      <c r="AV595" s="1" t="s">
        <v>104</v>
      </c>
      <c r="AX595" s="1" t="str">
        <f>IFERROR(__xludf.DUMMYFUNCTION("""COMPUTED_VALUE"""),"")</f>
        <v/>
      </c>
      <c r="AZ595" s="1" t="str">
        <f>IFERROR(__xludf.DUMMYFUNCTION("""COMPUTED_VALUE"""),"")</f>
        <v/>
      </c>
      <c r="BB595" s="1" t="s">
        <v>104</v>
      </c>
      <c r="BC595" s="1" t="s">
        <v>104</v>
      </c>
      <c r="BE595" s="1" t="s">
        <v>104</v>
      </c>
      <c r="BG595" s="1" t="s">
        <v>104</v>
      </c>
      <c r="BH595" s="1" t="s">
        <v>104</v>
      </c>
      <c r="BI595" s="1" t="s">
        <v>104</v>
      </c>
      <c r="BJ595" s="1" t="s">
        <v>104</v>
      </c>
      <c r="BK595" s="1" t="s">
        <v>104</v>
      </c>
      <c r="BL595" s="1" t="s">
        <v>104</v>
      </c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N596" s="1" t="s">
        <v>104</v>
      </c>
      <c r="AO596" s="1" t="s">
        <v>104</v>
      </c>
      <c r="AP596" s="1" t="s">
        <v>104</v>
      </c>
      <c r="AQ596" s="1" t="s">
        <v>104</v>
      </c>
      <c r="AR596" s="1" t="s">
        <v>104</v>
      </c>
      <c r="AS596" s="1" t="s">
        <v>104</v>
      </c>
      <c r="AU596" s="1" t="s">
        <v>104</v>
      </c>
      <c r="AV596" s="1" t="s">
        <v>104</v>
      </c>
      <c r="AX596" s="1" t="str">
        <f>IFERROR(__xludf.DUMMYFUNCTION("""COMPUTED_VALUE"""),"")</f>
        <v/>
      </c>
      <c r="AZ596" s="1" t="str">
        <f>IFERROR(__xludf.DUMMYFUNCTION("""COMPUTED_VALUE"""),"")</f>
        <v/>
      </c>
      <c r="BB596" s="1" t="s">
        <v>104</v>
      </c>
      <c r="BC596" s="1" t="s">
        <v>104</v>
      </c>
      <c r="BE596" s="1" t="s">
        <v>104</v>
      </c>
      <c r="BG596" s="1" t="s">
        <v>104</v>
      </c>
      <c r="BH596" s="1" t="s">
        <v>104</v>
      </c>
      <c r="BI596" s="1" t="s">
        <v>104</v>
      </c>
      <c r="BJ596" s="1" t="s">
        <v>104</v>
      </c>
      <c r="BK596" s="1" t="s">
        <v>104</v>
      </c>
      <c r="BL596" s="1" t="s">
        <v>104</v>
      </c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N597" s="1" t="s">
        <v>104</v>
      </c>
      <c r="AO597" s="1" t="s">
        <v>104</v>
      </c>
      <c r="AP597" s="1" t="s">
        <v>104</v>
      </c>
      <c r="AQ597" s="1" t="s">
        <v>104</v>
      </c>
      <c r="AR597" s="1" t="s">
        <v>104</v>
      </c>
      <c r="AS597" s="1" t="s">
        <v>104</v>
      </c>
      <c r="AU597" s="1" t="s">
        <v>104</v>
      </c>
      <c r="AV597" s="1" t="s">
        <v>104</v>
      </c>
      <c r="AX597" s="1" t="str">
        <f>IFERROR(__xludf.DUMMYFUNCTION("""COMPUTED_VALUE"""),"")</f>
        <v/>
      </c>
      <c r="AZ597" s="1" t="str">
        <f>IFERROR(__xludf.DUMMYFUNCTION("""COMPUTED_VALUE"""),"")</f>
        <v/>
      </c>
      <c r="BB597" s="1" t="s">
        <v>104</v>
      </c>
      <c r="BC597" s="1" t="s">
        <v>104</v>
      </c>
      <c r="BE597" s="1" t="s">
        <v>104</v>
      </c>
      <c r="BG597" s="1" t="s">
        <v>104</v>
      </c>
      <c r="BH597" s="1" t="s">
        <v>104</v>
      </c>
      <c r="BI597" s="1" t="s">
        <v>104</v>
      </c>
      <c r="BJ597" s="1" t="s">
        <v>104</v>
      </c>
      <c r="BK597" s="1" t="s">
        <v>104</v>
      </c>
      <c r="BL597" s="1" t="s">
        <v>104</v>
      </c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N598" s="1" t="s">
        <v>104</v>
      </c>
      <c r="AO598" s="1" t="s">
        <v>104</v>
      </c>
      <c r="AP598" s="1" t="s">
        <v>104</v>
      </c>
      <c r="AQ598" s="1" t="s">
        <v>104</v>
      </c>
      <c r="AR598" s="1" t="s">
        <v>104</v>
      </c>
      <c r="AS598" s="1" t="s">
        <v>104</v>
      </c>
      <c r="AU598" s="1" t="s">
        <v>104</v>
      </c>
      <c r="AV598" s="1" t="s">
        <v>104</v>
      </c>
      <c r="AX598" s="1" t="str">
        <f>IFERROR(__xludf.DUMMYFUNCTION("""COMPUTED_VALUE"""),"")</f>
        <v/>
      </c>
      <c r="AZ598" s="1" t="str">
        <f>IFERROR(__xludf.DUMMYFUNCTION("""COMPUTED_VALUE"""),"")</f>
        <v/>
      </c>
      <c r="BB598" s="1" t="s">
        <v>104</v>
      </c>
      <c r="BC598" s="1" t="s">
        <v>104</v>
      </c>
      <c r="BE598" s="1" t="s">
        <v>104</v>
      </c>
      <c r="BG598" s="1" t="s">
        <v>104</v>
      </c>
      <c r="BH598" s="1" t="s">
        <v>104</v>
      </c>
      <c r="BI598" s="1" t="s">
        <v>104</v>
      </c>
      <c r="BJ598" s="1" t="s">
        <v>104</v>
      </c>
      <c r="BK598" s="1" t="s">
        <v>104</v>
      </c>
      <c r="BL598" s="1" t="s">
        <v>104</v>
      </c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N599" s="1" t="s">
        <v>104</v>
      </c>
      <c r="AO599" s="1" t="s">
        <v>104</v>
      </c>
      <c r="AP599" s="1" t="s">
        <v>104</v>
      </c>
      <c r="AQ599" s="1" t="s">
        <v>104</v>
      </c>
      <c r="AR599" s="1" t="s">
        <v>104</v>
      </c>
      <c r="AS599" s="1" t="s">
        <v>104</v>
      </c>
      <c r="AU599" s="1" t="s">
        <v>104</v>
      </c>
      <c r="AV599" s="1" t="s">
        <v>104</v>
      </c>
      <c r="AX599" s="1" t="str">
        <f>IFERROR(__xludf.DUMMYFUNCTION("""COMPUTED_VALUE"""),"")</f>
        <v/>
      </c>
      <c r="AZ599" s="1" t="str">
        <f>IFERROR(__xludf.DUMMYFUNCTION("""COMPUTED_VALUE"""),"")</f>
        <v/>
      </c>
      <c r="BB599" s="1" t="s">
        <v>104</v>
      </c>
      <c r="BC599" s="1" t="s">
        <v>104</v>
      </c>
      <c r="BE599" s="1" t="s">
        <v>104</v>
      </c>
      <c r="BG599" s="1" t="s">
        <v>104</v>
      </c>
      <c r="BH599" s="1" t="s">
        <v>104</v>
      </c>
      <c r="BI599" s="1" t="s">
        <v>104</v>
      </c>
      <c r="BJ599" s="1" t="s">
        <v>104</v>
      </c>
      <c r="BK599" s="1" t="s">
        <v>104</v>
      </c>
      <c r="BL599" s="1" t="s">
        <v>104</v>
      </c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N600" s="1" t="s">
        <v>104</v>
      </c>
      <c r="AO600" s="1" t="s">
        <v>104</v>
      </c>
      <c r="AP600" s="1" t="s">
        <v>104</v>
      </c>
      <c r="AQ600" s="1" t="s">
        <v>104</v>
      </c>
      <c r="AR600" s="1" t="s">
        <v>104</v>
      </c>
      <c r="AS600" s="1" t="s">
        <v>104</v>
      </c>
      <c r="AU600" s="1" t="s">
        <v>104</v>
      </c>
      <c r="AV600" s="1" t="s">
        <v>104</v>
      </c>
      <c r="AX600" s="1" t="str">
        <f>IFERROR(__xludf.DUMMYFUNCTION("""COMPUTED_VALUE"""),"")</f>
        <v/>
      </c>
      <c r="AZ600" s="1" t="str">
        <f>IFERROR(__xludf.DUMMYFUNCTION("""COMPUTED_VALUE"""),"")</f>
        <v/>
      </c>
      <c r="BB600" s="1" t="s">
        <v>104</v>
      </c>
      <c r="BC600" s="1" t="s">
        <v>104</v>
      </c>
      <c r="BE600" s="1" t="s">
        <v>104</v>
      </c>
      <c r="BG600" s="1" t="s">
        <v>104</v>
      </c>
      <c r="BH600" s="1" t="s">
        <v>104</v>
      </c>
      <c r="BI600" s="1" t="s">
        <v>104</v>
      </c>
      <c r="BJ600" s="1" t="s">
        <v>104</v>
      </c>
      <c r="BK600" s="1" t="s">
        <v>104</v>
      </c>
      <c r="BL600" s="1" t="s">
        <v>104</v>
      </c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N601" s="1" t="s">
        <v>104</v>
      </c>
      <c r="AO601" s="1" t="s">
        <v>104</v>
      </c>
      <c r="AP601" s="1" t="s">
        <v>104</v>
      </c>
      <c r="AQ601" s="1" t="s">
        <v>104</v>
      </c>
      <c r="AR601" s="1" t="s">
        <v>104</v>
      </c>
      <c r="AS601" s="1" t="s">
        <v>104</v>
      </c>
      <c r="AU601" s="1" t="s">
        <v>104</v>
      </c>
      <c r="AV601" s="1" t="s">
        <v>104</v>
      </c>
      <c r="AX601" s="1" t="str">
        <f>IFERROR(__xludf.DUMMYFUNCTION("""COMPUTED_VALUE"""),"")</f>
        <v/>
      </c>
      <c r="AZ601" s="1" t="str">
        <f>IFERROR(__xludf.DUMMYFUNCTION("""COMPUTED_VALUE"""),"")</f>
        <v/>
      </c>
      <c r="BB601" s="1" t="s">
        <v>104</v>
      </c>
      <c r="BC601" s="1" t="s">
        <v>104</v>
      </c>
      <c r="BE601" s="1" t="s">
        <v>104</v>
      </c>
      <c r="BG601" s="1" t="s">
        <v>104</v>
      </c>
      <c r="BH601" s="1" t="s">
        <v>104</v>
      </c>
      <c r="BI601" s="1" t="s">
        <v>104</v>
      </c>
      <c r="BJ601" s="1" t="s">
        <v>104</v>
      </c>
      <c r="BK601" s="1" t="s">
        <v>104</v>
      </c>
      <c r="BL601" s="1" t="s">
        <v>104</v>
      </c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N602" s="1" t="s">
        <v>104</v>
      </c>
      <c r="AO602" s="1" t="s">
        <v>104</v>
      </c>
      <c r="AP602" s="1" t="s">
        <v>104</v>
      </c>
      <c r="AQ602" s="1" t="s">
        <v>104</v>
      </c>
      <c r="AR602" s="1" t="s">
        <v>104</v>
      </c>
      <c r="AS602" s="1" t="s">
        <v>104</v>
      </c>
      <c r="AU602" s="1" t="s">
        <v>104</v>
      </c>
      <c r="AV602" s="1" t="s">
        <v>104</v>
      </c>
      <c r="AX602" s="1" t="str">
        <f>IFERROR(__xludf.DUMMYFUNCTION("""COMPUTED_VALUE"""),"")</f>
        <v/>
      </c>
      <c r="AZ602" s="1" t="str">
        <f>IFERROR(__xludf.DUMMYFUNCTION("""COMPUTED_VALUE"""),"")</f>
        <v/>
      </c>
      <c r="BB602" s="1" t="s">
        <v>104</v>
      </c>
      <c r="BC602" s="1" t="s">
        <v>104</v>
      </c>
      <c r="BE602" s="1" t="s">
        <v>104</v>
      </c>
      <c r="BG602" s="1" t="s">
        <v>104</v>
      </c>
      <c r="BH602" s="1" t="s">
        <v>104</v>
      </c>
      <c r="BI602" s="1" t="s">
        <v>104</v>
      </c>
      <c r="BJ602" s="1" t="s">
        <v>104</v>
      </c>
      <c r="BK602" s="1" t="s">
        <v>104</v>
      </c>
      <c r="BL602" s="1" t="s">
        <v>104</v>
      </c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N603" s="1" t="s">
        <v>104</v>
      </c>
      <c r="AO603" s="1" t="s">
        <v>104</v>
      </c>
      <c r="AP603" s="1" t="s">
        <v>104</v>
      </c>
      <c r="AQ603" s="1" t="s">
        <v>104</v>
      </c>
      <c r="AR603" s="1" t="s">
        <v>104</v>
      </c>
      <c r="AS603" s="1" t="s">
        <v>104</v>
      </c>
      <c r="AU603" s="1" t="s">
        <v>104</v>
      </c>
      <c r="AV603" s="1" t="s">
        <v>104</v>
      </c>
      <c r="AX603" s="1" t="str">
        <f>IFERROR(__xludf.DUMMYFUNCTION("""COMPUTED_VALUE"""),"")</f>
        <v/>
      </c>
      <c r="AZ603" s="1" t="str">
        <f>IFERROR(__xludf.DUMMYFUNCTION("""COMPUTED_VALUE"""),"")</f>
        <v/>
      </c>
      <c r="BB603" s="1" t="s">
        <v>104</v>
      </c>
      <c r="BC603" s="1" t="s">
        <v>104</v>
      </c>
      <c r="BE603" s="1" t="s">
        <v>104</v>
      </c>
      <c r="BG603" s="1" t="s">
        <v>104</v>
      </c>
      <c r="BH603" s="1" t="s">
        <v>104</v>
      </c>
      <c r="BI603" s="1" t="s">
        <v>104</v>
      </c>
      <c r="BJ603" s="1" t="s">
        <v>104</v>
      </c>
      <c r="BK603" s="1" t="s">
        <v>104</v>
      </c>
      <c r="BL603" s="1" t="s">
        <v>104</v>
      </c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N604" s="1" t="s">
        <v>104</v>
      </c>
      <c r="AO604" s="1" t="s">
        <v>104</v>
      </c>
      <c r="AP604" s="1" t="s">
        <v>104</v>
      </c>
      <c r="AQ604" s="1" t="s">
        <v>104</v>
      </c>
      <c r="AR604" s="1" t="s">
        <v>104</v>
      </c>
      <c r="AS604" s="1" t="s">
        <v>104</v>
      </c>
      <c r="AU604" s="1" t="s">
        <v>104</v>
      </c>
      <c r="AV604" s="1" t="s">
        <v>104</v>
      </c>
      <c r="AX604" s="1" t="str">
        <f>IFERROR(__xludf.DUMMYFUNCTION("""COMPUTED_VALUE"""),"")</f>
        <v/>
      </c>
      <c r="AZ604" s="1" t="str">
        <f>IFERROR(__xludf.DUMMYFUNCTION("""COMPUTED_VALUE"""),"")</f>
        <v/>
      </c>
      <c r="BB604" s="1" t="s">
        <v>104</v>
      </c>
      <c r="BC604" s="1" t="s">
        <v>104</v>
      </c>
      <c r="BE604" s="1" t="s">
        <v>104</v>
      </c>
      <c r="BG604" s="1" t="s">
        <v>104</v>
      </c>
      <c r="BH604" s="1" t="s">
        <v>104</v>
      </c>
      <c r="BI604" s="1" t="s">
        <v>104</v>
      </c>
      <c r="BJ604" s="1" t="s">
        <v>104</v>
      </c>
      <c r="BK604" s="1" t="s">
        <v>104</v>
      </c>
      <c r="BL604" s="1" t="s">
        <v>104</v>
      </c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N605" s="1" t="s">
        <v>104</v>
      </c>
      <c r="AO605" s="1" t="s">
        <v>104</v>
      </c>
      <c r="AP605" s="1" t="s">
        <v>104</v>
      </c>
      <c r="AQ605" s="1" t="s">
        <v>104</v>
      </c>
      <c r="AR605" s="1" t="s">
        <v>104</v>
      </c>
      <c r="AS605" s="1" t="s">
        <v>104</v>
      </c>
      <c r="AU605" s="1" t="s">
        <v>104</v>
      </c>
      <c r="AV605" s="1" t="s">
        <v>104</v>
      </c>
      <c r="AX605" s="1" t="str">
        <f>IFERROR(__xludf.DUMMYFUNCTION("""COMPUTED_VALUE"""),"")</f>
        <v/>
      </c>
      <c r="AZ605" s="1" t="str">
        <f>IFERROR(__xludf.DUMMYFUNCTION("""COMPUTED_VALUE"""),"")</f>
        <v/>
      </c>
      <c r="BB605" s="1" t="s">
        <v>104</v>
      </c>
      <c r="BC605" s="1" t="s">
        <v>104</v>
      </c>
      <c r="BE605" s="1" t="s">
        <v>104</v>
      </c>
      <c r="BG605" s="1" t="s">
        <v>104</v>
      </c>
      <c r="BH605" s="1" t="s">
        <v>104</v>
      </c>
      <c r="BI605" s="1" t="s">
        <v>104</v>
      </c>
      <c r="BJ605" s="1" t="s">
        <v>104</v>
      </c>
      <c r="BK605" s="1" t="s">
        <v>104</v>
      </c>
      <c r="BL605" s="1" t="s">
        <v>104</v>
      </c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N606" s="1" t="s">
        <v>104</v>
      </c>
      <c r="AO606" s="1" t="s">
        <v>104</v>
      </c>
      <c r="AP606" s="1" t="s">
        <v>104</v>
      </c>
      <c r="AQ606" s="1" t="s">
        <v>104</v>
      </c>
      <c r="AR606" s="1" t="s">
        <v>104</v>
      </c>
      <c r="AS606" s="1" t="s">
        <v>104</v>
      </c>
      <c r="AU606" s="1" t="s">
        <v>104</v>
      </c>
      <c r="AV606" s="1" t="s">
        <v>104</v>
      </c>
      <c r="AX606" s="1" t="str">
        <f>IFERROR(__xludf.DUMMYFUNCTION("""COMPUTED_VALUE"""),"")</f>
        <v/>
      </c>
      <c r="AZ606" s="1" t="str">
        <f>IFERROR(__xludf.DUMMYFUNCTION("""COMPUTED_VALUE"""),"")</f>
        <v/>
      </c>
      <c r="BB606" s="1" t="s">
        <v>104</v>
      </c>
      <c r="BC606" s="1" t="s">
        <v>104</v>
      </c>
      <c r="BE606" s="1" t="s">
        <v>104</v>
      </c>
      <c r="BG606" s="1" t="s">
        <v>104</v>
      </c>
      <c r="BH606" s="1" t="s">
        <v>104</v>
      </c>
      <c r="BI606" s="1" t="s">
        <v>104</v>
      </c>
      <c r="BJ606" s="1" t="s">
        <v>104</v>
      </c>
      <c r="BK606" s="1" t="s">
        <v>104</v>
      </c>
      <c r="BL606" s="1" t="s">
        <v>104</v>
      </c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N607" s="1" t="s">
        <v>104</v>
      </c>
      <c r="AO607" s="1" t="s">
        <v>104</v>
      </c>
      <c r="AP607" s="1" t="s">
        <v>104</v>
      </c>
      <c r="AQ607" s="1" t="s">
        <v>104</v>
      </c>
      <c r="AR607" s="1" t="s">
        <v>104</v>
      </c>
      <c r="AS607" s="1" t="s">
        <v>104</v>
      </c>
      <c r="AU607" s="1" t="s">
        <v>104</v>
      </c>
      <c r="AV607" s="1" t="s">
        <v>104</v>
      </c>
      <c r="AX607" s="1" t="str">
        <f>IFERROR(__xludf.DUMMYFUNCTION("""COMPUTED_VALUE"""),"")</f>
        <v/>
      </c>
      <c r="AZ607" s="1" t="str">
        <f>IFERROR(__xludf.DUMMYFUNCTION("""COMPUTED_VALUE"""),"")</f>
        <v/>
      </c>
      <c r="BB607" s="1" t="s">
        <v>104</v>
      </c>
      <c r="BC607" s="1" t="s">
        <v>104</v>
      </c>
      <c r="BE607" s="1" t="s">
        <v>104</v>
      </c>
      <c r="BG607" s="1" t="s">
        <v>104</v>
      </c>
      <c r="BH607" s="1" t="s">
        <v>104</v>
      </c>
      <c r="BI607" s="1" t="s">
        <v>104</v>
      </c>
      <c r="BJ607" s="1" t="s">
        <v>104</v>
      </c>
      <c r="BK607" s="1" t="s">
        <v>104</v>
      </c>
      <c r="BL607" s="1" t="s">
        <v>104</v>
      </c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N608" s="1" t="s">
        <v>104</v>
      </c>
      <c r="AO608" s="1" t="s">
        <v>104</v>
      </c>
      <c r="AP608" s="1" t="s">
        <v>104</v>
      </c>
      <c r="AQ608" s="1" t="s">
        <v>104</v>
      </c>
      <c r="AR608" s="1" t="s">
        <v>104</v>
      </c>
      <c r="AS608" s="1" t="s">
        <v>104</v>
      </c>
      <c r="AU608" s="1" t="s">
        <v>104</v>
      </c>
      <c r="AV608" s="1" t="s">
        <v>104</v>
      </c>
      <c r="AX608" s="1" t="str">
        <f>IFERROR(__xludf.DUMMYFUNCTION("""COMPUTED_VALUE"""),"")</f>
        <v/>
      </c>
      <c r="AZ608" s="1" t="str">
        <f>IFERROR(__xludf.DUMMYFUNCTION("""COMPUTED_VALUE"""),"")</f>
        <v/>
      </c>
      <c r="BB608" s="1" t="s">
        <v>104</v>
      </c>
      <c r="BC608" s="1" t="s">
        <v>104</v>
      </c>
      <c r="BE608" s="1" t="s">
        <v>104</v>
      </c>
      <c r="BG608" s="1" t="s">
        <v>104</v>
      </c>
      <c r="BH608" s="1" t="s">
        <v>104</v>
      </c>
      <c r="BI608" s="1" t="s">
        <v>104</v>
      </c>
      <c r="BJ608" s="1" t="s">
        <v>104</v>
      </c>
      <c r="BK608" s="1" t="s">
        <v>104</v>
      </c>
      <c r="BL608" s="1" t="s">
        <v>104</v>
      </c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N609" s="1" t="s">
        <v>104</v>
      </c>
      <c r="AO609" s="1" t="s">
        <v>104</v>
      </c>
      <c r="AP609" s="1" t="s">
        <v>104</v>
      </c>
      <c r="AQ609" s="1" t="s">
        <v>104</v>
      </c>
      <c r="AR609" s="1" t="s">
        <v>104</v>
      </c>
      <c r="AS609" s="1" t="s">
        <v>104</v>
      </c>
      <c r="AU609" s="1" t="s">
        <v>104</v>
      </c>
      <c r="AV609" s="1" t="s">
        <v>104</v>
      </c>
      <c r="AX609" s="1" t="str">
        <f>IFERROR(__xludf.DUMMYFUNCTION("""COMPUTED_VALUE"""),"")</f>
        <v/>
      </c>
      <c r="AZ609" s="1" t="str">
        <f>IFERROR(__xludf.DUMMYFUNCTION("""COMPUTED_VALUE"""),"")</f>
        <v/>
      </c>
      <c r="BB609" s="1" t="s">
        <v>104</v>
      </c>
      <c r="BC609" s="1" t="s">
        <v>104</v>
      </c>
      <c r="BE609" s="1" t="s">
        <v>104</v>
      </c>
      <c r="BG609" s="1" t="s">
        <v>104</v>
      </c>
      <c r="BH609" s="1" t="s">
        <v>104</v>
      </c>
      <c r="BI609" s="1" t="s">
        <v>104</v>
      </c>
      <c r="BJ609" s="1" t="s">
        <v>104</v>
      </c>
      <c r="BK609" s="1" t="s">
        <v>104</v>
      </c>
      <c r="BL609" s="1" t="s">
        <v>104</v>
      </c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N610" s="1" t="s">
        <v>104</v>
      </c>
      <c r="AO610" s="1" t="s">
        <v>104</v>
      </c>
      <c r="AP610" s="1" t="s">
        <v>104</v>
      </c>
      <c r="AQ610" s="1" t="s">
        <v>104</v>
      </c>
      <c r="AR610" s="1" t="s">
        <v>104</v>
      </c>
      <c r="AS610" s="1" t="s">
        <v>104</v>
      </c>
      <c r="AU610" s="1" t="s">
        <v>104</v>
      </c>
      <c r="AV610" s="1" t="s">
        <v>104</v>
      </c>
      <c r="AX610" s="1" t="str">
        <f>IFERROR(__xludf.DUMMYFUNCTION("""COMPUTED_VALUE"""),"")</f>
        <v/>
      </c>
      <c r="AZ610" s="1" t="str">
        <f>IFERROR(__xludf.DUMMYFUNCTION("""COMPUTED_VALUE"""),"")</f>
        <v/>
      </c>
      <c r="BB610" s="1" t="s">
        <v>104</v>
      </c>
      <c r="BC610" s="1" t="s">
        <v>104</v>
      </c>
      <c r="BE610" s="1" t="s">
        <v>104</v>
      </c>
      <c r="BG610" s="1" t="s">
        <v>104</v>
      </c>
      <c r="BH610" s="1" t="s">
        <v>104</v>
      </c>
      <c r="BI610" s="1" t="s">
        <v>104</v>
      </c>
      <c r="BJ610" s="1" t="s">
        <v>104</v>
      </c>
      <c r="BK610" s="1" t="s">
        <v>104</v>
      </c>
      <c r="BL610" s="1" t="s">
        <v>104</v>
      </c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N611" s="1" t="s">
        <v>104</v>
      </c>
      <c r="AO611" s="1" t="s">
        <v>104</v>
      </c>
      <c r="AP611" s="1" t="s">
        <v>104</v>
      </c>
      <c r="AQ611" s="1" t="s">
        <v>104</v>
      </c>
      <c r="AR611" s="1" t="s">
        <v>104</v>
      </c>
      <c r="AS611" s="1" t="s">
        <v>104</v>
      </c>
      <c r="AU611" s="1" t="s">
        <v>104</v>
      </c>
      <c r="AV611" s="1" t="s">
        <v>104</v>
      </c>
      <c r="AX611" s="1" t="str">
        <f>IFERROR(__xludf.DUMMYFUNCTION("""COMPUTED_VALUE"""),"")</f>
        <v/>
      </c>
      <c r="AZ611" s="1" t="str">
        <f>IFERROR(__xludf.DUMMYFUNCTION("""COMPUTED_VALUE"""),"")</f>
        <v/>
      </c>
      <c r="BB611" s="1" t="s">
        <v>104</v>
      </c>
      <c r="BC611" s="1" t="s">
        <v>104</v>
      </c>
      <c r="BE611" s="1" t="s">
        <v>104</v>
      </c>
      <c r="BG611" s="1" t="s">
        <v>104</v>
      </c>
      <c r="BH611" s="1" t="s">
        <v>104</v>
      </c>
      <c r="BI611" s="1" t="s">
        <v>104</v>
      </c>
      <c r="BJ611" s="1" t="s">
        <v>104</v>
      </c>
      <c r="BK611" s="1" t="s">
        <v>104</v>
      </c>
      <c r="BL611" s="1" t="s">
        <v>104</v>
      </c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N612" s="1" t="s">
        <v>104</v>
      </c>
      <c r="AO612" s="1" t="s">
        <v>104</v>
      </c>
      <c r="AP612" s="1" t="s">
        <v>104</v>
      </c>
      <c r="AQ612" s="1" t="s">
        <v>104</v>
      </c>
      <c r="AR612" s="1" t="s">
        <v>104</v>
      </c>
      <c r="AS612" s="1" t="s">
        <v>104</v>
      </c>
      <c r="AU612" s="1" t="s">
        <v>104</v>
      </c>
      <c r="AV612" s="1" t="s">
        <v>104</v>
      </c>
      <c r="AX612" s="1" t="str">
        <f>IFERROR(__xludf.DUMMYFUNCTION("""COMPUTED_VALUE"""),"")</f>
        <v/>
      </c>
      <c r="AZ612" s="1" t="str">
        <f>IFERROR(__xludf.DUMMYFUNCTION("""COMPUTED_VALUE"""),"")</f>
        <v/>
      </c>
      <c r="BB612" s="1" t="s">
        <v>104</v>
      </c>
      <c r="BC612" s="1" t="s">
        <v>104</v>
      </c>
      <c r="BE612" s="1" t="s">
        <v>104</v>
      </c>
      <c r="BG612" s="1" t="s">
        <v>104</v>
      </c>
      <c r="BH612" s="1" t="s">
        <v>104</v>
      </c>
      <c r="BI612" s="1" t="s">
        <v>104</v>
      </c>
      <c r="BJ612" s="1" t="s">
        <v>104</v>
      </c>
      <c r="BK612" s="1" t="s">
        <v>104</v>
      </c>
      <c r="BL612" s="1" t="s">
        <v>104</v>
      </c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N613" s="1" t="s">
        <v>104</v>
      </c>
      <c r="AO613" s="1" t="s">
        <v>104</v>
      </c>
      <c r="AP613" s="1" t="s">
        <v>104</v>
      </c>
      <c r="AQ613" s="1" t="s">
        <v>104</v>
      </c>
      <c r="AR613" s="1" t="s">
        <v>104</v>
      </c>
      <c r="AS613" s="1" t="s">
        <v>104</v>
      </c>
      <c r="AU613" s="1" t="s">
        <v>104</v>
      </c>
      <c r="AV613" s="1" t="s">
        <v>104</v>
      </c>
      <c r="AX613" s="1" t="str">
        <f>IFERROR(__xludf.DUMMYFUNCTION("""COMPUTED_VALUE"""),"")</f>
        <v/>
      </c>
      <c r="AZ613" s="1" t="str">
        <f>IFERROR(__xludf.DUMMYFUNCTION("""COMPUTED_VALUE"""),"")</f>
        <v/>
      </c>
      <c r="BB613" s="1" t="s">
        <v>104</v>
      </c>
      <c r="BC613" s="1" t="s">
        <v>104</v>
      </c>
      <c r="BE613" s="1" t="s">
        <v>104</v>
      </c>
      <c r="BG613" s="1" t="s">
        <v>104</v>
      </c>
      <c r="BH613" s="1" t="s">
        <v>104</v>
      </c>
      <c r="BI613" s="1" t="s">
        <v>104</v>
      </c>
      <c r="BJ613" s="1" t="s">
        <v>104</v>
      </c>
      <c r="BK613" s="1" t="s">
        <v>104</v>
      </c>
      <c r="BL613" s="1" t="s">
        <v>104</v>
      </c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N614" s="1" t="s">
        <v>104</v>
      </c>
      <c r="AO614" s="1" t="s">
        <v>104</v>
      </c>
      <c r="AP614" s="1" t="s">
        <v>104</v>
      </c>
      <c r="AQ614" s="1" t="s">
        <v>104</v>
      </c>
      <c r="AR614" s="1" t="s">
        <v>104</v>
      </c>
      <c r="AS614" s="1" t="s">
        <v>104</v>
      </c>
      <c r="AU614" s="1" t="s">
        <v>104</v>
      </c>
      <c r="AV614" s="1" t="s">
        <v>104</v>
      </c>
      <c r="AX614" s="1" t="str">
        <f>IFERROR(__xludf.DUMMYFUNCTION("""COMPUTED_VALUE"""),"")</f>
        <v/>
      </c>
      <c r="AZ614" s="1" t="str">
        <f>IFERROR(__xludf.DUMMYFUNCTION("""COMPUTED_VALUE"""),"")</f>
        <v/>
      </c>
      <c r="BB614" s="1" t="s">
        <v>104</v>
      </c>
      <c r="BC614" s="1" t="s">
        <v>104</v>
      </c>
      <c r="BE614" s="1" t="s">
        <v>104</v>
      </c>
      <c r="BG614" s="1" t="s">
        <v>104</v>
      </c>
      <c r="BH614" s="1" t="s">
        <v>104</v>
      </c>
      <c r="BI614" s="1" t="s">
        <v>104</v>
      </c>
      <c r="BJ614" s="1" t="s">
        <v>104</v>
      </c>
      <c r="BK614" s="1" t="s">
        <v>104</v>
      </c>
      <c r="BL614" s="1" t="s">
        <v>104</v>
      </c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N615" s="1" t="s">
        <v>104</v>
      </c>
      <c r="AO615" s="1" t="s">
        <v>104</v>
      </c>
      <c r="AP615" s="1" t="s">
        <v>104</v>
      </c>
      <c r="AQ615" s="1" t="s">
        <v>104</v>
      </c>
      <c r="AR615" s="1" t="s">
        <v>104</v>
      </c>
      <c r="AS615" s="1" t="s">
        <v>104</v>
      </c>
      <c r="AU615" s="1" t="s">
        <v>104</v>
      </c>
      <c r="AV615" s="1" t="s">
        <v>104</v>
      </c>
      <c r="AX615" s="1" t="str">
        <f>IFERROR(__xludf.DUMMYFUNCTION("""COMPUTED_VALUE"""),"")</f>
        <v/>
      </c>
      <c r="AZ615" s="1" t="str">
        <f>IFERROR(__xludf.DUMMYFUNCTION("""COMPUTED_VALUE"""),"")</f>
        <v/>
      </c>
      <c r="BB615" s="1" t="s">
        <v>104</v>
      </c>
      <c r="BC615" s="1" t="s">
        <v>104</v>
      </c>
      <c r="BE615" s="1" t="s">
        <v>104</v>
      </c>
      <c r="BG615" s="1" t="s">
        <v>104</v>
      </c>
      <c r="BH615" s="1" t="s">
        <v>104</v>
      </c>
      <c r="BI615" s="1" t="s">
        <v>104</v>
      </c>
      <c r="BJ615" s="1" t="s">
        <v>104</v>
      </c>
      <c r="BK615" s="1" t="s">
        <v>104</v>
      </c>
      <c r="BL615" s="1" t="s">
        <v>104</v>
      </c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N616" s="1" t="s">
        <v>104</v>
      </c>
      <c r="AO616" s="1" t="s">
        <v>104</v>
      </c>
      <c r="AP616" s="1" t="s">
        <v>104</v>
      </c>
      <c r="AQ616" s="1" t="s">
        <v>104</v>
      </c>
      <c r="AR616" s="1" t="s">
        <v>104</v>
      </c>
      <c r="AS616" s="1" t="s">
        <v>104</v>
      </c>
      <c r="AU616" s="1" t="s">
        <v>104</v>
      </c>
      <c r="AV616" s="1" t="s">
        <v>104</v>
      </c>
      <c r="AX616" s="1" t="str">
        <f>IFERROR(__xludf.DUMMYFUNCTION("""COMPUTED_VALUE"""),"")</f>
        <v/>
      </c>
      <c r="AZ616" s="1" t="str">
        <f>IFERROR(__xludf.DUMMYFUNCTION("""COMPUTED_VALUE"""),"")</f>
        <v/>
      </c>
      <c r="BB616" s="1" t="s">
        <v>104</v>
      </c>
      <c r="BC616" s="1" t="s">
        <v>104</v>
      </c>
      <c r="BE616" s="1" t="s">
        <v>104</v>
      </c>
      <c r="BG616" s="1" t="s">
        <v>104</v>
      </c>
      <c r="BH616" s="1" t="s">
        <v>104</v>
      </c>
      <c r="BI616" s="1" t="s">
        <v>104</v>
      </c>
      <c r="BJ616" s="1" t="s">
        <v>104</v>
      </c>
      <c r="BK616" s="1" t="s">
        <v>104</v>
      </c>
      <c r="BL616" s="1" t="s">
        <v>104</v>
      </c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N617" s="1" t="s">
        <v>104</v>
      </c>
      <c r="AO617" s="1" t="s">
        <v>104</v>
      </c>
      <c r="AP617" s="1" t="s">
        <v>104</v>
      </c>
      <c r="AQ617" s="1" t="s">
        <v>104</v>
      </c>
      <c r="AR617" s="1" t="s">
        <v>104</v>
      </c>
      <c r="AS617" s="1" t="s">
        <v>104</v>
      </c>
      <c r="AU617" s="1" t="s">
        <v>104</v>
      </c>
      <c r="AV617" s="1" t="s">
        <v>104</v>
      </c>
      <c r="AX617" s="1" t="str">
        <f>IFERROR(__xludf.DUMMYFUNCTION("""COMPUTED_VALUE"""),"")</f>
        <v/>
      </c>
      <c r="AZ617" s="1" t="str">
        <f>IFERROR(__xludf.DUMMYFUNCTION("""COMPUTED_VALUE"""),"")</f>
        <v/>
      </c>
      <c r="BB617" s="1" t="s">
        <v>104</v>
      </c>
      <c r="BC617" s="1" t="s">
        <v>104</v>
      </c>
      <c r="BE617" s="1" t="s">
        <v>104</v>
      </c>
      <c r="BG617" s="1" t="s">
        <v>104</v>
      </c>
      <c r="BH617" s="1" t="s">
        <v>104</v>
      </c>
      <c r="BI617" s="1" t="s">
        <v>104</v>
      </c>
      <c r="BJ617" s="1" t="s">
        <v>104</v>
      </c>
      <c r="BK617" s="1" t="s">
        <v>104</v>
      </c>
      <c r="BL617" s="1" t="s">
        <v>104</v>
      </c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N618" s="1" t="s">
        <v>104</v>
      </c>
      <c r="AO618" s="1" t="s">
        <v>104</v>
      </c>
      <c r="AP618" s="1" t="s">
        <v>104</v>
      </c>
      <c r="AQ618" s="1" t="s">
        <v>104</v>
      </c>
      <c r="AR618" s="1" t="s">
        <v>104</v>
      </c>
      <c r="AS618" s="1" t="s">
        <v>104</v>
      </c>
      <c r="AU618" s="1" t="s">
        <v>104</v>
      </c>
      <c r="AV618" s="1" t="s">
        <v>104</v>
      </c>
      <c r="AX618" s="1" t="str">
        <f>IFERROR(__xludf.DUMMYFUNCTION("""COMPUTED_VALUE"""),"")</f>
        <v/>
      </c>
      <c r="AZ618" s="1" t="str">
        <f>IFERROR(__xludf.DUMMYFUNCTION("""COMPUTED_VALUE"""),"")</f>
        <v/>
      </c>
      <c r="BB618" s="1" t="s">
        <v>104</v>
      </c>
      <c r="BC618" s="1" t="s">
        <v>104</v>
      </c>
      <c r="BE618" s="1" t="s">
        <v>104</v>
      </c>
      <c r="BG618" s="1" t="s">
        <v>104</v>
      </c>
      <c r="BH618" s="1" t="s">
        <v>104</v>
      </c>
      <c r="BI618" s="1" t="s">
        <v>104</v>
      </c>
      <c r="BJ618" s="1" t="s">
        <v>104</v>
      </c>
      <c r="BK618" s="1" t="s">
        <v>104</v>
      </c>
      <c r="BL618" s="1" t="s">
        <v>104</v>
      </c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N619" s="1" t="s">
        <v>104</v>
      </c>
      <c r="AO619" s="1" t="s">
        <v>104</v>
      </c>
      <c r="AP619" s="1" t="s">
        <v>104</v>
      </c>
      <c r="AQ619" s="1" t="s">
        <v>104</v>
      </c>
      <c r="AR619" s="1" t="s">
        <v>104</v>
      </c>
      <c r="AS619" s="1" t="s">
        <v>104</v>
      </c>
      <c r="AU619" s="1" t="s">
        <v>104</v>
      </c>
      <c r="AV619" s="1" t="s">
        <v>104</v>
      </c>
      <c r="AX619" s="1" t="str">
        <f>IFERROR(__xludf.DUMMYFUNCTION("""COMPUTED_VALUE"""),"")</f>
        <v/>
      </c>
      <c r="AZ619" s="1" t="str">
        <f>IFERROR(__xludf.DUMMYFUNCTION("""COMPUTED_VALUE"""),"")</f>
        <v/>
      </c>
      <c r="BB619" s="1" t="s">
        <v>104</v>
      </c>
      <c r="BC619" s="1" t="s">
        <v>104</v>
      </c>
      <c r="BE619" s="1" t="s">
        <v>104</v>
      </c>
      <c r="BG619" s="1" t="s">
        <v>104</v>
      </c>
      <c r="BH619" s="1" t="s">
        <v>104</v>
      </c>
      <c r="BI619" s="1" t="s">
        <v>104</v>
      </c>
      <c r="BJ619" s="1" t="s">
        <v>104</v>
      </c>
      <c r="BK619" s="1" t="s">
        <v>104</v>
      </c>
      <c r="BL619" s="1" t="s">
        <v>104</v>
      </c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N620" s="1" t="s">
        <v>104</v>
      </c>
      <c r="AO620" s="1" t="s">
        <v>104</v>
      </c>
      <c r="AP620" s="1" t="s">
        <v>104</v>
      </c>
      <c r="AQ620" s="1" t="s">
        <v>104</v>
      </c>
      <c r="AR620" s="1" t="s">
        <v>104</v>
      </c>
      <c r="AS620" s="1" t="s">
        <v>104</v>
      </c>
      <c r="AU620" s="1" t="s">
        <v>104</v>
      </c>
      <c r="AV620" s="1" t="s">
        <v>104</v>
      </c>
      <c r="AX620" s="1" t="str">
        <f>IFERROR(__xludf.DUMMYFUNCTION("""COMPUTED_VALUE"""),"")</f>
        <v/>
      </c>
      <c r="AZ620" s="1" t="str">
        <f>IFERROR(__xludf.DUMMYFUNCTION("""COMPUTED_VALUE"""),"")</f>
        <v/>
      </c>
      <c r="BB620" s="1" t="s">
        <v>104</v>
      </c>
      <c r="BC620" s="1" t="s">
        <v>104</v>
      </c>
      <c r="BE620" s="1" t="s">
        <v>104</v>
      </c>
      <c r="BG620" s="1" t="s">
        <v>104</v>
      </c>
      <c r="BH620" s="1" t="s">
        <v>104</v>
      </c>
      <c r="BI620" s="1" t="s">
        <v>104</v>
      </c>
      <c r="BJ620" s="1" t="s">
        <v>104</v>
      </c>
      <c r="BK620" s="1" t="s">
        <v>104</v>
      </c>
      <c r="BL620" s="1" t="s">
        <v>104</v>
      </c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N621" s="1" t="s">
        <v>104</v>
      </c>
      <c r="AO621" s="1" t="s">
        <v>104</v>
      </c>
      <c r="AP621" s="1" t="s">
        <v>104</v>
      </c>
      <c r="AQ621" s="1" t="s">
        <v>104</v>
      </c>
      <c r="AR621" s="1" t="s">
        <v>104</v>
      </c>
      <c r="AS621" s="1" t="s">
        <v>104</v>
      </c>
      <c r="AU621" s="1" t="s">
        <v>104</v>
      </c>
      <c r="AV621" s="1" t="s">
        <v>104</v>
      </c>
      <c r="AX621" s="1" t="str">
        <f>IFERROR(__xludf.DUMMYFUNCTION("""COMPUTED_VALUE"""),"")</f>
        <v/>
      </c>
      <c r="AZ621" s="1" t="str">
        <f>IFERROR(__xludf.DUMMYFUNCTION("""COMPUTED_VALUE"""),"")</f>
        <v/>
      </c>
      <c r="BB621" s="1" t="s">
        <v>104</v>
      </c>
      <c r="BC621" s="1" t="s">
        <v>104</v>
      </c>
      <c r="BE621" s="1" t="s">
        <v>104</v>
      </c>
      <c r="BG621" s="1" t="s">
        <v>104</v>
      </c>
      <c r="BH621" s="1" t="s">
        <v>104</v>
      </c>
      <c r="BI621" s="1" t="s">
        <v>104</v>
      </c>
      <c r="BJ621" s="1" t="s">
        <v>104</v>
      </c>
      <c r="BK621" s="1" t="s">
        <v>104</v>
      </c>
      <c r="BL621" s="1" t="s">
        <v>104</v>
      </c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N622" s="1" t="s">
        <v>104</v>
      </c>
      <c r="AO622" s="1" t="s">
        <v>104</v>
      </c>
      <c r="AP622" s="1" t="s">
        <v>104</v>
      </c>
      <c r="AQ622" s="1" t="s">
        <v>104</v>
      </c>
      <c r="AR622" s="1" t="s">
        <v>104</v>
      </c>
      <c r="AS622" s="1" t="s">
        <v>104</v>
      </c>
      <c r="AU622" s="1" t="s">
        <v>104</v>
      </c>
      <c r="AV622" s="1" t="s">
        <v>104</v>
      </c>
      <c r="AX622" s="1" t="str">
        <f>IFERROR(__xludf.DUMMYFUNCTION("""COMPUTED_VALUE"""),"")</f>
        <v/>
      </c>
      <c r="AZ622" s="1" t="str">
        <f>IFERROR(__xludf.DUMMYFUNCTION("""COMPUTED_VALUE"""),"")</f>
        <v/>
      </c>
      <c r="BB622" s="1" t="s">
        <v>104</v>
      </c>
      <c r="BC622" s="1" t="s">
        <v>104</v>
      </c>
      <c r="BE622" s="1" t="s">
        <v>104</v>
      </c>
      <c r="BG622" s="1" t="s">
        <v>104</v>
      </c>
      <c r="BH622" s="1" t="s">
        <v>104</v>
      </c>
      <c r="BI622" s="1" t="s">
        <v>104</v>
      </c>
      <c r="BJ622" s="1" t="s">
        <v>104</v>
      </c>
      <c r="BK622" s="1" t="s">
        <v>104</v>
      </c>
      <c r="BL622" s="1" t="s">
        <v>104</v>
      </c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N623" s="1" t="s">
        <v>104</v>
      </c>
      <c r="AO623" s="1" t="s">
        <v>104</v>
      </c>
      <c r="AP623" s="1" t="s">
        <v>104</v>
      </c>
      <c r="AQ623" s="1" t="s">
        <v>104</v>
      </c>
      <c r="AR623" s="1" t="s">
        <v>104</v>
      </c>
      <c r="AS623" s="1" t="s">
        <v>104</v>
      </c>
      <c r="AU623" s="1" t="s">
        <v>104</v>
      </c>
      <c r="AV623" s="1" t="s">
        <v>104</v>
      </c>
      <c r="AX623" s="1" t="str">
        <f>IFERROR(__xludf.DUMMYFUNCTION("""COMPUTED_VALUE"""),"")</f>
        <v/>
      </c>
      <c r="AZ623" s="1" t="str">
        <f>IFERROR(__xludf.DUMMYFUNCTION("""COMPUTED_VALUE"""),"")</f>
        <v/>
      </c>
      <c r="BB623" s="1" t="s">
        <v>104</v>
      </c>
      <c r="BC623" s="1" t="s">
        <v>104</v>
      </c>
      <c r="BE623" s="1" t="s">
        <v>104</v>
      </c>
      <c r="BG623" s="1" t="s">
        <v>104</v>
      </c>
      <c r="BH623" s="1" t="s">
        <v>104</v>
      </c>
      <c r="BI623" s="1" t="s">
        <v>104</v>
      </c>
      <c r="BJ623" s="1" t="s">
        <v>104</v>
      </c>
      <c r="BK623" s="1" t="s">
        <v>104</v>
      </c>
      <c r="BL623" s="1" t="s">
        <v>104</v>
      </c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N624" s="1" t="s">
        <v>104</v>
      </c>
      <c r="AO624" s="1" t="s">
        <v>104</v>
      </c>
      <c r="AP624" s="1" t="s">
        <v>104</v>
      </c>
      <c r="AQ624" s="1" t="s">
        <v>104</v>
      </c>
      <c r="AR624" s="1" t="s">
        <v>104</v>
      </c>
      <c r="AS624" s="1" t="s">
        <v>104</v>
      </c>
      <c r="AU624" s="1" t="s">
        <v>104</v>
      </c>
      <c r="AV624" s="1" t="s">
        <v>104</v>
      </c>
      <c r="AX624" s="1" t="str">
        <f>IFERROR(__xludf.DUMMYFUNCTION("""COMPUTED_VALUE"""),"")</f>
        <v/>
      </c>
      <c r="AZ624" s="1" t="str">
        <f>IFERROR(__xludf.DUMMYFUNCTION("""COMPUTED_VALUE"""),"")</f>
        <v/>
      </c>
      <c r="BB624" s="1" t="s">
        <v>104</v>
      </c>
      <c r="BC624" s="1" t="s">
        <v>104</v>
      </c>
      <c r="BE624" s="1" t="s">
        <v>104</v>
      </c>
      <c r="BG624" s="1" t="s">
        <v>104</v>
      </c>
      <c r="BH624" s="1" t="s">
        <v>104</v>
      </c>
      <c r="BI624" s="1" t="s">
        <v>104</v>
      </c>
      <c r="BJ624" s="1" t="s">
        <v>104</v>
      </c>
      <c r="BK624" s="1" t="s">
        <v>104</v>
      </c>
      <c r="BL624" s="1" t="s">
        <v>104</v>
      </c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N625" s="1" t="s">
        <v>104</v>
      </c>
      <c r="AO625" s="1" t="s">
        <v>104</v>
      </c>
      <c r="AP625" s="1" t="s">
        <v>104</v>
      </c>
      <c r="AQ625" s="1" t="s">
        <v>104</v>
      </c>
      <c r="AR625" s="1" t="s">
        <v>104</v>
      </c>
      <c r="AS625" s="1" t="s">
        <v>104</v>
      </c>
      <c r="AU625" s="1" t="s">
        <v>104</v>
      </c>
      <c r="AV625" s="1" t="s">
        <v>104</v>
      </c>
      <c r="AX625" s="1" t="str">
        <f>IFERROR(__xludf.DUMMYFUNCTION("""COMPUTED_VALUE"""),"")</f>
        <v/>
      </c>
      <c r="AZ625" s="1" t="str">
        <f>IFERROR(__xludf.DUMMYFUNCTION("""COMPUTED_VALUE"""),"")</f>
        <v/>
      </c>
      <c r="BB625" s="1" t="s">
        <v>104</v>
      </c>
      <c r="BC625" s="1" t="s">
        <v>104</v>
      </c>
      <c r="BE625" s="1" t="s">
        <v>104</v>
      </c>
      <c r="BG625" s="1" t="s">
        <v>104</v>
      </c>
      <c r="BH625" s="1" t="s">
        <v>104</v>
      </c>
      <c r="BI625" s="1" t="s">
        <v>104</v>
      </c>
      <c r="BJ625" s="1" t="s">
        <v>104</v>
      </c>
      <c r="BK625" s="1" t="s">
        <v>104</v>
      </c>
      <c r="BL625" s="1" t="s">
        <v>104</v>
      </c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N626" s="1" t="s">
        <v>104</v>
      </c>
      <c r="AO626" s="1" t="s">
        <v>104</v>
      </c>
      <c r="AP626" s="1" t="s">
        <v>104</v>
      </c>
      <c r="AQ626" s="1" t="s">
        <v>104</v>
      </c>
      <c r="AR626" s="1" t="s">
        <v>104</v>
      </c>
      <c r="AS626" s="1" t="s">
        <v>104</v>
      </c>
      <c r="AU626" s="1" t="s">
        <v>104</v>
      </c>
      <c r="AV626" s="1" t="s">
        <v>104</v>
      </c>
      <c r="AX626" s="1" t="str">
        <f>IFERROR(__xludf.DUMMYFUNCTION("""COMPUTED_VALUE"""),"")</f>
        <v/>
      </c>
      <c r="AZ626" s="1" t="str">
        <f>IFERROR(__xludf.DUMMYFUNCTION("""COMPUTED_VALUE"""),"")</f>
        <v/>
      </c>
      <c r="BB626" s="1" t="s">
        <v>104</v>
      </c>
      <c r="BC626" s="1" t="s">
        <v>104</v>
      </c>
      <c r="BE626" s="1" t="s">
        <v>104</v>
      </c>
      <c r="BG626" s="1" t="s">
        <v>104</v>
      </c>
      <c r="BH626" s="1" t="s">
        <v>104</v>
      </c>
      <c r="BI626" s="1" t="s">
        <v>104</v>
      </c>
      <c r="BJ626" s="1" t="s">
        <v>104</v>
      </c>
      <c r="BK626" s="1" t="s">
        <v>104</v>
      </c>
      <c r="BL626" s="1" t="s">
        <v>104</v>
      </c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N627" s="1" t="s">
        <v>104</v>
      </c>
      <c r="AO627" s="1" t="s">
        <v>104</v>
      </c>
      <c r="AP627" s="1" t="s">
        <v>104</v>
      </c>
      <c r="AQ627" s="1" t="s">
        <v>104</v>
      </c>
      <c r="AR627" s="1" t="s">
        <v>104</v>
      </c>
      <c r="AS627" s="1" t="s">
        <v>104</v>
      </c>
      <c r="AU627" s="1" t="s">
        <v>104</v>
      </c>
      <c r="AV627" s="1" t="s">
        <v>104</v>
      </c>
      <c r="AX627" s="1" t="str">
        <f>IFERROR(__xludf.DUMMYFUNCTION("""COMPUTED_VALUE"""),"")</f>
        <v/>
      </c>
      <c r="AZ627" s="1" t="str">
        <f>IFERROR(__xludf.DUMMYFUNCTION("""COMPUTED_VALUE"""),"")</f>
        <v/>
      </c>
      <c r="BB627" s="1" t="s">
        <v>104</v>
      </c>
      <c r="BC627" s="1" t="s">
        <v>104</v>
      </c>
      <c r="BE627" s="1" t="s">
        <v>104</v>
      </c>
      <c r="BG627" s="1" t="s">
        <v>104</v>
      </c>
      <c r="BH627" s="1" t="s">
        <v>104</v>
      </c>
      <c r="BI627" s="1" t="s">
        <v>104</v>
      </c>
      <c r="BJ627" s="1" t="s">
        <v>104</v>
      </c>
      <c r="BK627" s="1" t="s">
        <v>104</v>
      </c>
      <c r="BL627" s="1" t="s">
        <v>104</v>
      </c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N628" s="1" t="s">
        <v>104</v>
      </c>
      <c r="AO628" s="1" t="s">
        <v>104</v>
      </c>
      <c r="AP628" s="1" t="s">
        <v>104</v>
      </c>
      <c r="AQ628" s="1" t="s">
        <v>104</v>
      </c>
      <c r="AR628" s="1" t="s">
        <v>104</v>
      </c>
      <c r="AS628" s="1" t="s">
        <v>104</v>
      </c>
      <c r="AU628" s="1" t="s">
        <v>104</v>
      </c>
      <c r="AV628" s="1" t="s">
        <v>104</v>
      </c>
      <c r="AX628" s="1" t="str">
        <f>IFERROR(__xludf.DUMMYFUNCTION("""COMPUTED_VALUE"""),"")</f>
        <v/>
      </c>
      <c r="AZ628" s="1" t="str">
        <f>IFERROR(__xludf.DUMMYFUNCTION("""COMPUTED_VALUE"""),"")</f>
        <v/>
      </c>
      <c r="BB628" s="1" t="s">
        <v>104</v>
      </c>
      <c r="BC628" s="1" t="s">
        <v>104</v>
      </c>
      <c r="BE628" s="1" t="s">
        <v>104</v>
      </c>
      <c r="BG628" s="1" t="s">
        <v>104</v>
      </c>
      <c r="BH628" s="1" t="s">
        <v>104</v>
      </c>
      <c r="BI628" s="1" t="s">
        <v>104</v>
      </c>
      <c r="BJ628" s="1" t="s">
        <v>104</v>
      </c>
      <c r="BK628" s="1" t="s">
        <v>104</v>
      </c>
      <c r="BL628" s="1" t="s">
        <v>104</v>
      </c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N629" s="1" t="s">
        <v>104</v>
      </c>
      <c r="AO629" s="1" t="s">
        <v>104</v>
      </c>
      <c r="AP629" s="1" t="s">
        <v>104</v>
      </c>
      <c r="AQ629" s="1" t="s">
        <v>104</v>
      </c>
      <c r="AR629" s="1" t="s">
        <v>104</v>
      </c>
      <c r="AS629" s="1" t="s">
        <v>104</v>
      </c>
      <c r="AU629" s="1" t="s">
        <v>104</v>
      </c>
      <c r="AV629" s="1" t="s">
        <v>104</v>
      </c>
      <c r="AX629" s="1" t="str">
        <f>IFERROR(__xludf.DUMMYFUNCTION("""COMPUTED_VALUE"""),"")</f>
        <v/>
      </c>
      <c r="AZ629" s="1" t="str">
        <f>IFERROR(__xludf.DUMMYFUNCTION("""COMPUTED_VALUE"""),"")</f>
        <v/>
      </c>
      <c r="BB629" s="1" t="s">
        <v>104</v>
      </c>
      <c r="BC629" s="1" t="s">
        <v>104</v>
      </c>
      <c r="BE629" s="1" t="s">
        <v>104</v>
      </c>
      <c r="BG629" s="1" t="s">
        <v>104</v>
      </c>
      <c r="BH629" s="1" t="s">
        <v>104</v>
      </c>
      <c r="BI629" s="1" t="s">
        <v>104</v>
      </c>
      <c r="BJ629" s="1" t="s">
        <v>104</v>
      </c>
      <c r="BK629" s="1" t="s">
        <v>104</v>
      </c>
      <c r="BL629" s="1" t="s">
        <v>104</v>
      </c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N630" s="1" t="s">
        <v>104</v>
      </c>
      <c r="AO630" s="1" t="s">
        <v>104</v>
      </c>
      <c r="AP630" s="1" t="s">
        <v>104</v>
      </c>
      <c r="AQ630" s="1" t="s">
        <v>104</v>
      </c>
      <c r="AR630" s="1" t="s">
        <v>104</v>
      </c>
      <c r="AS630" s="1" t="s">
        <v>104</v>
      </c>
      <c r="AU630" s="1" t="s">
        <v>104</v>
      </c>
      <c r="AV630" s="1" t="s">
        <v>104</v>
      </c>
      <c r="AX630" s="1" t="str">
        <f>IFERROR(__xludf.DUMMYFUNCTION("""COMPUTED_VALUE"""),"")</f>
        <v/>
      </c>
      <c r="AZ630" s="1" t="str">
        <f>IFERROR(__xludf.DUMMYFUNCTION("""COMPUTED_VALUE"""),"")</f>
        <v/>
      </c>
      <c r="BB630" s="1" t="s">
        <v>104</v>
      </c>
      <c r="BC630" s="1" t="s">
        <v>104</v>
      </c>
      <c r="BE630" s="1" t="s">
        <v>104</v>
      </c>
      <c r="BG630" s="1" t="s">
        <v>104</v>
      </c>
      <c r="BH630" s="1" t="s">
        <v>104</v>
      </c>
      <c r="BI630" s="1" t="s">
        <v>104</v>
      </c>
      <c r="BJ630" s="1" t="s">
        <v>104</v>
      </c>
      <c r="BK630" s="1" t="s">
        <v>104</v>
      </c>
      <c r="BL630" s="1" t="s">
        <v>104</v>
      </c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N631" s="1" t="s">
        <v>104</v>
      </c>
      <c r="AO631" s="1" t="s">
        <v>104</v>
      </c>
      <c r="AP631" s="1" t="s">
        <v>104</v>
      </c>
      <c r="AQ631" s="1" t="s">
        <v>104</v>
      </c>
      <c r="AR631" s="1" t="s">
        <v>104</v>
      </c>
      <c r="AS631" s="1" t="s">
        <v>104</v>
      </c>
      <c r="AU631" s="1" t="s">
        <v>104</v>
      </c>
      <c r="AV631" s="1" t="s">
        <v>104</v>
      </c>
      <c r="AX631" s="1" t="str">
        <f>IFERROR(__xludf.DUMMYFUNCTION("""COMPUTED_VALUE"""),"")</f>
        <v/>
      </c>
      <c r="AZ631" s="1" t="str">
        <f>IFERROR(__xludf.DUMMYFUNCTION("""COMPUTED_VALUE"""),"")</f>
        <v/>
      </c>
      <c r="BB631" s="1" t="s">
        <v>104</v>
      </c>
      <c r="BC631" s="1" t="s">
        <v>104</v>
      </c>
      <c r="BE631" s="1" t="s">
        <v>104</v>
      </c>
      <c r="BG631" s="1" t="s">
        <v>104</v>
      </c>
      <c r="BH631" s="1" t="s">
        <v>104</v>
      </c>
      <c r="BI631" s="1" t="s">
        <v>104</v>
      </c>
      <c r="BJ631" s="1" t="s">
        <v>104</v>
      </c>
      <c r="BK631" s="1" t="s">
        <v>104</v>
      </c>
      <c r="BL631" s="1" t="s">
        <v>104</v>
      </c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N632" s="1" t="s">
        <v>104</v>
      </c>
      <c r="AO632" s="1" t="s">
        <v>104</v>
      </c>
      <c r="AP632" s="1" t="s">
        <v>104</v>
      </c>
      <c r="AQ632" s="1" t="s">
        <v>104</v>
      </c>
      <c r="AR632" s="1" t="s">
        <v>104</v>
      </c>
      <c r="AS632" s="1" t="s">
        <v>104</v>
      </c>
      <c r="AU632" s="1" t="s">
        <v>104</v>
      </c>
      <c r="AV632" s="1" t="s">
        <v>104</v>
      </c>
      <c r="AX632" s="1" t="str">
        <f>IFERROR(__xludf.DUMMYFUNCTION("""COMPUTED_VALUE"""),"")</f>
        <v/>
      </c>
      <c r="AZ632" s="1" t="str">
        <f>IFERROR(__xludf.DUMMYFUNCTION("""COMPUTED_VALUE"""),"")</f>
        <v/>
      </c>
      <c r="BB632" s="1" t="s">
        <v>104</v>
      </c>
      <c r="BC632" s="1" t="s">
        <v>104</v>
      </c>
      <c r="BE632" s="1" t="s">
        <v>104</v>
      </c>
      <c r="BG632" s="1" t="s">
        <v>104</v>
      </c>
      <c r="BH632" s="1" t="s">
        <v>104</v>
      </c>
      <c r="BI632" s="1" t="s">
        <v>104</v>
      </c>
      <c r="BJ632" s="1" t="s">
        <v>104</v>
      </c>
      <c r="BK632" s="1" t="s">
        <v>104</v>
      </c>
      <c r="BL632" s="1" t="s">
        <v>104</v>
      </c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N633" s="1" t="s">
        <v>104</v>
      </c>
      <c r="AO633" s="1" t="s">
        <v>104</v>
      </c>
      <c r="AP633" s="1" t="s">
        <v>104</v>
      </c>
      <c r="AQ633" s="1" t="s">
        <v>104</v>
      </c>
      <c r="AR633" s="1" t="s">
        <v>104</v>
      </c>
      <c r="AS633" s="1" t="s">
        <v>104</v>
      </c>
      <c r="AU633" s="1" t="s">
        <v>104</v>
      </c>
      <c r="AV633" s="1" t="s">
        <v>104</v>
      </c>
      <c r="AX633" s="1" t="str">
        <f>IFERROR(__xludf.DUMMYFUNCTION("""COMPUTED_VALUE"""),"")</f>
        <v/>
      </c>
      <c r="AZ633" s="1" t="str">
        <f>IFERROR(__xludf.DUMMYFUNCTION("""COMPUTED_VALUE"""),"")</f>
        <v/>
      </c>
      <c r="BB633" s="1" t="s">
        <v>104</v>
      </c>
      <c r="BC633" s="1" t="s">
        <v>104</v>
      </c>
      <c r="BE633" s="1" t="s">
        <v>104</v>
      </c>
      <c r="BG633" s="1" t="s">
        <v>104</v>
      </c>
      <c r="BH633" s="1" t="s">
        <v>104</v>
      </c>
      <c r="BI633" s="1" t="s">
        <v>104</v>
      </c>
      <c r="BJ633" s="1" t="s">
        <v>104</v>
      </c>
      <c r="BK633" s="1" t="s">
        <v>104</v>
      </c>
      <c r="BL633" s="1" t="s">
        <v>104</v>
      </c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N634" s="1" t="s">
        <v>104</v>
      </c>
      <c r="AO634" s="1" t="s">
        <v>104</v>
      </c>
      <c r="AP634" s="1" t="s">
        <v>104</v>
      </c>
      <c r="AQ634" s="1" t="s">
        <v>104</v>
      </c>
      <c r="AR634" s="1" t="s">
        <v>104</v>
      </c>
      <c r="AS634" s="1" t="s">
        <v>104</v>
      </c>
      <c r="AU634" s="1" t="s">
        <v>104</v>
      </c>
      <c r="AV634" s="1" t="s">
        <v>104</v>
      </c>
      <c r="AX634" s="1" t="str">
        <f>IFERROR(__xludf.DUMMYFUNCTION("""COMPUTED_VALUE"""),"")</f>
        <v/>
      </c>
      <c r="AZ634" s="1" t="str">
        <f>IFERROR(__xludf.DUMMYFUNCTION("""COMPUTED_VALUE"""),"")</f>
        <v/>
      </c>
      <c r="BB634" s="1" t="s">
        <v>104</v>
      </c>
      <c r="BC634" s="1" t="s">
        <v>104</v>
      </c>
      <c r="BE634" s="1" t="s">
        <v>104</v>
      </c>
      <c r="BG634" s="1" t="s">
        <v>104</v>
      </c>
      <c r="BH634" s="1" t="s">
        <v>104</v>
      </c>
      <c r="BI634" s="1" t="s">
        <v>104</v>
      </c>
      <c r="BJ634" s="1" t="s">
        <v>104</v>
      </c>
      <c r="BK634" s="1" t="s">
        <v>104</v>
      </c>
      <c r="BL634" s="1" t="s">
        <v>104</v>
      </c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N635" s="1" t="s">
        <v>104</v>
      </c>
      <c r="AO635" s="1" t="s">
        <v>104</v>
      </c>
      <c r="AP635" s="1" t="s">
        <v>104</v>
      </c>
      <c r="AQ635" s="1" t="s">
        <v>104</v>
      </c>
      <c r="AR635" s="1" t="s">
        <v>104</v>
      </c>
      <c r="AS635" s="1" t="s">
        <v>104</v>
      </c>
      <c r="AU635" s="1" t="s">
        <v>104</v>
      </c>
      <c r="AV635" s="1" t="s">
        <v>104</v>
      </c>
      <c r="AX635" s="1" t="str">
        <f>IFERROR(__xludf.DUMMYFUNCTION("""COMPUTED_VALUE"""),"")</f>
        <v/>
      </c>
      <c r="AZ635" s="1" t="str">
        <f>IFERROR(__xludf.DUMMYFUNCTION("""COMPUTED_VALUE"""),"")</f>
        <v/>
      </c>
      <c r="BB635" s="1" t="s">
        <v>104</v>
      </c>
      <c r="BC635" s="1" t="s">
        <v>104</v>
      </c>
      <c r="BE635" s="1" t="s">
        <v>104</v>
      </c>
      <c r="BG635" s="1" t="s">
        <v>104</v>
      </c>
      <c r="BH635" s="1" t="s">
        <v>104</v>
      </c>
      <c r="BI635" s="1" t="s">
        <v>104</v>
      </c>
      <c r="BJ635" s="1" t="s">
        <v>104</v>
      </c>
      <c r="BK635" s="1" t="s">
        <v>104</v>
      </c>
      <c r="BL635" s="1" t="s">
        <v>104</v>
      </c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N636" s="1" t="s">
        <v>104</v>
      </c>
      <c r="AO636" s="1" t="s">
        <v>104</v>
      </c>
      <c r="AP636" s="1" t="s">
        <v>104</v>
      </c>
      <c r="AQ636" s="1" t="s">
        <v>104</v>
      </c>
      <c r="AR636" s="1" t="s">
        <v>104</v>
      </c>
      <c r="AS636" s="1" t="s">
        <v>104</v>
      </c>
      <c r="AU636" s="1" t="s">
        <v>104</v>
      </c>
      <c r="AV636" s="1" t="s">
        <v>104</v>
      </c>
      <c r="AX636" s="1" t="str">
        <f>IFERROR(__xludf.DUMMYFUNCTION("""COMPUTED_VALUE"""),"")</f>
        <v/>
      </c>
      <c r="AZ636" s="1" t="str">
        <f>IFERROR(__xludf.DUMMYFUNCTION("""COMPUTED_VALUE"""),"")</f>
        <v/>
      </c>
      <c r="BB636" s="1" t="s">
        <v>104</v>
      </c>
      <c r="BC636" s="1" t="s">
        <v>104</v>
      </c>
      <c r="BE636" s="1" t="s">
        <v>104</v>
      </c>
      <c r="BG636" s="1" t="s">
        <v>104</v>
      </c>
      <c r="BH636" s="1" t="s">
        <v>104</v>
      </c>
      <c r="BI636" s="1" t="s">
        <v>104</v>
      </c>
      <c r="BJ636" s="1" t="s">
        <v>104</v>
      </c>
      <c r="BK636" s="1" t="s">
        <v>104</v>
      </c>
      <c r="BL636" s="1" t="s">
        <v>104</v>
      </c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N637" s="1" t="s">
        <v>104</v>
      </c>
      <c r="AO637" s="1" t="s">
        <v>104</v>
      </c>
      <c r="AP637" s="1" t="s">
        <v>104</v>
      </c>
      <c r="AQ637" s="1" t="s">
        <v>104</v>
      </c>
      <c r="AR637" s="1" t="s">
        <v>104</v>
      </c>
      <c r="AS637" s="1" t="s">
        <v>104</v>
      </c>
      <c r="AU637" s="1" t="s">
        <v>104</v>
      </c>
      <c r="AV637" s="1" t="s">
        <v>104</v>
      </c>
      <c r="AX637" s="1" t="str">
        <f>IFERROR(__xludf.DUMMYFUNCTION("""COMPUTED_VALUE"""),"")</f>
        <v/>
      </c>
      <c r="AZ637" s="1" t="str">
        <f>IFERROR(__xludf.DUMMYFUNCTION("""COMPUTED_VALUE"""),"")</f>
        <v/>
      </c>
      <c r="BB637" s="1" t="s">
        <v>104</v>
      </c>
      <c r="BC637" s="1" t="s">
        <v>104</v>
      </c>
      <c r="BE637" s="1" t="s">
        <v>104</v>
      </c>
      <c r="BG637" s="1" t="s">
        <v>104</v>
      </c>
      <c r="BH637" s="1" t="s">
        <v>104</v>
      </c>
      <c r="BI637" s="1" t="s">
        <v>104</v>
      </c>
      <c r="BJ637" s="1" t="s">
        <v>104</v>
      </c>
      <c r="BK637" s="1" t="s">
        <v>104</v>
      </c>
      <c r="BL637" s="1" t="s">
        <v>104</v>
      </c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N638" s="1" t="s">
        <v>104</v>
      </c>
      <c r="AO638" s="1" t="s">
        <v>104</v>
      </c>
      <c r="AP638" s="1" t="s">
        <v>104</v>
      </c>
      <c r="AQ638" s="1" t="s">
        <v>104</v>
      </c>
      <c r="AR638" s="1" t="s">
        <v>104</v>
      </c>
      <c r="AS638" s="1" t="s">
        <v>104</v>
      </c>
      <c r="AU638" s="1" t="s">
        <v>104</v>
      </c>
      <c r="AV638" s="1" t="s">
        <v>104</v>
      </c>
      <c r="AX638" s="1" t="str">
        <f>IFERROR(__xludf.DUMMYFUNCTION("""COMPUTED_VALUE"""),"")</f>
        <v/>
      </c>
      <c r="AZ638" s="1" t="str">
        <f>IFERROR(__xludf.DUMMYFUNCTION("""COMPUTED_VALUE"""),"")</f>
        <v/>
      </c>
      <c r="BB638" s="1" t="s">
        <v>104</v>
      </c>
      <c r="BC638" s="1" t="s">
        <v>104</v>
      </c>
      <c r="BE638" s="1" t="s">
        <v>104</v>
      </c>
      <c r="BG638" s="1" t="s">
        <v>104</v>
      </c>
      <c r="BH638" s="1" t="s">
        <v>104</v>
      </c>
      <c r="BI638" s="1" t="s">
        <v>104</v>
      </c>
      <c r="BJ638" s="1" t="s">
        <v>104</v>
      </c>
      <c r="BK638" s="1" t="s">
        <v>104</v>
      </c>
      <c r="BL638" s="1" t="s">
        <v>104</v>
      </c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N639" s="1" t="s">
        <v>104</v>
      </c>
      <c r="AO639" s="1" t="s">
        <v>104</v>
      </c>
      <c r="AP639" s="1" t="s">
        <v>104</v>
      </c>
      <c r="AQ639" s="1" t="s">
        <v>104</v>
      </c>
      <c r="AR639" s="1" t="s">
        <v>104</v>
      </c>
      <c r="AS639" s="1" t="s">
        <v>104</v>
      </c>
      <c r="AU639" s="1" t="s">
        <v>104</v>
      </c>
      <c r="AV639" s="1" t="s">
        <v>104</v>
      </c>
      <c r="AX639" s="1" t="str">
        <f>IFERROR(__xludf.DUMMYFUNCTION("""COMPUTED_VALUE"""),"")</f>
        <v/>
      </c>
      <c r="AZ639" s="1" t="str">
        <f>IFERROR(__xludf.DUMMYFUNCTION("""COMPUTED_VALUE"""),"")</f>
        <v/>
      </c>
      <c r="BB639" s="1" t="s">
        <v>104</v>
      </c>
      <c r="BC639" s="1" t="s">
        <v>104</v>
      </c>
      <c r="BE639" s="1" t="s">
        <v>104</v>
      </c>
      <c r="BG639" s="1" t="s">
        <v>104</v>
      </c>
      <c r="BH639" s="1" t="s">
        <v>104</v>
      </c>
      <c r="BI639" s="1" t="s">
        <v>104</v>
      </c>
      <c r="BJ639" s="1" t="s">
        <v>104</v>
      </c>
      <c r="BK639" s="1" t="s">
        <v>104</v>
      </c>
      <c r="BL639" s="1" t="s">
        <v>104</v>
      </c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N640" s="1" t="s">
        <v>104</v>
      </c>
      <c r="AO640" s="1" t="s">
        <v>104</v>
      </c>
      <c r="AP640" s="1" t="s">
        <v>104</v>
      </c>
      <c r="AQ640" s="1" t="s">
        <v>104</v>
      </c>
      <c r="AR640" s="1" t="s">
        <v>104</v>
      </c>
      <c r="AS640" s="1" t="s">
        <v>104</v>
      </c>
      <c r="AU640" s="1" t="s">
        <v>104</v>
      </c>
      <c r="AV640" s="1" t="s">
        <v>104</v>
      </c>
      <c r="AX640" s="1" t="str">
        <f>IFERROR(__xludf.DUMMYFUNCTION("""COMPUTED_VALUE"""),"")</f>
        <v/>
      </c>
      <c r="AZ640" s="1" t="str">
        <f>IFERROR(__xludf.DUMMYFUNCTION("""COMPUTED_VALUE"""),"")</f>
        <v/>
      </c>
      <c r="BB640" s="1" t="s">
        <v>104</v>
      </c>
      <c r="BC640" s="1" t="s">
        <v>104</v>
      </c>
      <c r="BE640" s="1" t="s">
        <v>104</v>
      </c>
      <c r="BG640" s="1" t="s">
        <v>104</v>
      </c>
      <c r="BH640" s="1" t="s">
        <v>104</v>
      </c>
      <c r="BI640" s="1" t="s">
        <v>104</v>
      </c>
      <c r="BJ640" s="1" t="s">
        <v>104</v>
      </c>
      <c r="BK640" s="1" t="s">
        <v>104</v>
      </c>
      <c r="BL640" s="1" t="s">
        <v>104</v>
      </c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N641" s="1" t="s">
        <v>104</v>
      </c>
      <c r="AO641" s="1" t="s">
        <v>104</v>
      </c>
      <c r="AP641" s="1" t="s">
        <v>104</v>
      </c>
      <c r="AQ641" s="1" t="s">
        <v>104</v>
      </c>
      <c r="AR641" s="1" t="s">
        <v>104</v>
      </c>
      <c r="AS641" s="1" t="s">
        <v>104</v>
      </c>
      <c r="AU641" s="1" t="s">
        <v>104</v>
      </c>
      <c r="AV641" s="1" t="s">
        <v>104</v>
      </c>
      <c r="AX641" s="1" t="str">
        <f>IFERROR(__xludf.DUMMYFUNCTION("""COMPUTED_VALUE"""),"")</f>
        <v/>
      </c>
      <c r="AZ641" s="1" t="str">
        <f>IFERROR(__xludf.DUMMYFUNCTION("""COMPUTED_VALUE"""),"")</f>
        <v/>
      </c>
      <c r="BB641" s="1" t="s">
        <v>104</v>
      </c>
      <c r="BC641" s="1" t="s">
        <v>104</v>
      </c>
      <c r="BE641" s="1" t="s">
        <v>104</v>
      </c>
      <c r="BG641" s="1" t="s">
        <v>104</v>
      </c>
      <c r="BH641" s="1" t="s">
        <v>104</v>
      </c>
      <c r="BI641" s="1" t="s">
        <v>104</v>
      </c>
      <c r="BJ641" s="1" t="s">
        <v>104</v>
      </c>
      <c r="BK641" s="1" t="s">
        <v>104</v>
      </c>
      <c r="BL641" s="1" t="s">
        <v>104</v>
      </c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N642" s="1" t="s">
        <v>104</v>
      </c>
      <c r="AO642" s="1" t="s">
        <v>104</v>
      </c>
      <c r="AP642" s="1" t="s">
        <v>104</v>
      </c>
      <c r="AQ642" s="1" t="s">
        <v>104</v>
      </c>
      <c r="AR642" s="1" t="s">
        <v>104</v>
      </c>
      <c r="AS642" s="1" t="s">
        <v>104</v>
      </c>
      <c r="AU642" s="1" t="s">
        <v>104</v>
      </c>
      <c r="AV642" s="1" t="s">
        <v>104</v>
      </c>
      <c r="AX642" s="1" t="str">
        <f>IFERROR(__xludf.DUMMYFUNCTION("""COMPUTED_VALUE"""),"")</f>
        <v/>
      </c>
      <c r="AZ642" s="1" t="str">
        <f>IFERROR(__xludf.DUMMYFUNCTION("""COMPUTED_VALUE"""),"")</f>
        <v/>
      </c>
      <c r="BB642" s="1" t="s">
        <v>104</v>
      </c>
      <c r="BC642" s="1" t="s">
        <v>104</v>
      </c>
      <c r="BE642" s="1" t="s">
        <v>104</v>
      </c>
      <c r="BG642" s="1" t="s">
        <v>104</v>
      </c>
      <c r="BH642" s="1" t="s">
        <v>104</v>
      </c>
      <c r="BI642" s="1" t="s">
        <v>104</v>
      </c>
      <c r="BJ642" s="1" t="s">
        <v>104</v>
      </c>
      <c r="BK642" s="1" t="s">
        <v>104</v>
      </c>
      <c r="BL642" s="1" t="s">
        <v>104</v>
      </c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N643" s="1" t="s">
        <v>104</v>
      </c>
      <c r="AO643" s="1" t="s">
        <v>104</v>
      </c>
      <c r="AP643" s="1" t="s">
        <v>104</v>
      </c>
      <c r="AQ643" s="1" t="s">
        <v>104</v>
      </c>
      <c r="AR643" s="1" t="s">
        <v>104</v>
      </c>
      <c r="AS643" s="1" t="s">
        <v>104</v>
      </c>
      <c r="AU643" s="1" t="s">
        <v>104</v>
      </c>
      <c r="AV643" s="1" t="s">
        <v>104</v>
      </c>
      <c r="AX643" s="1" t="str">
        <f>IFERROR(__xludf.DUMMYFUNCTION("""COMPUTED_VALUE"""),"")</f>
        <v/>
      </c>
      <c r="AZ643" s="1" t="str">
        <f>IFERROR(__xludf.DUMMYFUNCTION("""COMPUTED_VALUE"""),"")</f>
        <v/>
      </c>
      <c r="BB643" s="1" t="s">
        <v>104</v>
      </c>
      <c r="BC643" s="1" t="s">
        <v>104</v>
      </c>
      <c r="BE643" s="1" t="s">
        <v>104</v>
      </c>
      <c r="BG643" s="1" t="s">
        <v>104</v>
      </c>
      <c r="BH643" s="1" t="s">
        <v>104</v>
      </c>
      <c r="BI643" s="1" t="s">
        <v>104</v>
      </c>
      <c r="BJ643" s="1" t="s">
        <v>104</v>
      </c>
      <c r="BK643" s="1" t="s">
        <v>104</v>
      </c>
      <c r="BL643" s="1" t="s">
        <v>104</v>
      </c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N644" s="1" t="s">
        <v>104</v>
      </c>
      <c r="AO644" s="1" t="s">
        <v>104</v>
      </c>
      <c r="AP644" s="1" t="s">
        <v>104</v>
      </c>
      <c r="AQ644" s="1" t="s">
        <v>104</v>
      </c>
      <c r="AR644" s="1" t="s">
        <v>104</v>
      </c>
      <c r="AS644" s="1" t="s">
        <v>104</v>
      </c>
      <c r="AU644" s="1" t="s">
        <v>104</v>
      </c>
      <c r="AV644" s="1" t="s">
        <v>104</v>
      </c>
      <c r="AX644" s="1" t="str">
        <f>IFERROR(__xludf.DUMMYFUNCTION("""COMPUTED_VALUE"""),"")</f>
        <v/>
      </c>
      <c r="AZ644" s="1" t="str">
        <f>IFERROR(__xludf.DUMMYFUNCTION("""COMPUTED_VALUE"""),"")</f>
        <v/>
      </c>
      <c r="BB644" s="1" t="s">
        <v>104</v>
      </c>
      <c r="BC644" s="1" t="s">
        <v>104</v>
      </c>
      <c r="BE644" s="1" t="s">
        <v>104</v>
      </c>
      <c r="BG644" s="1" t="s">
        <v>104</v>
      </c>
      <c r="BH644" s="1" t="s">
        <v>104</v>
      </c>
      <c r="BI644" s="1" t="s">
        <v>104</v>
      </c>
      <c r="BJ644" s="1" t="s">
        <v>104</v>
      </c>
      <c r="BK644" s="1" t="s">
        <v>104</v>
      </c>
      <c r="BL644" s="1" t="s">
        <v>104</v>
      </c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N645" s="1" t="s">
        <v>104</v>
      </c>
      <c r="AO645" s="1" t="s">
        <v>104</v>
      </c>
      <c r="AP645" s="1" t="s">
        <v>104</v>
      </c>
      <c r="AQ645" s="1" t="s">
        <v>104</v>
      </c>
      <c r="AR645" s="1" t="s">
        <v>104</v>
      </c>
      <c r="AS645" s="1" t="s">
        <v>104</v>
      </c>
      <c r="AU645" s="1" t="s">
        <v>104</v>
      </c>
      <c r="AV645" s="1" t="s">
        <v>104</v>
      </c>
      <c r="AX645" s="1" t="str">
        <f>IFERROR(__xludf.DUMMYFUNCTION("""COMPUTED_VALUE"""),"")</f>
        <v/>
      </c>
      <c r="AZ645" s="1" t="str">
        <f>IFERROR(__xludf.DUMMYFUNCTION("""COMPUTED_VALUE"""),"")</f>
        <v/>
      </c>
      <c r="BB645" s="1" t="s">
        <v>104</v>
      </c>
      <c r="BC645" s="1" t="s">
        <v>104</v>
      </c>
      <c r="BE645" s="1" t="s">
        <v>104</v>
      </c>
      <c r="BG645" s="1" t="s">
        <v>104</v>
      </c>
      <c r="BH645" s="1" t="s">
        <v>104</v>
      </c>
      <c r="BI645" s="1" t="s">
        <v>104</v>
      </c>
      <c r="BJ645" s="1" t="s">
        <v>104</v>
      </c>
      <c r="BK645" s="1" t="s">
        <v>104</v>
      </c>
      <c r="BL645" s="1" t="s">
        <v>104</v>
      </c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N646" s="1" t="s">
        <v>104</v>
      </c>
      <c r="AO646" s="1" t="s">
        <v>104</v>
      </c>
      <c r="AP646" s="1" t="s">
        <v>104</v>
      </c>
      <c r="AQ646" s="1" t="s">
        <v>104</v>
      </c>
      <c r="AR646" s="1" t="s">
        <v>104</v>
      </c>
      <c r="AS646" s="1" t="s">
        <v>104</v>
      </c>
      <c r="AU646" s="1" t="s">
        <v>104</v>
      </c>
      <c r="AV646" s="1" t="s">
        <v>104</v>
      </c>
      <c r="AX646" s="1" t="str">
        <f>IFERROR(__xludf.DUMMYFUNCTION("""COMPUTED_VALUE"""),"")</f>
        <v/>
      </c>
      <c r="AZ646" s="1" t="str">
        <f>IFERROR(__xludf.DUMMYFUNCTION("""COMPUTED_VALUE"""),"")</f>
        <v/>
      </c>
      <c r="BB646" s="1" t="s">
        <v>104</v>
      </c>
      <c r="BC646" s="1" t="s">
        <v>104</v>
      </c>
      <c r="BE646" s="1" t="s">
        <v>104</v>
      </c>
      <c r="BG646" s="1" t="s">
        <v>104</v>
      </c>
      <c r="BH646" s="1" t="s">
        <v>104</v>
      </c>
      <c r="BI646" s="1" t="s">
        <v>104</v>
      </c>
      <c r="BJ646" s="1" t="s">
        <v>104</v>
      </c>
      <c r="BK646" s="1" t="s">
        <v>104</v>
      </c>
      <c r="BL646" s="1" t="s">
        <v>104</v>
      </c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N647" s="1" t="s">
        <v>104</v>
      </c>
      <c r="AO647" s="1" t="s">
        <v>104</v>
      </c>
      <c r="AP647" s="1" t="s">
        <v>104</v>
      </c>
      <c r="AQ647" s="1" t="s">
        <v>104</v>
      </c>
      <c r="AR647" s="1" t="s">
        <v>104</v>
      </c>
      <c r="AS647" s="1" t="s">
        <v>104</v>
      </c>
      <c r="AU647" s="1" t="s">
        <v>104</v>
      </c>
      <c r="AV647" s="1" t="s">
        <v>104</v>
      </c>
      <c r="AX647" s="1" t="str">
        <f>IFERROR(__xludf.DUMMYFUNCTION("""COMPUTED_VALUE"""),"")</f>
        <v/>
      </c>
      <c r="AZ647" s="1" t="str">
        <f>IFERROR(__xludf.DUMMYFUNCTION("""COMPUTED_VALUE"""),"")</f>
        <v/>
      </c>
      <c r="BB647" s="1" t="s">
        <v>104</v>
      </c>
      <c r="BC647" s="1" t="s">
        <v>104</v>
      </c>
      <c r="BE647" s="1" t="s">
        <v>104</v>
      </c>
      <c r="BG647" s="1" t="s">
        <v>104</v>
      </c>
      <c r="BH647" s="1" t="s">
        <v>104</v>
      </c>
      <c r="BI647" s="1" t="s">
        <v>104</v>
      </c>
      <c r="BJ647" s="1" t="s">
        <v>104</v>
      </c>
      <c r="BK647" s="1" t="s">
        <v>104</v>
      </c>
      <c r="BL647" s="1" t="s">
        <v>104</v>
      </c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N648" s="1" t="s">
        <v>104</v>
      </c>
      <c r="AO648" s="1" t="s">
        <v>104</v>
      </c>
      <c r="AP648" s="1" t="s">
        <v>104</v>
      </c>
      <c r="AQ648" s="1" t="s">
        <v>104</v>
      </c>
      <c r="AR648" s="1" t="s">
        <v>104</v>
      </c>
      <c r="AS648" s="1" t="s">
        <v>104</v>
      </c>
      <c r="AU648" s="1" t="s">
        <v>104</v>
      </c>
      <c r="AV648" s="1" t="s">
        <v>104</v>
      </c>
      <c r="AX648" s="1" t="str">
        <f>IFERROR(__xludf.DUMMYFUNCTION("""COMPUTED_VALUE"""),"")</f>
        <v/>
      </c>
      <c r="AZ648" s="1" t="str">
        <f>IFERROR(__xludf.DUMMYFUNCTION("""COMPUTED_VALUE"""),"")</f>
        <v/>
      </c>
      <c r="BB648" s="1" t="s">
        <v>104</v>
      </c>
      <c r="BC648" s="1" t="s">
        <v>104</v>
      </c>
      <c r="BE648" s="1" t="s">
        <v>104</v>
      </c>
      <c r="BG648" s="1" t="s">
        <v>104</v>
      </c>
      <c r="BH648" s="1" t="s">
        <v>104</v>
      </c>
      <c r="BI648" s="1" t="s">
        <v>104</v>
      </c>
      <c r="BJ648" s="1" t="s">
        <v>104</v>
      </c>
      <c r="BK648" s="1" t="s">
        <v>104</v>
      </c>
      <c r="BL648" s="1" t="s">
        <v>104</v>
      </c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N649" s="1" t="s">
        <v>104</v>
      </c>
      <c r="AO649" s="1" t="s">
        <v>104</v>
      </c>
      <c r="AP649" s="1" t="s">
        <v>104</v>
      </c>
      <c r="AQ649" s="1" t="s">
        <v>104</v>
      </c>
      <c r="AR649" s="1" t="s">
        <v>104</v>
      </c>
      <c r="AS649" s="1" t="s">
        <v>104</v>
      </c>
      <c r="AU649" s="1" t="s">
        <v>104</v>
      </c>
      <c r="AV649" s="1" t="s">
        <v>104</v>
      </c>
      <c r="AX649" s="1" t="str">
        <f>IFERROR(__xludf.DUMMYFUNCTION("""COMPUTED_VALUE"""),"")</f>
        <v/>
      </c>
      <c r="AZ649" s="1" t="str">
        <f>IFERROR(__xludf.DUMMYFUNCTION("""COMPUTED_VALUE"""),"")</f>
        <v/>
      </c>
      <c r="BB649" s="1" t="s">
        <v>104</v>
      </c>
      <c r="BC649" s="1" t="s">
        <v>104</v>
      </c>
      <c r="BE649" s="1" t="s">
        <v>104</v>
      </c>
      <c r="BG649" s="1" t="s">
        <v>104</v>
      </c>
      <c r="BH649" s="1" t="s">
        <v>104</v>
      </c>
      <c r="BI649" s="1" t="s">
        <v>104</v>
      </c>
      <c r="BJ649" s="1" t="s">
        <v>104</v>
      </c>
      <c r="BK649" s="1" t="s">
        <v>104</v>
      </c>
      <c r="BL649" s="1" t="s">
        <v>104</v>
      </c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N650" s="1" t="s">
        <v>104</v>
      </c>
      <c r="AO650" s="1" t="s">
        <v>104</v>
      </c>
      <c r="AP650" s="1" t="s">
        <v>104</v>
      </c>
      <c r="AQ650" s="1" t="s">
        <v>104</v>
      </c>
      <c r="AR650" s="1" t="s">
        <v>104</v>
      </c>
      <c r="AS650" s="1" t="s">
        <v>104</v>
      </c>
      <c r="AU650" s="1" t="s">
        <v>104</v>
      </c>
      <c r="AV650" s="1" t="s">
        <v>104</v>
      </c>
      <c r="AX650" s="1" t="str">
        <f>IFERROR(__xludf.DUMMYFUNCTION("""COMPUTED_VALUE"""),"")</f>
        <v/>
      </c>
      <c r="AZ650" s="1" t="str">
        <f>IFERROR(__xludf.DUMMYFUNCTION("""COMPUTED_VALUE"""),"")</f>
        <v/>
      </c>
      <c r="BB650" s="1" t="s">
        <v>104</v>
      </c>
      <c r="BC650" s="1" t="s">
        <v>104</v>
      </c>
      <c r="BE650" s="1" t="s">
        <v>104</v>
      </c>
      <c r="BG650" s="1" t="s">
        <v>104</v>
      </c>
      <c r="BH650" s="1" t="s">
        <v>104</v>
      </c>
      <c r="BI650" s="1" t="s">
        <v>104</v>
      </c>
      <c r="BJ650" s="1" t="s">
        <v>104</v>
      </c>
      <c r="BK650" s="1" t="s">
        <v>104</v>
      </c>
      <c r="BL650" s="1" t="s">
        <v>104</v>
      </c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N651" s="1" t="s">
        <v>104</v>
      </c>
      <c r="AO651" s="1" t="s">
        <v>104</v>
      </c>
      <c r="AP651" s="1" t="s">
        <v>104</v>
      </c>
      <c r="AQ651" s="1" t="s">
        <v>104</v>
      </c>
      <c r="AR651" s="1" t="s">
        <v>104</v>
      </c>
      <c r="AS651" s="1" t="s">
        <v>104</v>
      </c>
      <c r="AU651" s="1" t="s">
        <v>104</v>
      </c>
      <c r="AV651" s="1" t="s">
        <v>104</v>
      </c>
      <c r="AX651" s="1" t="str">
        <f>IFERROR(__xludf.DUMMYFUNCTION("""COMPUTED_VALUE"""),"")</f>
        <v/>
      </c>
      <c r="AZ651" s="1" t="str">
        <f>IFERROR(__xludf.DUMMYFUNCTION("""COMPUTED_VALUE"""),"")</f>
        <v/>
      </c>
      <c r="BB651" s="1" t="s">
        <v>104</v>
      </c>
      <c r="BC651" s="1" t="s">
        <v>104</v>
      </c>
      <c r="BE651" s="1" t="s">
        <v>104</v>
      </c>
      <c r="BG651" s="1" t="s">
        <v>104</v>
      </c>
      <c r="BH651" s="1" t="s">
        <v>104</v>
      </c>
      <c r="BI651" s="1" t="s">
        <v>104</v>
      </c>
      <c r="BJ651" s="1" t="s">
        <v>104</v>
      </c>
      <c r="BK651" s="1" t="s">
        <v>104</v>
      </c>
      <c r="BL651" s="1" t="s">
        <v>104</v>
      </c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N652" s="1" t="s">
        <v>104</v>
      </c>
      <c r="AO652" s="1" t="s">
        <v>104</v>
      </c>
      <c r="AP652" s="1" t="s">
        <v>104</v>
      </c>
      <c r="AQ652" s="1" t="s">
        <v>104</v>
      </c>
      <c r="AR652" s="1" t="s">
        <v>104</v>
      </c>
      <c r="AS652" s="1" t="s">
        <v>104</v>
      </c>
      <c r="AU652" s="1" t="s">
        <v>104</v>
      </c>
      <c r="AV652" s="1" t="s">
        <v>104</v>
      </c>
      <c r="AX652" s="1" t="str">
        <f>IFERROR(__xludf.DUMMYFUNCTION("""COMPUTED_VALUE"""),"")</f>
        <v/>
      </c>
      <c r="AZ652" s="1" t="str">
        <f>IFERROR(__xludf.DUMMYFUNCTION("""COMPUTED_VALUE"""),"")</f>
        <v/>
      </c>
      <c r="BB652" s="1" t="s">
        <v>104</v>
      </c>
      <c r="BC652" s="1" t="s">
        <v>104</v>
      </c>
      <c r="BE652" s="1" t="s">
        <v>104</v>
      </c>
      <c r="BG652" s="1" t="s">
        <v>104</v>
      </c>
      <c r="BH652" s="1" t="s">
        <v>104</v>
      </c>
      <c r="BI652" s="1" t="s">
        <v>104</v>
      </c>
      <c r="BJ652" s="1" t="s">
        <v>104</v>
      </c>
      <c r="BK652" s="1" t="s">
        <v>104</v>
      </c>
      <c r="BL652" s="1" t="s">
        <v>104</v>
      </c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N653" s="1" t="s">
        <v>104</v>
      </c>
      <c r="AO653" s="1" t="s">
        <v>104</v>
      </c>
      <c r="AP653" s="1" t="s">
        <v>104</v>
      </c>
      <c r="AQ653" s="1" t="s">
        <v>104</v>
      </c>
      <c r="AR653" s="1" t="s">
        <v>104</v>
      </c>
      <c r="AS653" s="1" t="s">
        <v>104</v>
      </c>
      <c r="AU653" s="1" t="s">
        <v>104</v>
      </c>
      <c r="AV653" s="1" t="s">
        <v>104</v>
      </c>
      <c r="AX653" s="1" t="str">
        <f>IFERROR(__xludf.DUMMYFUNCTION("""COMPUTED_VALUE"""),"")</f>
        <v/>
      </c>
      <c r="AZ653" s="1" t="str">
        <f>IFERROR(__xludf.DUMMYFUNCTION("""COMPUTED_VALUE"""),"")</f>
        <v/>
      </c>
      <c r="BB653" s="1" t="s">
        <v>104</v>
      </c>
      <c r="BC653" s="1" t="s">
        <v>104</v>
      </c>
      <c r="BE653" s="1" t="s">
        <v>104</v>
      </c>
      <c r="BG653" s="1" t="s">
        <v>104</v>
      </c>
      <c r="BH653" s="1" t="s">
        <v>104</v>
      </c>
      <c r="BI653" s="1" t="s">
        <v>104</v>
      </c>
      <c r="BJ653" s="1" t="s">
        <v>104</v>
      </c>
      <c r="BK653" s="1" t="s">
        <v>104</v>
      </c>
      <c r="BL653" s="1" t="s">
        <v>104</v>
      </c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N654" s="1" t="s">
        <v>104</v>
      </c>
      <c r="AO654" s="1" t="s">
        <v>104</v>
      </c>
      <c r="AP654" s="1" t="s">
        <v>104</v>
      </c>
      <c r="AQ654" s="1" t="s">
        <v>104</v>
      </c>
      <c r="AR654" s="1" t="s">
        <v>104</v>
      </c>
      <c r="AS654" s="1" t="s">
        <v>104</v>
      </c>
      <c r="AU654" s="1" t="s">
        <v>104</v>
      </c>
      <c r="AV654" s="1" t="s">
        <v>104</v>
      </c>
      <c r="AX654" s="1" t="str">
        <f>IFERROR(__xludf.DUMMYFUNCTION("""COMPUTED_VALUE"""),"")</f>
        <v/>
      </c>
      <c r="AZ654" s="1" t="str">
        <f>IFERROR(__xludf.DUMMYFUNCTION("""COMPUTED_VALUE"""),"")</f>
        <v/>
      </c>
      <c r="BB654" s="1" t="s">
        <v>104</v>
      </c>
      <c r="BC654" s="1" t="s">
        <v>104</v>
      </c>
      <c r="BE654" s="1" t="s">
        <v>104</v>
      </c>
      <c r="BG654" s="1" t="s">
        <v>104</v>
      </c>
      <c r="BH654" s="1" t="s">
        <v>104</v>
      </c>
      <c r="BI654" s="1" t="s">
        <v>104</v>
      </c>
      <c r="BJ654" s="1" t="s">
        <v>104</v>
      </c>
      <c r="BK654" s="1" t="s">
        <v>104</v>
      </c>
      <c r="BL654" s="1" t="s">
        <v>104</v>
      </c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N655" s="1" t="s">
        <v>104</v>
      </c>
      <c r="AO655" s="1" t="s">
        <v>104</v>
      </c>
      <c r="AP655" s="1" t="s">
        <v>104</v>
      </c>
      <c r="AQ655" s="1" t="s">
        <v>104</v>
      </c>
      <c r="AR655" s="1" t="s">
        <v>104</v>
      </c>
      <c r="AS655" s="1" t="s">
        <v>104</v>
      </c>
      <c r="AU655" s="1" t="s">
        <v>104</v>
      </c>
      <c r="AV655" s="1" t="s">
        <v>104</v>
      </c>
      <c r="AX655" s="1" t="str">
        <f>IFERROR(__xludf.DUMMYFUNCTION("""COMPUTED_VALUE"""),"")</f>
        <v/>
      </c>
      <c r="AZ655" s="1" t="str">
        <f>IFERROR(__xludf.DUMMYFUNCTION("""COMPUTED_VALUE"""),"")</f>
        <v/>
      </c>
      <c r="BB655" s="1" t="s">
        <v>104</v>
      </c>
      <c r="BC655" s="1" t="s">
        <v>104</v>
      </c>
      <c r="BE655" s="1" t="s">
        <v>104</v>
      </c>
      <c r="BG655" s="1" t="s">
        <v>104</v>
      </c>
      <c r="BH655" s="1" t="s">
        <v>104</v>
      </c>
      <c r="BI655" s="1" t="s">
        <v>104</v>
      </c>
      <c r="BJ655" s="1" t="s">
        <v>104</v>
      </c>
      <c r="BK655" s="1" t="s">
        <v>104</v>
      </c>
      <c r="BL655" s="1" t="s">
        <v>104</v>
      </c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N656" s="1" t="s">
        <v>104</v>
      </c>
      <c r="AO656" s="1" t="s">
        <v>104</v>
      </c>
      <c r="AP656" s="1" t="s">
        <v>104</v>
      </c>
      <c r="AQ656" s="1" t="s">
        <v>104</v>
      </c>
      <c r="AR656" s="1" t="s">
        <v>104</v>
      </c>
      <c r="AS656" s="1" t="s">
        <v>104</v>
      </c>
      <c r="AU656" s="1" t="s">
        <v>104</v>
      </c>
      <c r="AV656" s="1" t="s">
        <v>104</v>
      </c>
      <c r="AX656" s="1" t="str">
        <f>IFERROR(__xludf.DUMMYFUNCTION("""COMPUTED_VALUE"""),"")</f>
        <v/>
      </c>
      <c r="AZ656" s="1" t="str">
        <f>IFERROR(__xludf.DUMMYFUNCTION("""COMPUTED_VALUE"""),"")</f>
        <v/>
      </c>
      <c r="BB656" s="1" t="s">
        <v>104</v>
      </c>
      <c r="BC656" s="1" t="s">
        <v>104</v>
      </c>
      <c r="BE656" s="1" t="s">
        <v>104</v>
      </c>
      <c r="BG656" s="1" t="s">
        <v>104</v>
      </c>
      <c r="BH656" s="1" t="s">
        <v>104</v>
      </c>
      <c r="BI656" s="1" t="s">
        <v>104</v>
      </c>
      <c r="BJ656" s="1" t="s">
        <v>104</v>
      </c>
      <c r="BK656" s="1" t="s">
        <v>104</v>
      </c>
      <c r="BL656" s="1" t="s">
        <v>104</v>
      </c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N657" s="1" t="s">
        <v>104</v>
      </c>
      <c r="AO657" s="1" t="s">
        <v>104</v>
      </c>
      <c r="AP657" s="1" t="s">
        <v>104</v>
      </c>
      <c r="AQ657" s="1" t="s">
        <v>104</v>
      </c>
      <c r="AR657" s="1" t="s">
        <v>104</v>
      </c>
      <c r="AS657" s="1" t="s">
        <v>104</v>
      </c>
      <c r="AU657" s="1" t="s">
        <v>104</v>
      </c>
      <c r="AV657" s="1" t="s">
        <v>104</v>
      </c>
      <c r="AX657" s="1" t="str">
        <f>IFERROR(__xludf.DUMMYFUNCTION("""COMPUTED_VALUE"""),"")</f>
        <v/>
      </c>
      <c r="AZ657" s="1" t="str">
        <f>IFERROR(__xludf.DUMMYFUNCTION("""COMPUTED_VALUE"""),"")</f>
        <v/>
      </c>
      <c r="BB657" s="1" t="s">
        <v>104</v>
      </c>
      <c r="BC657" s="1" t="s">
        <v>104</v>
      </c>
      <c r="BE657" s="1" t="s">
        <v>104</v>
      </c>
      <c r="BG657" s="1" t="s">
        <v>104</v>
      </c>
      <c r="BH657" s="1" t="s">
        <v>104</v>
      </c>
      <c r="BI657" s="1" t="s">
        <v>104</v>
      </c>
      <c r="BJ657" s="1" t="s">
        <v>104</v>
      </c>
      <c r="BK657" s="1" t="s">
        <v>104</v>
      </c>
      <c r="BL657" s="1" t="s">
        <v>104</v>
      </c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N658" s="1" t="s">
        <v>104</v>
      </c>
      <c r="AO658" s="1" t="s">
        <v>104</v>
      </c>
      <c r="AP658" s="1" t="s">
        <v>104</v>
      </c>
      <c r="AQ658" s="1" t="s">
        <v>104</v>
      </c>
      <c r="AR658" s="1" t="s">
        <v>104</v>
      </c>
      <c r="AS658" s="1" t="s">
        <v>104</v>
      </c>
      <c r="AU658" s="1" t="s">
        <v>104</v>
      </c>
      <c r="AV658" s="1" t="s">
        <v>104</v>
      </c>
      <c r="AX658" s="1" t="str">
        <f>IFERROR(__xludf.DUMMYFUNCTION("""COMPUTED_VALUE"""),"")</f>
        <v/>
      </c>
      <c r="AZ658" s="1" t="str">
        <f>IFERROR(__xludf.DUMMYFUNCTION("""COMPUTED_VALUE"""),"")</f>
        <v/>
      </c>
      <c r="BB658" s="1" t="s">
        <v>104</v>
      </c>
      <c r="BC658" s="1" t="s">
        <v>104</v>
      </c>
      <c r="BE658" s="1" t="s">
        <v>104</v>
      </c>
      <c r="BG658" s="1" t="s">
        <v>104</v>
      </c>
      <c r="BH658" s="1" t="s">
        <v>104</v>
      </c>
      <c r="BI658" s="1" t="s">
        <v>104</v>
      </c>
      <c r="BJ658" s="1" t="s">
        <v>104</v>
      </c>
      <c r="BK658" s="1" t="s">
        <v>104</v>
      </c>
      <c r="BL658" s="1" t="s">
        <v>104</v>
      </c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N659" s="1" t="s">
        <v>104</v>
      </c>
      <c r="AO659" s="1" t="s">
        <v>104</v>
      </c>
      <c r="AP659" s="1" t="s">
        <v>104</v>
      </c>
      <c r="AQ659" s="1" t="s">
        <v>104</v>
      </c>
      <c r="AR659" s="1" t="s">
        <v>104</v>
      </c>
      <c r="AS659" s="1" t="s">
        <v>104</v>
      </c>
      <c r="AU659" s="1" t="s">
        <v>104</v>
      </c>
      <c r="AV659" s="1" t="s">
        <v>104</v>
      </c>
      <c r="AX659" s="1" t="str">
        <f>IFERROR(__xludf.DUMMYFUNCTION("""COMPUTED_VALUE"""),"")</f>
        <v/>
      </c>
      <c r="AZ659" s="1" t="str">
        <f>IFERROR(__xludf.DUMMYFUNCTION("""COMPUTED_VALUE"""),"")</f>
        <v/>
      </c>
      <c r="BB659" s="1" t="s">
        <v>104</v>
      </c>
      <c r="BC659" s="1" t="s">
        <v>104</v>
      </c>
      <c r="BE659" s="1" t="s">
        <v>104</v>
      </c>
      <c r="BG659" s="1" t="s">
        <v>104</v>
      </c>
      <c r="BH659" s="1" t="s">
        <v>104</v>
      </c>
      <c r="BI659" s="1" t="s">
        <v>104</v>
      </c>
      <c r="BJ659" s="1" t="s">
        <v>104</v>
      </c>
      <c r="BK659" s="1" t="s">
        <v>104</v>
      </c>
      <c r="BL659" s="1" t="s">
        <v>104</v>
      </c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N660" s="1" t="s">
        <v>104</v>
      </c>
      <c r="AO660" s="1" t="s">
        <v>104</v>
      </c>
      <c r="AP660" s="1" t="s">
        <v>104</v>
      </c>
      <c r="AQ660" s="1" t="s">
        <v>104</v>
      </c>
      <c r="AR660" s="1" t="s">
        <v>104</v>
      </c>
      <c r="AS660" s="1" t="s">
        <v>104</v>
      </c>
      <c r="AU660" s="1" t="s">
        <v>104</v>
      </c>
      <c r="AV660" s="1" t="s">
        <v>104</v>
      </c>
      <c r="AX660" s="1" t="str">
        <f>IFERROR(__xludf.DUMMYFUNCTION("""COMPUTED_VALUE"""),"")</f>
        <v/>
      </c>
      <c r="AZ660" s="1" t="str">
        <f>IFERROR(__xludf.DUMMYFUNCTION("""COMPUTED_VALUE"""),"")</f>
        <v/>
      </c>
      <c r="BB660" s="1" t="s">
        <v>104</v>
      </c>
      <c r="BC660" s="1" t="s">
        <v>104</v>
      </c>
      <c r="BE660" s="1" t="s">
        <v>104</v>
      </c>
      <c r="BG660" s="1" t="s">
        <v>104</v>
      </c>
      <c r="BH660" s="1" t="s">
        <v>104</v>
      </c>
      <c r="BI660" s="1" t="s">
        <v>104</v>
      </c>
      <c r="BJ660" s="1" t="s">
        <v>104</v>
      </c>
      <c r="BK660" s="1" t="s">
        <v>104</v>
      </c>
      <c r="BL660" s="1" t="s">
        <v>104</v>
      </c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N661" s="1" t="s">
        <v>104</v>
      </c>
      <c r="AO661" s="1" t="s">
        <v>104</v>
      </c>
      <c r="AP661" s="1" t="s">
        <v>104</v>
      </c>
      <c r="AQ661" s="1" t="s">
        <v>104</v>
      </c>
      <c r="AR661" s="1" t="s">
        <v>104</v>
      </c>
      <c r="AS661" s="1" t="s">
        <v>104</v>
      </c>
      <c r="AU661" s="1" t="s">
        <v>104</v>
      </c>
      <c r="AV661" s="1" t="s">
        <v>104</v>
      </c>
      <c r="AX661" s="1" t="str">
        <f>IFERROR(__xludf.DUMMYFUNCTION("""COMPUTED_VALUE"""),"")</f>
        <v/>
      </c>
      <c r="AZ661" s="1" t="str">
        <f>IFERROR(__xludf.DUMMYFUNCTION("""COMPUTED_VALUE"""),"")</f>
        <v/>
      </c>
      <c r="BB661" s="1" t="s">
        <v>104</v>
      </c>
      <c r="BC661" s="1" t="s">
        <v>104</v>
      </c>
      <c r="BE661" s="1" t="s">
        <v>104</v>
      </c>
      <c r="BG661" s="1" t="s">
        <v>104</v>
      </c>
      <c r="BH661" s="1" t="s">
        <v>104</v>
      </c>
      <c r="BI661" s="1" t="s">
        <v>104</v>
      </c>
      <c r="BJ661" s="1" t="s">
        <v>104</v>
      </c>
      <c r="BK661" s="1" t="s">
        <v>104</v>
      </c>
      <c r="BL661" s="1" t="s">
        <v>104</v>
      </c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N662" s="1" t="s">
        <v>104</v>
      </c>
      <c r="AO662" s="1" t="s">
        <v>104</v>
      </c>
      <c r="AP662" s="1" t="s">
        <v>104</v>
      </c>
      <c r="AQ662" s="1" t="s">
        <v>104</v>
      </c>
      <c r="AR662" s="1" t="s">
        <v>104</v>
      </c>
      <c r="AS662" s="1" t="s">
        <v>104</v>
      </c>
      <c r="AU662" s="1" t="s">
        <v>104</v>
      </c>
      <c r="AV662" s="1" t="s">
        <v>104</v>
      </c>
      <c r="AX662" s="1" t="str">
        <f>IFERROR(__xludf.DUMMYFUNCTION("""COMPUTED_VALUE"""),"")</f>
        <v/>
      </c>
      <c r="AZ662" s="1" t="str">
        <f>IFERROR(__xludf.DUMMYFUNCTION("""COMPUTED_VALUE"""),"")</f>
        <v/>
      </c>
      <c r="BB662" s="1" t="s">
        <v>104</v>
      </c>
      <c r="BC662" s="1" t="s">
        <v>104</v>
      </c>
      <c r="BE662" s="1" t="s">
        <v>104</v>
      </c>
      <c r="BG662" s="1" t="s">
        <v>104</v>
      </c>
      <c r="BH662" s="1" t="s">
        <v>104</v>
      </c>
      <c r="BI662" s="1" t="s">
        <v>104</v>
      </c>
      <c r="BJ662" s="1" t="s">
        <v>104</v>
      </c>
      <c r="BK662" s="1" t="s">
        <v>104</v>
      </c>
      <c r="BL662" s="1" t="s">
        <v>104</v>
      </c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N663" s="1" t="s">
        <v>104</v>
      </c>
      <c r="AO663" s="1" t="s">
        <v>104</v>
      </c>
      <c r="AP663" s="1" t="s">
        <v>104</v>
      </c>
      <c r="AQ663" s="1" t="s">
        <v>104</v>
      </c>
      <c r="AR663" s="1" t="s">
        <v>104</v>
      </c>
      <c r="AS663" s="1" t="s">
        <v>104</v>
      </c>
      <c r="AU663" s="1" t="s">
        <v>104</v>
      </c>
      <c r="AV663" s="1" t="s">
        <v>104</v>
      </c>
      <c r="AX663" s="1" t="str">
        <f>IFERROR(__xludf.DUMMYFUNCTION("""COMPUTED_VALUE"""),"")</f>
        <v/>
      </c>
      <c r="AZ663" s="1" t="str">
        <f>IFERROR(__xludf.DUMMYFUNCTION("""COMPUTED_VALUE"""),"")</f>
        <v/>
      </c>
      <c r="BB663" s="1" t="s">
        <v>104</v>
      </c>
      <c r="BC663" s="1" t="s">
        <v>104</v>
      </c>
      <c r="BE663" s="1" t="s">
        <v>104</v>
      </c>
      <c r="BG663" s="1" t="s">
        <v>104</v>
      </c>
      <c r="BH663" s="1" t="s">
        <v>104</v>
      </c>
      <c r="BI663" s="1" t="s">
        <v>104</v>
      </c>
      <c r="BJ663" s="1" t="s">
        <v>104</v>
      </c>
      <c r="BK663" s="1" t="s">
        <v>104</v>
      </c>
      <c r="BL663" s="1" t="s">
        <v>104</v>
      </c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N664" s="1" t="s">
        <v>104</v>
      </c>
      <c r="AO664" s="1" t="s">
        <v>104</v>
      </c>
      <c r="AP664" s="1" t="s">
        <v>104</v>
      </c>
      <c r="AQ664" s="1" t="s">
        <v>104</v>
      </c>
      <c r="AR664" s="1" t="s">
        <v>104</v>
      </c>
      <c r="AS664" s="1" t="s">
        <v>104</v>
      </c>
      <c r="AU664" s="1" t="s">
        <v>104</v>
      </c>
      <c r="AV664" s="1" t="s">
        <v>104</v>
      </c>
      <c r="AX664" s="1" t="str">
        <f>IFERROR(__xludf.DUMMYFUNCTION("""COMPUTED_VALUE"""),"")</f>
        <v/>
      </c>
      <c r="AZ664" s="1" t="str">
        <f>IFERROR(__xludf.DUMMYFUNCTION("""COMPUTED_VALUE"""),"")</f>
        <v/>
      </c>
      <c r="BB664" s="1" t="s">
        <v>104</v>
      </c>
      <c r="BC664" s="1" t="s">
        <v>104</v>
      </c>
      <c r="BE664" s="1" t="s">
        <v>104</v>
      </c>
      <c r="BG664" s="1" t="s">
        <v>104</v>
      </c>
      <c r="BH664" s="1" t="s">
        <v>104</v>
      </c>
      <c r="BI664" s="1" t="s">
        <v>104</v>
      </c>
      <c r="BJ664" s="1" t="s">
        <v>104</v>
      </c>
      <c r="BK664" s="1" t="s">
        <v>104</v>
      </c>
      <c r="BL664" s="1" t="s">
        <v>104</v>
      </c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N665" s="1" t="s">
        <v>104</v>
      </c>
      <c r="AO665" s="1" t="s">
        <v>104</v>
      </c>
      <c r="AP665" s="1" t="s">
        <v>104</v>
      </c>
      <c r="AQ665" s="1" t="s">
        <v>104</v>
      </c>
      <c r="AR665" s="1" t="s">
        <v>104</v>
      </c>
      <c r="AS665" s="1" t="s">
        <v>104</v>
      </c>
      <c r="AU665" s="1" t="s">
        <v>104</v>
      </c>
      <c r="AV665" s="1" t="s">
        <v>104</v>
      </c>
      <c r="AX665" s="1" t="str">
        <f>IFERROR(__xludf.DUMMYFUNCTION("""COMPUTED_VALUE"""),"")</f>
        <v/>
      </c>
      <c r="AZ665" s="1" t="str">
        <f>IFERROR(__xludf.DUMMYFUNCTION("""COMPUTED_VALUE"""),"")</f>
        <v/>
      </c>
      <c r="BB665" s="1" t="s">
        <v>104</v>
      </c>
      <c r="BC665" s="1" t="s">
        <v>104</v>
      </c>
      <c r="BE665" s="1" t="s">
        <v>104</v>
      </c>
      <c r="BG665" s="1" t="s">
        <v>104</v>
      </c>
      <c r="BH665" s="1" t="s">
        <v>104</v>
      </c>
      <c r="BI665" s="1" t="s">
        <v>104</v>
      </c>
      <c r="BJ665" s="1" t="s">
        <v>104</v>
      </c>
      <c r="BK665" s="1" t="s">
        <v>104</v>
      </c>
      <c r="BL665" s="1" t="s">
        <v>104</v>
      </c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N666" s="1" t="s">
        <v>104</v>
      </c>
      <c r="AO666" s="1" t="s">
        <v>104</v>
      </c>
      <c r="AP666" s="1" t="s">
        <v>104</v>
      </c>
      <c r="AQ666" s="1" t="s">
        <v>104</v>
      </c>
      <c r="AR666" s="1" t="s">
        <v>104</v>
      </c>
      <c r="AS666" s="1" t="s">
        <v>104</v>
      </c>
      <c r="AU666" s="1" t="s">
        <v>104</v>
      </c>
      <c r="AV666" s="1" t="s">
        <v>104</v>
      </c>
      <c r="AX666" s="1" t="str">
        <f>IFERROR(__xludf.DUMMYFUNCTION("""COMPUTED_VALUE"""),"")</f>
        <v/>
      </c>
      <c r="AZ666" s="1" t="str">
        <f>IFERROR(__xludf.DUMMYFUNCTION("""COMPUTED_VALUE"""),"")</f>
        <v/>
      </c>
      <c r="BB666" s="1" t="s">
        <v>104</v>
      </c>
      <c r="BC666" s="1" t="s">
        <v>104</v>
      </c>
      <c r="BE666" s="1" t="s">
        <v>104</v>
      </c>
      <c r="BG666" s="1" t="s">
        <v>104</v>
      </c>
      <c r="BH666" s="1" t="s">
        <v>104</v>
      </c>
      <c r="BI666" s="1" t="s">
        <v>104</v>
      </c>
      <c r="BJ666" s="1" t="s">
        <v>104</v>
      </c>
      <c r="BK666" s="1" t="s">
        <v>104</v>
      </c>
      <c r="BL666" s="1" t="s">
        <v>104</v>
      </c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N667" s="1" t="s">
        <v>104</v>
      </c>
      <c r="AO667" s="1" t="s">
        <v>104</v>
      </c>
      <c r="AP667" s="1" t="s">
        <v>104</v>
      </c>
      <c r="AQ667" s="1" t="s">
        <v>104</v>
      </c>
      <c r="AR667" s="1" t="s">
        <v>104</v>
      </c>
      <c r="AS667" s="1" t="s">
        <v>104</v>
      </c>
      <c r="AU667" s="1" t="s">
        <v>104</v>
      </c>
      <c r="AV667" s="1" t="s">
        <v>104</v>
      </c>
      <c r="AX667" s="1" t="str">
        <f>IFERROR(__xludf.DUMMYFUNCTION("""COMPUTED_VALUE"""),"")</f>
        <v/>
      </c>
      <c r="AZ667" s="1" t="str">
        <f>IFERROR(__xludf.DUMMYFUNCTION("""COMPUTED_VALUE"""),"")</f>
        <v/>
      </c>
      <c r="BB667" s="1" t="s">
        <v>104</v>
      </c>
      <c r="BC667" s="1" t="s">
        <v>104</v>
      </c>
      <c r="BE667" s="1" t="s">
        <v>104</v>
      </c>
      <c r="BG667" s="1" t="s">
        <v>104</v>
      </c>
      <c r="BH667" s="1" t="s">
        <v>104</v>
      </c>
      <c r="BI667" s="1" t="s">
        <v>104</v>
      </c>
      <c r="BJ667" s="1" t="s">
        <v>104</v>
      </c>
      <c r="BK667" s="1" t="s">
        <v>104</v>
      </c>
      <c r="BL667" s="1" t="s">
        <v>104</v>
      </c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N668" s="1" t="s">
        <v>104</v>
      </c>
      <c r="AO668" s="1" t="s">
        <v>104</v>
      </c>
      <c r="AP668" s="1" t="s">
        <v>104</v>
      </c>
      <c r="AQ668" s="1" t="s">
        <v>104</v>
      </c>
      <c r="AR668" s="1" t="s">
        <v>104</v>
      </c>
      <c r="AS668" s="1" t="s">
        <v>104</v>
      </c>
      <c r="AU668" s="1" t="s">
        <v>104</v>
      </c>
      <c r="AV668" s="1" t="s">
        <v>104</v>
      </c>
      <c r="AX668" s="1" t="str">
        <f>IFERROR(__xludf.DUMMYFUNCTION("""COMPUTED_VALUE"""),"")</f>
        <v/>
      </c>
      <c r="AZ668" s="1" t="str">
        <f>IFERROR(__xludf.DUMMYFUNCTION("""COMPUTED_VALUE"""),"")</f>
        <v/>
      </c>
      <c r="BB668" s="1" t="s">
        <v>104</v>
      </c>
      <c r="BC668" s="1" t="s">
        <v>104</v>
      </c>
      <c r="BE668" s="1" t="s">
        <v>104</v>
      </c>
      <c r="BG668" s="1" t="s">
        <v>104</v>
      </c>
      <c r="BH668" s="1" t="s">
        <v>104</v>
      </c>
      <c r="BI668" s="1" t="s">
        <v>104</v>
      </c>
      <c r="BJ668" s="1" t="s">
        <v>104</v>
      </c>
      <c r="BK668" s="1" t="s">
        <v>104</v>
      </c>
      <c r="BL668" s="1" t="s">
        <v>104</v>
      </c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N669" s="1" t="s">
        <v>104</v>
      </c>
      <c r="AO669" s="1" t="s">
        <v>104</v>
      </c>
      <c r="AP669" s="1" t="s">
        <v>104</v>
      </c>
      <c r="AQ669" s="1" t="s">
        <v>104</v>
      </c>
      <c r="AR669" s="1" t="s">
        <v>104</v>
      </c>
      <c r="AS669" s="1" t="s">
        <v>104</v>
      </c>
      <c r="AU669" s="1" t="s">
        <v>104</v>
      </c>
      <c r="AV669" s="1" t="s">
        <v>104</v>
      </c>
      <c r="AX669" s="1" t="str">
        <f>IFERROR(__xludf.DUMMYFUNCTION("""COMPUTED_VALUE"""),"")</f>
        <v/>
      </c>
      <c r="AZ669" s="1" t="str">
        <f>IFERROR(__xludf.DUMMYFUNCTION("""COMPUTED_VALUE"""),"")</f>
        <v/>
      </c>
      <c r="BB669" s="1" t="s">
        <v>104</v>
      </c>
      <c r="BC669" s="1" t="s">
        <v>104</v>
      </c>
      <c r="BE669" s="1" t="s">
        <v>104</v>
      </c>
      <c r="BG669" s="1" t="s">
        <v>104</v>
      </c>
      <c r="BH669" s="1" t="s">
        <v>104</v>
      </c>
      <c r="BI669" s="1" t="s">
        <v>104</v>
      </c>
      <c r="BJ669" s="1" t="s">
        <v>104</v>
      </c>
      <c r="BK669" s="1" t="s">
        <v>104</v>
      </c>
      <c r="BL669" s="1" t="s">
        <v>104</v>
      </c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N670" s="1" t="s">
        <v>104</v>
      </c>
      <c r="AO670" s="1" t="s">
        <v>104</v>
      </c>
      <c r="AP670" s="1" t="s">
        <v>104</v>
      </c>
      <c r="AQ670" s="1" t="s">
        <v>104</v>
      </c>
      <c r="AR670" s="1" t="s">
        <v>104</v>
      </c>
      <c r="AS670" s="1" t="s">
        <v>104</v>
      </c>
      <c r="AU670" s="1" t="s">
        <v>104</v>
      </c>
      <c r="AV670" s="1" t="s">
        <v>104</v>
      </c>
      <c r="AX670" s="1" t="str">
        <f>IFERROR(__xludf.DUMMYFUNCTION("""COMPUTED_VALUE"""),"")</f>
        <v/>
      </c>
      <c r="AZ670" s="1" t="str">
        <f>IFERROR(__xludf.DUMMYFUNCTION("""COMPUTED_VALUE"""),"")</f>
        <v/>
      </c>
      <c r="BB670" s="1" t="s">
        <v>104</v>
      </c>
      <c r="BC670" s="1" t="s">
        <v>104</v>
      </c>
      <c r="BE670" s="1" t="s">
        <v>104</v>
      </c>
      <c r="BG670" s="1" t="s">
        <v>104</v>
      </c>
      <c r="BH670" s="1" t="s">
        <v>104</v>
      </c>
      <c r="BI670" s="1" t="s">
        <v>104</v>
      </c>
      <c r="BJ670" s="1" t="s">
        <v>104</v>
      </c>
      <c r="BK670" s="1" t="s">
        <v>104</v>
      </c>
      <c r="BL670" s="1" t="s">
        <v>104</v>
      </c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N671" s="1" t="s">
        <v>104</v>
      </c>
      <c r="AO671" s="1" t="s">
        <v>104</v>
      </c>
      <c r="AP671" s="1" t="s">
        <v>104</v>
      </c>
      <c r="AQ671" s="1" t="s">
        <v>104</v>
      </c>
      <c r="AR671" s="1" t="s">
        <v>104</v>
      </c>
      <c r="AS671" s="1" t="s">
        <v>104</v>
      </c>
      <c r="AU671" s="1" t="s">
        <v>104</v>
      </c>
      <c r="AV671" s="1" t="s">
        <v>104</v>
      </c>
      <c r="AX671" s="1" t="str">
        <f>IFERROR(__xludf.DUMMYFUNCTION("""COMPUTED_VALUE"""),"")</f>
        <v/>
      </c>
      <c r="AZ671" s="1" t="str">
        <f>IFERROR(__xludf.DUMMYFUNCTION("""COMPUTED_VALUE"""),"")</f>
        <v/>
      </c>
      <c r="BB671" s="1" t="s">
        <v>104</v>
      </c>
      <c r="BC671" s="1" t="s">
        <v>104</v>
      </c>
      <c r="BE671" s="1" t="s">
        <v>104</v>
      </c>
      <c r="BG671" s="1" t="s">
        <v>104</v>
      </c>
      <c r="BH671" s="1" t="s">
        <v>104</v>
      </c>
      <c r="BI671" s="1" t="s">
        <v>104</v>
      </c>
      <c r="BJ671" s="1" t="s">
        <v>104</v>
      </c>
      <c r="BK671" s="1" t="s">
        <v>104</v>
      </c>
      <c r="BL671" s="1" t="s">
        <v>104</v>
      </c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N672" s="1" t="s">
        <v>104</v>
      </c>
      <c r="AO672" s="1" t="s">
        <v>104</v>
      </c>
      <c r="AP672" s="1" t="s">
        <v>104</v>
      </c>
      <c r="AQ672" s="1" t="s">
        <v>104</v>
      </c>
      <c r="AR672" s="1" t="s">
        <v>104</v>
      </c>
      <c r="AS672" s="1" t="s">
        <v>104</v>
      </c>
      <c r="AU672" s="1" t="s">
        <v>104</v>
      </c>
      <c r="AV672" s="1" t="s">
        <v>104</v>
      </c>
      <c r="AX672" s="1" t="str">
        <f>IFERROR(__xludf.DUMMYFUNCTION("""COMPUTED_VALUE"""),"")</f>
        <v/>
      </c>
      <c r="AZ672" s="1" t="str">
        <f>IFERROR(__xludf.DUMMYFUNCTION("""COMPUTED_VALUE"""),"")</f>
        <v/>
      </c>
      <c r="BB672" s="1" t="s">
        <v>104</v>
      </c>
      <c r="BC672" s="1" t="s">
        <v>104</v>
      </c>
      <c r="BE672" s="1" t="s">
        <v>104</v>
      </c>
      <c r="BG672" s="1" t="s">
        <v>104</v>
      </c>
      <c r="BH672" s="1" t="s">
        <v>104</v>
      </c>
      <c r="BI672" s="1" t="s">
        <v>104</v>
      </c>
      <c r="BJ672" s="1" t="s">
        <v>104</v>
      </c>
      <c r="BK672" s="1" t="s">
        <v>104</v>
      </c>
      <c r="BL672" s="1" t="s">
        <v>104</v>
      </c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N673" s="1" t="s">
        <v>104</v>
      </c>
      <c r="AO673" s="1" t="s">
        <v>104</v>
      </c>
      <c r="AP673" s="1" t="s">
        <v>104</v>
      </c>
      <c r="AQ673" s="1" t="s">
        <v>104</v>
      </c>
      <c r="AR673" s="1" t="s">
        <v>104</v>
      </c>
      <c r="AS673" s="1" t="s">
        <v>104</v>
      </c>
      <c r="AU673" s="1" t="s">
        <v>104</v>
      </c>
      <c r="AV673" s="1" t="s">
        <v>104</v>
      </c>
      <c r="AX673" s="1" t="str">
        <f>IFERROR(__xludf.DUMMYFUNCTION("""COMPUTED_VALUE"""),"")</f>
        <v/>
      </c>
      <c r="AZ673" s="1" t="str">
        <f>IFERROR(__xludf.DUMMYFUNCTION("""COMPUTED_VALUE"""),"")</f>
        <v/>
      </c>
      <c r="BB673" s="1" t="s">
        <v>104</v>
      </c>
      <c r="BC673" s="1" t="s">
        <v>104</v>
      </c>
      <c r="BE673" s="1" t="s">
        <v>104</v>
      </c>
      <c r="BG673" s="1" t="s">
        <v>104</v>
      </c>
      <c r="BH673" s="1" t="s">
        <v>104</v>
      </c>
      <c r="BI673" s="1" t="s">
        <v>104</v>
      </c>
      <c r="BJ673" s="1" t="s">
        <v>104</v>
      </c>
      <c r="BK673" s="1" t="s">
        <v>104</v>
      </c>
      <c r="BL673" s="1" t="s">
        <v>104</v>
      </c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N674" s="1" t="s">
        <v>104</v>
      </c>
      <c r="AO674" s="1" t="s">
        <v>104</v>
      </c>
      <c r="AP674" s="1" t="s">
        <v>104</v>
      </c>
      <c r="AQ674" s="1" t="s">
        <v>104</v>
      </c>
      <c r="AR674" s="1" t="s">
        <v>104</v>
      </c>
      <c r="AS674" s="1" t="s">
        <v>104</v>
      </c>
      <c r="AU674" s="1" t="s">
        <v>104</v>
      </c>
      <c r="AV674" s="1" t="s">
        <v>104</v>
      </c>
      <c r="AX674" s="1" t="str">
        <f>IFERROR(__xludf.DUMMYFUNCTION("""COMPUTED_VALUE"""),"")</f>
        <v/>
      </c>
      <c r="AZ674" s="1" t="str">
        <f>IFERROR(__xludf.DUMMYFUNCTION("""COMPUTED_VALUE"""),"")</f>
        <v/>
      </c>
      <c r="BB674" s="1" t="s">
        <v>104</v>
      </c>
      <c r="BC674" s="1" t="s">
        <v>104</v>
      </c>
      <c r="BE674" s="1" t="s">
        <v>104</v>
      </c>
      <c r="BG674" s="1" t="s">
        <v>104</v>
      </c>
      <c r="BH674" s="1" t="s">
        <v>104</v>
      </c>
      <c r="BI674" s="1" t="s">
        <v>104</v>
      </c>
      <c r="BJ674" s="1" t="s">
        <v>104</v>
      </c>
      <c r="BK674" s="1" t="s">
        <v>104</v>
      </c>
      <c r="BL674" s="1" t="s">
        <v>104</v>
      </c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N675" s="1" t="s">
        <v>104</v>
      </c>
      <c r="AO675" s="1" t="s">
        <v>104</v>
      </c>
      <c r="AP675" s="1" t="s">
        <v>104</v>
      </c>
      <c r="AQ675" s="1" t="s">
        <v>104</v>
      </c>
      <c r="AR675" s="1" t="s">
        <v>104</v>
      </c>
      <c r="AS675" s="1" t="s">
        <v>104</v>
      </c>
      <c r="AU675" s="1" t="s">
        <v>104</v>
      </c>
      <c r="AV675" s="1" t="s">
        <v>104</v>
      </c>
      <c r="AX675" s="1" t="str">
        <f>IFERROR(__xludf.DUMMYFUNCTION("""COMPUTED_VALUE"""),"")</f>
        <v/>
      </c>
      <c r="AZ675" s="1" t="str">
        <f>IFERROR(__xludf.DUMMYFUNCTION("""COMPUTED_VALUE"""),"")</f>
        <v/>
      </c>
      <c r="BB675" s="1" t="s">
        <v>104</v>
      </c>
      <c r="BC675" s="1" t="s">
        <v>104</v>
      </c>
      <c r="BE675" s="1" t="s">
        <v>104</v>
      </c>
      <c r="BG675" s="1" t="s">
        <v>104</v>
      </c>
      <c r="BH675" s="1" t="s">
        <v>104</v>
      </c>
      <c r="BI675" s="1" t="s">
        <v>104</v>
      </c>
      <c r="BJ675" s="1" t="s">
        <v>104</v>
      </c>
      <c r="BK675" s="1" t="s">
        <v>104</v>
      </c>
      <c r="BL675" s="1" t="s">
        <v>104</v>
      </c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N676" s="1" t="s">
        <v>104</v>
      </c>
      <c r="AO676" s="1" t="s">
        <v>104</v>
      </c>
      <c r="AP676" s="1" t="s">
        <v>104</v>
      </c>
      <c r="AQ676" s="1" t="s">
        <v>104</v>
      </c>
      <c r="AR676" s="1" t="s">
        <v>104</v>
      </c>
      <c r="AS676" s="1" t="s">
        <v>104</v>
      </c>
      <c r="AU676" s="1" t="s">
        <v>104</v>
      </c>
      <c r="AV676" s="1" t="s">
        <v>104</v>
      </c>
      <c r="AX676" s="1" t="str">
        <f>IFERROR(__xludf.DUMMYFUNCTION("""COMPUTED_VALUE"""),"")</f>
        <v/>
      </c>
      <c r="AZ676" s="1" t="str">
        <f>IFERROR(__xludf.DUMMYFUNCTION("""COMPUTED_VALUE"""),"")</f>
        <v/>
      </c>
      <c r="BB676" s="1" t="s">
        <v>104</v>
      </c>
      <c r="BC676" s="1" t="s">
        <v>104</v>
      </c>
      <c r="BE676" s="1" t="s">
        <v>104</v>
      </c>
      <c r="BG676" s="1" t="s">
        <v>104</v>
      </c>
      <c r="BH676" s="1" t="s">
        <v>104</v>
      </c>
      <c r="BI676" s="1" t="s">
        <v>104</v>
      </c>
      <c r="BJ676" s="1" t="s">
        <v>104</v>
      </c>
      <c r="BK676" s="1" t="s">
        <v>104</v>
      </c>
      <c r="BL676" s="1" t="s">
        <v>104</v>
      </c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N677" s="1" t="s">
        <v>104</v>
      </c>
      <c r="AO677" s="1" t="s">
        <v>104</v>
      </c>
      <c r="AP677" s="1" t="s">
        <v>104</v>
      </c>
      <c r="AQ677" s="1" t="s">
        <v>104</v>
      </c>
      <c r="AR677" s="1" t="s">
        <v>104</v>
      </c>
      <c r="AS677" s="1" t="s">
        <v>104</v>
      </c>
      <c r="AU677" s="1" t="s">
        <v>104</v>
      </c>
      <c r="AV677" s="1" t="s">
        <v>104</v>
      </c>
      <c r="AX677" s="1" t="str">
        <f>IFERROR(__xludf.DUMMYFUNCTION("""COMPUTED_VALUE"""),"")</f>
        <v/>
      </c>
      <c r="AZ677" s="1" t="str">
        <f>IFERROR(__xludf.DUMMYFUNCTION("""COMPUTED_VALUE"""),"")</f>
        <v/>
      </c>
      <c r="BB677" s="1" t="s">
        <v>104</v>
      </c>
      <c r="BC677" s="1" t="s">
        <v>104</v>
      </c>
      <c r="BE677" s="1" t="s">
        <v>104</v>
      </c>
      <c r="BG677" s="1" t="s">
        <v>104</v>
      </c>
      <c r="BH677" s="1" t="s">
        <v>104</v>
      </c>
      <c r="BI677" s="1" t="s">
        <v>104</v>
      </c>
      <c r="BJ677" s="1" t="s">
        <v>104</v>
      </c>
      <c r="BK677" s="1" t="s">
        <v>104</v>
      </c>
      <c r="BL677" s="1" t="s">
        <v>104</v>
      </c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N678" s="1" t="s">
        <v>104</v>
      </c>
      <c r="AO678" s="1" t="s">
        <v>104</v>
      </c>
      <c r="AP678" s="1" t="s">
        <v>104</v>
      </c>
      <c r="AQ678" s="1" t="s">
        <v>104</v>
      </c>
      <c r="AR678" s="1" t="s">
        <v>104</v>
      </c>
      <c r="AS678" s="1" t="s">
        <v>104</v>
      </c>
      <c r="AU678" s="1" t="s">
        <v>104</v>
      </c>
      <c r="AV678" s="1" t="s">
        <v>104</v>
      </c>
      <c r="AX678" s="1" t="str">
        <f>IFERROR(__xludf.DUMMYFUNCTION("""COMPUTED_VALUE"""),"")</f>
        <v/>
      </c>
      <c r="AZ678" s="1" t="str">
        <f>IFERROR(__xludf.DUMMYFUNCTION("""COMPUTED_VALUE"""),"")</f>
        <v/>
      </c>
      <c r="BB678" s="1" t="s">
        <v>104</v>
      </c>
      <c r="BC678" s="1" t="s">
        <v>104</v>
      </c>
      <c r="BE678" s="1" t="s">
        <v>104</v>
      </c>
      <c r="BG678" s="1" t="s">
        <v>104</v>
      </c>
      <c r="BH678" s="1" t="s">
        <v>104</v>
      </c>
      <c r="BI678" s="1" t="s">
        <v>104</v>
      </c>
      <c r="BJ678" s="1" t="s">
        <v>104</v>
      </c>
      <c r="BK678" s="1" t="s">
        <v>104</v>
      </c>
      <c r="BL678" s="1" t="s">
        <v>104</v>
      </c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N679" s="1" t="s">
        <v>104</v>
      </c>
      <c r="AO679" s="1" t="s">
        <v>104</v>
      </c>
      <c r="AP679" s="1" t="s">
        <v>104</v>
      </c>
      <c r="AQ679" s="1" t="s">
        <v>104</v>
      </c>
      <c r="AR679" s="1" t="s">
        <v>104</v>
      </c>
      <c r="AS679" s="1" t="s">
        <v>104</v>
      </c>
      <c r="AU679" s="1" t="s">
        <v>104</v>
      </c>
      <c r="AV679" s="1" t="s">
        <v>104</v>
      </c>
      <c r="AX679" s="1" t="str">
        <f>IFERROR(__xludf.DUMMYFUNCTION("""COMPUTED_VALUE"""),"")</f>
        <v/>
      </c>
      <c r="AZ679" s="1" t="str">
        <f>IFERROR(__xludf.DUMMYFUNCTION("""COMPUTED_VALUE"""),"")</f>
        <v/>
      </c>
      <c r="BB679" s="1" t="s">
        <v>104</v>
      </c>
      <c r="BC679" s="1" t="s">
        <v>104</v>
      </c>
      <c r="BE679" s="1" t="s">
        <v>104</v>
      </c>
      <c r="BG679" s="1" t="s">
        <v>104</v>
      </c>
      <c r="BH679" s="1" t="s">
        <v>104</v>
      </c>
      <c r="BI679" s="1" t="s">
        <v>104</v>
      </c>
      <c r="BJ679" s="1" t="s">
        <v>104</v>
      </c>
      <c r="BK679" s="1" t="s">
        <v>104</v>
      </c>
      <c r="BL679" s="1" t="s">
        <v>104</v>
      </c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N680" s="1" t="s">
        <v>104</v>
      </c>
      <c r="AO680" s="1" t="s">
        <v>104</v>
      </c>
      <c r="AP680" s="1" t="s">
        <v>104</v>
      </c>
      <c r="AQ680" s="1" t="s">
        <v>104</v>
      </c>
      <c r="AR680" s="1" t="s">
        <v>104</v>
      </c>
      <c r="AS680" s="1" t="s">
        <v>104</v>
      </c>
      <c r="AU680" s="1" t="s">
        <v>104</v>
      </c>
      <c r="AV680" s="1" t="s">
        <v>104</v>
      </c>
      <c r="AX680" s="1" t="str">
        <f>IFERROR(__xludf.DUMMYFUNCTION("""COMPUTED_VALUE"""),"")</f>
        <v/>
      </c>
      <c r="AZ680" s="1" t="str">
        <f>IFERROR(__xludf.DUMMYFUNCTION("""COMPUTED_VALUE"""),"")</f>
        <v/>
      </c>
      <c r="BB680" s="1" t="s">
        <v>104</v>
      </c>
      <c r="BC680" s="1" t="s">
        <v>104</v>
      </c>
      <c r="BE680" s="1" t="s">
        <v>104</v>
      </c>
      <c r="BG680" s="1" t="s">
        <v>104</v>
      </c>
      <c r="BH680" s="1" t="s">
        <v>104</v>
      </c>
      <c r="BI680" s="1" t="s">
        <v>104</v>
      </c>
      <c r="BJ680" s="1" t="s">
        <v>104</v>
      </c>
      <c r="BK680" s="1" t="s">
        <v>104</v>
      </c>
      <c r="BL680" s="1" t="s">
        <v>104</v>
      </c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N681" s="1" t="s">
        <v>104</v>
      </c>
      <c r="AO681" s="1" t="s">
        <v>104</v>
      </c>
      <c r="AP681" s="1" t="s">
        <v>104</v>
      </c>
      <c r="AQ681" s="1" t="s">
        <v>104</v>
      </c>
      <c r="AR681" s="1" t="s">
        <v>104</v>
      </c>
      <c r="AS681" s="1" t="s">
        <v>104</v>
      </c>
      <c r="AU681" s="1" t="s">
        <v>104</v>
      </c>
      <c r="AV681" s="1" t="s">
        <v>104</v>
      </c>
      <c r="AX681" s="1" t="str">
        <f>IFERROR(__xludf.DUMMYFUNCTION("""COMPUTED_VALUE"""),"")</f>
        <v/>
      </c>
      <c r="AZ681" s="1" t="str">
        <f>IFERROR(__xludf.DUMMYFUNCTION("""COMPUTED_VALUE"""),"")</f>
        <v/>
      </c>
      <c r="BB681" s="1" t="s">
        <v>104</v>
      </c>
      <c r="BC681" s="1" t="s">
        <v>104</v>
      </c>
      <c r="BE681" s="1" t="s">
        <v>104</v>
      </c>
      <c r="BG681" s="1" t="s">
        <v>104</v>
      </c>
      <c r="BH681" s="1" t="s">
        <v>104</v>
      </c>
      <c r="BI681" s="1" t="s">
        <v>104</v>
      </c>
      <c r="BJ681" s="1" t="s">
        <v>104</v>
      </c>
      <c r="BK681" s="1" t="s">
        <v>104</v>
      </c>
      <c r="BL681" s="1" t="s">
        <v>104</v>
      </c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N682" s="1" t="s">
        <v>104</v>
      </c>
      <c r="AO682" s="1" t="s">
        <v>104</v>
      </c>
      <c r="AP682" s="1" t="s">
        <v>104</v>
      </c>
      <c r="AQ682" s="1" t="s">
        <v>104</v>
      </c>
      <c r="AR682" s="1" t="s">
        <v>104</v>
      </c>
      <c r="AS682" s="1" t="s">
        <v>104</v>
      </c>
      <c r="AU682" s="1" t="s">
        <v>104</v>
      </c>
      <c r="AV682" s="1" t="s">
        <v>104</v>
      </c>
      <c r="AX682" s="1" t="str">
        <f>IFERROR(__xludf.DUMMYFUNCTION("""COMPUTED_VALUE"""),"")</f>
        <v/>
      </c>
      <c r="AZ682" s="1" t="str">
        <f>IFERROR(__xludf.DUMMYFUNCTION("""COMPUTED_VALUE"""),"")</f>
        <v/>
      </c>
      <c r="BB682" s="1" t="s">
        <v>104</v>
      </c>
      <c r="BC682" s="1" t="s">
        <v>104</v>
      </c>
      <c r="BE682" s="1" t="s">
        <v>104</v>
      </c>
      <c r="BG682" s="1" t="s">
        <v>104</v>
      </c>
      <c r="BH682" s="1" t="s">
        <v>104</v>
      </c>
      <c r="BI682" s="1" t="s">
        <v>104</v>
      </c>
      <c r="BJ682" s="1" t="s">
        <v>104</v>
      </c>
      <c r="BK682" s="1" t="s">
        <v>104</v>
      </c>
      <c r="BL682" s="1" t="s">
        <v>104</v>
      </c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N683" s="1" t="s">
        <v>104</v>
      </c>
      <c r="AO683" s="1" t="s">
        <v>104</v>
      </c>
      <c r="AP683" s="1" t="s">
        <v>104</v>
      </c>
      <c r="AQ683" s="1" t="s">
        <v>104</v>
      </c>
      <c r="AR683" s="1" t="s">
        <v>104</v>
      </c>
      <c r="AS683" s="1" t="s">
        <v>104</v>
      </c>
      <c r="AU683" s="1" t="s">
        <v>104</v>
      </c>
      <c r="AV683" s="1" t="s">
        <v>104</v>
      </c>
      <c r="AX683" s="1" t="str">
        <f>IFERROR(__xludf.DUMMYFUNCTION("""COMPUTED_VALUE"""),"")</f>
        <v/>
      </c>
      <c r="AZ683" s="1" t="str">
        <f>IFERROR(__xludf.DUMMYFUNCTION("""COMPUTED_VALUE"""),"")</f>
        <v/>
      </c>
      <c r="BB683" s="1" t="s">
        <v>104</v>
      </c>
      <c r="BC683" s="1" t="s">
        <v>104</v>
      </c>
      <c r="BE683" s="1" t="s">
        <v>104</v>
      </c>
      <c r="BG683" s="1" t="s">
        <v>104</v>
      </c>
      <c r="BH683" s="1" t="s">
        <v>104</v>
      </c>
      <c r="BI683" s="1" t="s">
        <v>104</v>
      </c>
      <c r="BJ683" s="1" t="s">
        <v>104</v>
      </c>
      <c r="BK683" s="1" t="s">
        <v>104</v>
      </c>
      <c r="BL683" s="1" t="s">
        <v>104</v>
      </c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N684" s="1" t="s">
        <v>104</v>
      </c>
      <c r="AO684" s="1" t="s">
        <v>104</v>
      </c>
      <c r="AP684" s="1" t="s">
        <v>104</v>
      </c>
      <c r="AQ684" s="1" t="s">
        <v>104</v>
      </c>
      <c r="AR684" s="1" t="s">
        <v>104</v>
      </c>
      <c r="AS684" s="1" t="s">
        <v>104</v>
      </c>
      <c r="AU684" s="1" t="s">
        <v>104</v>
      </c>
      <c r="AV684" s="1" t="s">
        <v>104</v>
      </c>
      <c r="AX684" s="1" t="str">
        <f>IFERROR(__xludf.DUMMYFUNCTION("""COMPUTED_VALUE"""),"")</f>
        <v/>
      </c>
      <c r="AZ684" s="1" t="str">
        <f>IFERROR(__xludf.DUMMYFUNCTION("""COMPUTED_VALUE"""),"")</f>
        <v/>
      </c>
      <c r="BB684" s="1" t="s">
        <v>104</v>
      </c>
      <c r="BC684" s="1" t="s">
        <v>104</v>
      </c>
      <c r="BE684" s="1" t="s">
        <v>104</v>
      </c>
      <c r="BG684" s="1" t="s">
        <v>104</v>
      </c>
      <c r="BH684" s="1" t="s">
        <v>104</v>
      </c>
      <c r="BI684" s="1" t="s">
        <v>104</v>
      </c>
      <c r="BJ684" s="1" t="s">
        <v>104</v>
      </c>
      <c r="BK684" s="1" t="s">
        <v>104</v>
      </c>
      <c r="BL684" s="1" t="s">
        <v>104</v>
      </c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N685" s="1" t="s">
        <v>104</v>
      </c>
      <c r="AO685" s="1" t="s">
        <v>104</v>
      </c>
      <c r="AP685" s="1" t="s">
        <v>104</v>
      </c>
      <c r="AQ685" s="1" t="s">
        <v>104</v>
      </c>
      <c r="AR685" s="1" t="s">
        <v>104</v>
      </c>
      <c r="AS685" s="1" t="s">
        <v>104</v>
      </c>
      <c r="AU685" s="1" t="s">
        <v>104</v>
      </c>
      <c r="AV685" s="1" t="s">
        <v>104</v>
      </c>
      <c r="AX685" s="1" t="str">
        <f>IFERROR(__xludf.DUMMYFUNCTION("""COMPUTED_VALUE"""),"")</f>
        <v/>
      </c>
      <c r="AZ685" s="1" t="str">
        <f>IFERROR(__xludf.DUMMYFUNCTION("""COMPUTED_VALUE"""),"")</f>
        <v/>
      </c>
      <c r="BB685" s="1" t="s">
        <v>104</v>
      </c>
      <c r="BC685" s="1" t="s">
        <v>104</v>
      </c>
      <c r="BE685" s="1" t="s">
        <v>104</v>
      </c>
      <c r="BG685" s="1" t="s">
        <v>104</v>
      </c>
      <c r="BH685" s="1" t="s">
        <v>104</v>
      </c>
      <c r="BI685" s="1" t="s">
        <v>104</v>
      </c>
      <c r="BJ685" s="1" t="s">
        <v>104</v>
      </c>
      <c r="BK685" s="1" t="s">
        <v>104</v>
      </c>
      <c r="BL685" s="1" t="s">
        <v>104</v>
      </c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N686" s="1" t="s">
        <v>104</v>
      </c>
      <c r="AO686" s="1" t="s">
        <v>104</v>
      </c>
      <c r="AP686" s="1" t="s">
        <v>104</v>
      </c>
      <c r="AQ686" s="1" t="s">
        <v>104</v>
      </c>
      <c r="AR686" s="1" t="s">
        <v>104</v>
      </c>
      <c r="AS686" s="1" t="s">
        <v>104</v>
      </c>
      <c r="AU686" s="1" t="s">
        <v>104</v>
      </c>
      <c r="AV686" s="1" t="s">
        <v>104</v>
      </c>
      <c r="AX686" s="1" t="str">
        <f>IFERROR(__xludf.DUMMYFUNCTION("""COMPUTED_VALUE"""),"")</f>
        <v/>
      </c>
      <c r="AZ686" s="1" t="str">
        <f>IFERROR(__xludf.DUMMYFUNCTION("""COMPUTED_VALUE"""),"")</f>
        <v/>
      </c>
      <c r="BB686" s="1" t="s">
        <v>104</v>
      </c>
      <c r="BC686" s="1" t="s">
        <v>104</v>
      </c>
      <c r="BE686" s="1" t="s">
        <v>104</v>
      </c>
      <c r="BG686" s="1" t="s">
        <v>104</v>
      </c>
      <c r="BH686" s="1" t="s">
        <v>104</v>
      </c>
      <c r="BI686" s="1" t="s">
        <v>104</v>
      </c>
      <c r="BJ686" s="1" t="s">
        <v>104</v>
      </c>
      <c r="BK686" s="1" t="s">
        <v>104</v>
      </c>
      <c r="BL686" s="1" t="s">
        <v>104</v>
      </c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N687" s="1" t="s">
        <v>104</v>
      </c>
      <c r="AO687" s="1" t="s">
        <v>104</v>
      </c>
      <c r="AP687" s="1" t="s">
        <v>104</v>
      </c>
      <c r="AQ687" s="1" t="s">
        <v>104</v>
      </c>
      <c r="AR687" s="1" t="s">
        <v>104</v>
      </c>
      <c r="AS687" s="1" t="s">
        <v>104</v>
      </c>
      <c r="AU687" s="1" t="s">
        <v>104</v>
      </c>
      <c r="AV687" s="1" t="s">
        <v>104</v>
      </c>
      <c r="AX687" s="1" t="str">
        <f>IFERROR(__xludf.DUMMYFUNCTION("""COMPUTED_VALUE"""),"")</f>
        <v/>
      </c>
      <c r="AZ687" s="1" t="str">
        <f>IFERROR(__xludf.DUMMYFUNCTION("""COMPUTED_VALUE"""),"")</f>
        <v/>
      </c>
      <c r="BB687" s="1" t="s">
        <v>104</v>
      </c>
      <c r="BC687" s="1" t="s">
        <v>104</v>
      </c>
      <c r="BE687" s="1" t="s">
        <v>104</v>
      </c>
      <c r="BG687" s="1" t="s">
        <v>104</v>
      </c>
      <c r="BH687" s="1" t="s">
        <v>104</v>
      </c>
      <c r="BI687" s="1" t="s">
        <v>104</v>
      </c>
      <c r="BJ687" s="1" t="s">
        <v>104</v>
      </c>
      <c r="BK687" s="1" t="s">
        <v>104</v>
      </c>
      <c r="BL687" s="1" t="s">
        <v>104</v>
      </c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N688" s="1" t="s">
        <v>104</v>
      </c>
      <c r="AO688" s="1" t="s">
        <v>104</v>
      </c>
      <c r="AP688" s="1" t="s">
        <v>104</v>
      </c>
      <c r="AQ688" s="1" t="s">
        <v>104</v>
      </c>
      <c r="AR688" s="1" t="s">
        <v>104</v>
      </c>
      <c r="AS688" s="1" t="s">
        <v>104</v>
      </c>
      <c r="AU688" s="1" t="s">
        <v>104</v>
      </c>
      <c r="AV688" s="1" t="s">
        <v>104</v>
      </c>
      <c r="AX688" s="1" t="str">
        <f>IFERROR(__xludf.DUMMYFUNCTION("""COMPUTED_VALUE"""),"")</f>
        <v/>
      </c>
      <c r="AZ688" s="1" t="str">
        <f>IFERROR(__xludf.DUMMYFUNCTION("""COMPUTED_VALUE"""),"")</f>
        <v/>
      </c>
      <c r="BB688" s="1" t="s">
        <v>104</v>
      </c>
      <c r="BC688" s="1" t="s">
        <v>104</v>
      </c>
      <c r="BE688" s="1" t="s">
        <v>104</v>
      </c>
      <c r="BG688" s="1" t="s">
        <v>104</v>
      </c>
      <c r="BH688" s="1" t="s">
        <v>104</v>
      </c>
      <c r="BI688" s="1" t="s">
        <v>104</v>
      </c>
      <c r="BJ688" s="1" t="s">
        <v>104</v>
      </c>
      <c r="BK688" s="1" t="s">
        <v>104</v>
      </c>
      <c r="BL688" s="1" t="s">
        <v>104</v>
      </c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N689" s="1" t="s">
        <v>104</v>
      </c>
      <c r="AO689" s="1" t="s">
        <v>104</v>
      </c>
      <c r="AP689" s="1" t="s">
        <v>104</v>
      </c>
      <c r="AQ689" s="1" t="s">
        <v>104</v>
      </c>
      <c r="AR689" s="1" t="s">
        <v>104</v>
      </c>
      <c r="AS689" s="1" t="s">
        <v>104</v>
      </c>
      <c r="AU689" s="1" t="s">
        <v>104</v>
      </c>
      <c r="AV689" s="1" t="s">
        <v>104</v>
      </c>
      <c r="AX689" s="1" t="str">
        <f>IFERROR(__xludf.DUMMYFUNCTION("""COMPUTED_VALUE"""),"")</f>
        <v/>
      </c>
      <c r="AZ689" s="1" t="str">
        <f>IFERROR(__xludf.DUMMYFUNCTION("""COMPUTED_VALUE"""),"")</f>
        <v/>
      </c>
      <c r="BB689" s="1" t="s">
        <v>104</v>
      </c>
      <c r="BC689" s="1" t="s">
        <v>104</v>
      </c>
      <c r="BE689" s="1" t="s">
        <v>104</v>
      </c>
      <c r="BG689" s="1" t="s">
        <v>104</v>
      </c>
      <c r="BH689" s="1" t="s">
        <v>104</v>
      </c>
      <c r="BI689" s="1" t="s">
        <v>104</v>
      </c>
      <c r="BJ689" s="1" t="s">
        <v>104</v>
      </c>
      <c r="BK689" s="1" t="s">
        <v>104</v>
      </c>
      <c r="BL689" s="1" t="s">
        <v>104</v>
      </c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N690" s="1" t="s">
        <v>104</v>
      </c>
      <c r="AO690" s="1" t="s">
        <v>104</v>
      </c>
      <c r="AP690" s="1" t="s">
        <v>104</v>
      </c>
      <c r="AQ690" s="1" t="s">
        <v>104</v>
      </c>
      <c r="AR690" s="1" t="s">
        <v>104</v>
      </c>
      <c r="AS690" s="1" t="s">
        <v>104</v>
      </c>
      <c r="AU690" s="1" t="s">
        <v>104</v>
      </c>
      <c r="AV690" s="1" t="s">
        <v>104</v>
      </c>
      <c r="AX690" s="1" t="str">
        <f>IFERROR(__xludf.DUMMYFUNCTION("""COMPUTED_VALUE"""),"")</f>
        <v/>
      </c>
      <c r="AZ690" s="1" t="str">
        <f>IFERROR(__xludf.DUMMYFUNCTION("""COMPUTED_VALUE"""),"")</f>
        <v/>
      </c>
      <c r="BB690" s="1" t="s">
        <v>104</v>
      </c>
      <c r="BC690" s="1" t="s">
        <v>104</v>
      </c>
      <c r="BE690" s="1" t="s">
        <v>104</v>
      </c>
      <c r="BG690" s="1" t="s">
        <v>104</v>
      </c>
      <c r="BH690" s="1" t="s">
        <v>104</v>
      </c>
      <c r="BI690" s="1" t="s">
        <v>104</v>
      </c>
      <c r="BJ690" s="1" t="s">
        <v>104</v>
      </c>
      <c r="BK690" s="1" t="s">
        <v>104</v>
      </c>
      <c r="BL690" s="1" t="s">
        <v>104</v>
      </c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N691" s="1" t="s">
        <v>104</v>
      </c>
      <c r="AO691" s="1" t="s">
        <v>104</v>
      </c>
      <c r="AP691" s="1" t="s">
        <v>104</v>
      </c>
      <c r="AQ691" s="1" t="s">
        <v>104</v>
      </c>
      <c r="AR691" s="1" t="s">
        <v>104</v>
      </c>
      <c r="AS691" s="1" t="s">
        <v>104</v>
      </c>
      <c r="AU691" s="1" t="s">
        <v>104</v>
      </c>
      <c r="AV691" s="1" t="s">
        <v>104</v>
      </c>
      <c r="AX691" s="1" t="str">
        <f>IFERROR(__xludf.DUMMYFUNCTION("""COMPUTED_VALUE"""),"")</f>
        <v/>
      </c>
      <c r="AZ691" s="1" t="str">
        <f>IFERROR(__xludf.DUMMYFUNCTION("""COMPUTED_VALUE"""),"")</f>
        <v/>
      </c>
      <c r="BB691" s="1" t="s">
        <v>104</v>
      </c>
      <c r="BC691" s="1" t="s">
        <v>104</v>
      </c>
      <c r="BE691" s="1" t="s">
        <v>104</v>
      </c>
      <c r="BG691" s="1" t="s">
        <v>104</v>
      </c>
      <c r="BH691" s="1" t="s">
        <v>104</v>
      </c>
      <c r="BI691" s="1" t="s">
        <v>104</v>
      </c>
      <c r="BJ691" s="1" t="s">
        <v>104</v>
      </c>
      <c r="BK691" s="1" t="s">
        <v>104</v>
      </c>
      <c r="BL691" s="1" t="s">
        <v>104</v>
      </c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N692" s="1" t="s">
        <v>104</v>
      </c>
      <c r="AO692" s="1" t="s">
        <v>104</v>
      </c>
      <c r="AP692" s="1" t="s">
        <v>104</v>
      </c>
      <c r="AQ692" s="1" t="s">
        <v>104</v>
      </c>
      <c r="AR692" s="1" t="s">
        <v>104</v>
      </c>
      <c r="AS692" s="1" t="s">
        <v>104</v>
      </c>
      <c r="AU692" s="1" t="s">
        <v>104</v>
      </c>
      <c r="AV692" s="1" t="s">
        <v>104</v>
      </c>
      <c r="AX692" s="1" t="str">
        <f>IFERROR(__xludf.DUMMYFUNCTION("""COMPUTED_VALUE"""),"")</f>
        <v/>
      </c>
      <c r="AZ692" s="1" t="str">
        <f>IFERROR(__xludf.DUMMYFUNCTION("""COMPUTED_VALUE"""),"")</f>
        <v/>
      </c>
      <c r="BB692" s="1" t="s">
        <v>104</v>
      </c>
      <c r="BC692" s="1" t="s">
        <v>104</v>
      </c>
      <c r="BE692" s="1" t="s">
        <v>104</v>
      </c>
      <c r="BG692" s="1" t="s">
        <v>104</v>
      </c>
      <c r="BH692" s="1" t="s">
        <v>104</v>
      </c>
      <c r="BI692" s="1" t="s">
        <v>104</v>
      </c>
      <c r="BJ692" s="1" t="s">
        <v>104</v>
      </c>
      <c r="BK692" s="1" t="s">
        <v>104</v>
      </c>
      <c r="BL692" s="1" t="s">
        <v>104</v>
      </c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N693" s="1" t="s">
        <v>104</v>
      </c>
      <c r="AO693" s="1" t="s">
        <v>104</v>
      </c>
      <c r="AP693" s="1" t="s">
        <v>104</v>
      </c>
      <c r="AQ693" s="1" t="s">
        <v>104</v>
      </c>
      <c r="AR693" s="1" t="s">
        <v>104</v>
      </c>
      <c r="AS693" s="1" t="s">
        <v>104</v>
      </c>
      <c r="AU693" s="1" t="s">
        <v>104</v>
      </c>
      <c r="AV693" s="1" t="s">
        <v>104</v>
      </c>
      <c r="AX693" s="1" t="str">
        <f>IFERROR(__xludf.DUMMYFUNCTION("""COMPUTED_VALUE"""),"")</f>
        <v/>
      </c>
      <c r="AZ693" s="1" t="str">
        <f>IFERROR(__xludf.DUMMYFUNCTION("""COMPUTED_VALUE"""),"")</f>
        <v/>
      </c>
      <c r="BB693" s="1" t="s">
        <v>104</v>
      </c>
      <c r="BC693" s="1" t="s">
        <v>104</v>
      </c>
      <c r="BE693" s="1" t="s">
        <v>104</v>
      </c>
      <c r="BG693" s="1" t="s">
        <v>104</v>
      </c>
      <c r="BH693" s="1" t="s">
        <v>104</v>
      </c>
      <c r="BI693" s="1" t="s">
        <v>104</v>
      </c>
      <c r="BJ693" s="1" t="s">
        <v>104</v>
      </c>
      <c r="BK693" s="1" t="s">
        <v>104</v>
      </c>
      <c r="BL693" s="1" t="s">
        <v>104</v>
      </c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N694" s="1" t="s">
        <v>104</v>
      </c>
      <c r="AO694" s="1" t="s">
        <v>104</v>
      </c>
      <c r="AP694" s="1" t="s">
        <v>104</v>
      </c>
      <c r="AQ694" s="1" t="s">
        <v>104</v>
      </c>
      <c r="AR694" s="1" t="s">
        <v>104</v>
      </c>
      <c r="AS694" s="1" t="s">
        <v>104</v>
      </c>
      <c r="AU694" s="1" t="s">
        <v>104</v>
      </c>
      <c r="AV694" s="1" t="s">
        <v>104</v>
      </c>
      <c r="AX694" s="1" t="str">
        <f>IFERROR(__xludf.DUMMYFUNCTION("""COMPUTED_VALUE"""),"")</f>
        <v/>
      </c>
      <c r="AZ694" s="1" t="str">
        <f>IFERROR(__xludf.DUMMYFUNCTION("""COMPUTED_VALUE"""),"")</f>
        <v/>
      </c>
      <c r="BB694" s="1" t="s">
        <v>104</v>
      </c>
      <c r="BC694" s="1" t="s">
        <v>104</v>
      </c>
      <c r="BE694" s="1" t="s">
        <v>104</v>
      </c>
      <c r="BG694" s="1" t="s">
        <v>104</v>
      </c>
      <c r="BH694" s="1" t="s">
        <v>104</v>
      </c>
      <c r="BI694" s="1" t="s">
        <v>104</v>
      </c>
      <c r="BJ694" s="1" t="s">
        <v>104</v>
      </c>
      <c r="BK694" s="1" t="s">
        <v>104</v>
      </c>
      <c r="BL694" s="1" t="s">
        <v>104</v>
      </c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N695" s="1" t="s">
        <v>104</v>
      </c>
      <c r="AO695" s="1" t="s">
        <v>104</v>
      </c>
      <c r="AP695" s="1" t="s">
        <v>104</v>
      </c>
      <c r="AQ695" s="1" t="s">
        <v>104</v>
      </c>
      <c r="AR695" s="1" t="s">
        <v>104</v>
      </c>
      <c r="AS695" s="1" t="s">
        <v>104</v>
      </c>
      <c r="AU695" s="1" t="s">
        <v>104</v>
      </c>
      <c r="AV695" s="1" t="s">
        <v>104</v>
      </c>
      <c r="AX695" s="1" t="str">
        <f>IFERROR(__xludf.DUMMYFUNCTION("""COMPUTED_VALUE"""),"")</f>
        <v/>
      </c>
      <c r="AZ695" s="1" t="str">
        <f>IFERROR(__xludf.DUMMYFUNCTION("""COMPUTED_VALUE"""),"")</f>
        <v/>
      </c>
      <c r="BB695" s="1" t="s">
        <v>104</v>
      </c>
      <c r="BC695" s="1" t="s">
        <v>104</v>
      </c>
      <c r="BE695" s="1" t="s">
        <v>104</v>
      </c>
      <c r="BG695" s="1" t="s">
        <v>104</v>
      </c>
      <c r="BH695" s="1" t="s">
        <v>104</v>
      </c>
      <c r="BI695" s="1" t="s">
        <v>104</v>
      </c>
      <c r="BJ695" s="1" t="s">
        <v>104</v>
      </c>
      <c r="BK695" s="1" t="s">
        <v>104</v>
      </c>
      <c r="BL695" s="1" t="s">
        <v>104</v>
      </c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N696" s="1" t="s">
        <v>104</v>
      </c>
      <c r="AO696" s="1" t="s">
        <v>104</v>
      </c>
      <c r="AP696" s="1" t="s">
        <v>104</v>
      </c>
      <c r="AQ696" s="1" t="s">
        <v>104</v>
      </c>
      <c r="AR696" s="1" t="s">
        <v>104</v>
      </c>
      <c r="AS696" s="1" t="s">
        <v>104</v>
      </c>
      <c r="AU696" s="1" t="s">
        <v>104</v>
      </c>
      <c r="AV696" s="1" t="s">
        <v>104</v>
      </c>
      <c r="AX696" s="1" t="str">
        <f>IFERROR(__xludf.DUMMYFUNCTION("""COMPUTED_VALUE"""),"")</f>
        <v/>
      </c>
      <c r="AZ696" s="1" t="str">
        <f>IFERROR(__xludf.DUMMYFUNCTION("""COMPUTED_VALUE"""),"")</f>
        <v/>
      </c>
      <c r="BB696" s="1" t="s">
        <v>104</v>
      </c>
      <c r="BC696" s="1" t="s">
        <v>104</v>
      </c>
      <c r="BE696" s="1" t="s">
        <v>104</v>
      </c>
      <c r="BG696" s="1" t="s">
        <v>104</v>
      </c>
      <c r="BH696" s="1" t="s">
        <v>104</v>
      </c>
      <c r="BI696" s="1" t="s">
        <v>104</v>
      </c>
      <c r="BJ696" s="1" t="s">
        <v>104</v>
      </c>
      <c r="BK696" s="1" t="s">
        <v>104</v>
      </c>
      <c r="BL696" s="1" t="s">
        <v>104</v>
      </c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N697" s="1" t="s">
        <v>104</v>
      </c>
      <c r="AO697" s="1" t="s">
        <v>104</v>
      </c>
      <c r="AP697" s="1" t="s">
        <v>104</v>
      </c>
      <c r="AQ697" s="1" t="s">
        <v>104</v>
      </c>
      <c r="AR697" s="1" t="s">
        <v>104</v>
      </c>
      <c r="AS697" s="1" t="s">
        <v>104</v>
      </c>
      <c r="AU697" s="1" t="s">
        <v>104</v>
      </c>
      <c r="AV697" s="1" t="s">
        <v>104</v>
      </c>
      <c r="AX697" s="1" t="str">
        <f>IFERROR(__xludf.DUMMYFUNCTION("""COMPUTED_VALUE"""),"")</f>
        <v/>
      </c>
      <c r="AZ697" s="1" t="str">
        <f>IFERROR(__xludf.DUMMYFUNCTION("""COMPUTED_VALUE"""),"")</f>
        <v/>
      </c>
      <c r="BB697" s="1" t="s">
        <v>104</v>
      </c>
      <c r="BC697" s="1" t="s">
        <v>104</v>
      </c>
      <c r="BE697" s="1" t="s">
        <v>104</v>
      </c>
      <c r="BG697" s="1" t="s">
        <v>104</v>
      </c>
      <c r="BH697" s="1" t="s">
        <v>104</v>
      </c>
      <c r="BI697" s="1" t="s">
        <v>104</v>
      </c>
      <c r="BJ697" s="1" t="s">
        <v>104</v>
      </c>
      <c r="BK697" s="1" t="s">
        <v>104</v>
      </c>
      <c r="BL697" s="1" t="s">
        <v>104</v>
      </c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N698" s="1" t="s">
        <v>104</v>
      </c>
      <c r="AO698" s="1" t="s">
        <v>104</v>
      </c>
      <c r="AP698" s="1" t="s">
        <v>104</v>
      </c>
      <c r="AQ698" s="1" t="s">
        <v>104</v>
      </c>
      <c r="AR698" s="1" t="s">
        <v>104</v>
      </c>
      <c r="AS698" s="1" t="s">
        <v>104</v>
      </c>
      <c r="AU698" s="1" t="s">
        <v>104</v>
      </c>
      <c r="AV698" s="1" t="s">
        <v>104</v>
      </c>
      <c r="AX698" s="1" t="str">
        <f>IFERROR(__xludf.DUMMYFUNCTION("""COMPUTED_VALUE"""),"")</f>
        <v/>
      </c>
      <c r="AZ698" s="1" t="str">
        <f>IFERROR(__xludf.DUMMYFUNCTION("""COMPUTED_VALUE"""),"")</f>
        <v/>
      </c>
      <c r="BB698" s="1" t="s">
        <v>104</v>
      </c>
      <c r="BC698" s="1" t="s">
        <v>104</v>
      </c>
      <c r="BE698" s="1" t="s">
        <v>104</v>
      </c>
      <c r="BG698" s="1" t="s">
        <v>104</v>
      </c>
      <c r="BH698" s="1" t="s">
        <v>104</v>
      </c>
      <c r="BI698" s="1" t="s">
        <v>104</v>
      </c>
      <c r="BJ698" s="1" t="s">
        <v>104</v>
      </c>
      <c r="BK698" s="1" t="s">
        <v>104</v>
      </c>
      <c r="BL698" s="1" t="s">
        <v>104</v>
      </c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N699" s="1" t="s">
        <v>104</v>
      </c>
      <c r="AO699" s="1" t="s">
        <v>104</v>
      </c>
      <c r="AP699" s="1" t="s">
        <v>104</v>
      </c>
      <c r="AQ699" s="1" t="s">
        <v>104</v>
      </c>
      <c r="AR699" s="1" t="s">
        <v>104</v>
      </c>
      <c r="AS699" s="1" t="s">
        <v>104</v>
      </c>
      <c r="AU699" s="1" t="s">
        <v>104</v>
      </c>
      <c r="AV699" s="1" t="s">
        <v>104</v>
      </c>
      <c r="AX699" s="1" t="str">
        <f>IFERROR(__xludf.DUMMYFUNCTION("""COMPUTED_VALUE"""),"")</f>
        <v/>
      </c>
      <c r="AZ699" s="1" t="str">
        <f>IFERROR(__xludf.DUMMYFUNCTION("""COMPUTED_VALUE"""),"")</f>
        <v/>
      </c>
      <c r="BB699" s="1" t="s">
        <v>104</v>
      </c>
      <c r="BC699" s="1" t="s">
        <v>104</v>
      </c>
      <c r="BE699" s="1" t="s">
        <v>104</v>
      </c>
      <c r="BG699" s="1" t="s">
        <v>104</v>
      </c>
      <c r="BH699" s="1" t="s">
        <v>104</v>
      </c>
      <c r="BI699" s="1" t="s">
        <v>104</v>
      </c>
      <c r="BJ699" s="1" t="s">
        <v>104</v>
      </c>
      <c r="BK699" s="1" t="s">
        <v>104</v>
      </c>
      <c r="BL699" s="1" t="s">
        <v>104</v>
      </c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N700" s="1" t="s">
        <v>104</v>
      </c>
      <c r="AO700" s="1" t="s">
        <v>104</v>
      </c>
      <c r="AP700" s="1" t="s">
        <v>104</v>
      </c>
      <c r="AQ700" s="1" t="s">
        <v>104</v>
      </c>
      <c r="AR700" s="1" t="s">
        <v>104</v>
      </c>
      <c r="AS700" s="1" t="s">
        <v>104</v>
      </c>
      <c r="AU700" s="1" t="s">
        <v>104</v>
      </c>
      <c r="AV700" s="1" t="s">
        <v>104</v>
      </c>
      <c r="AX700" s="1" t="str">
        <f>IFERROR(__xludf.DUMMYFUNCTION("""COMPUTED_VALUE"""),"")</f>
        <v/>
      </c>
      <c r="AZ700" s="1" t="str">
        <f>IFERROR(__xludf.DUMMYFUNCTION("""COMPUTED_VALUE"""),"")</f>
        <v/>
      </c>
      <c r="BB700" s="1" t="s">
        <v>104</v>
      </c>
      <c r="BC700" s="1" t="s">
        <v>104</v>
      </c>
      <c r="BE700" s="1" t="s">
        <v>104</v>
      </c>
      <c r="BG700" s="1" t="s">
        <v>104</v>
      </c>
      <c r="BH700" s="1" t="s">
        <v>104</v>
      </c>
      <c r="BI700" s="1" t="s">
        <v>104</v>
      </c>
      <c r="BJ700" s="1" t="s">
        <v>104</v>
      </c>
      <c r="BK700" s="1" t="s">
        <v>104</v>
      </c>
      <c r="BL700" s="1" t="s">
        <v>104</v>
      </c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N701" s="1" t="s">
        <v>104</v>
      </c>
      <c r="AO701" s="1" t="s">
        <v>104</v>
      </c>
      <c r="AP701" s="1" t="s">
        <v>104</v>
      </c>
      <c r="AQ701" s="1" t="s">
        <v>104</v>
      </c>
      <c r="AR701" s="1" t="s">
        <v>104</v>
      </c>
      <c r="AS701" s="1" t="s">
        <v>104</v>
      </c>
      <c r="AU701" s="1" t="s">
        <v>104</v>
      </c>
      <c r="AV701" s="1" t="s">
        <v>104</v>
      </c>
      <c r="AX701" s="1" t="str">
        <f>IFERROR(__xludf.DUMMYFUNCTION("""COMPUTED_VALUE"""),"")</f>
        <v/>
      </c>
      <c r="AZ701" s="1" t="str">
        <f>IFERROR(__xludf.DUMMYFUNCTION("""COMPUTED_VALUE"""),"")</f>
        <v/>
      </c>
      <c r="BB701" s="1" t="s">
        <v>104</v>
      </c>
      <c r="BC701" s="1" t="s">
        <v>104</v>
      </c>
      <c r="BE701" s="1" t="s">
        <v>104</v>
      </c>
      <c r="BG701" s="1" t="s">
        <v>104</v>
      </c>
      <c r="BH701" s="1" t="s">
        <v>104</v>
      </c>
      <c r="BI701" s="1" t="s">
        <v>104</v>
      </c>
      <c r="BJ701" s="1" t="s">
        <v>104</v>
      </c>
      <c r="BK701" s="1" t="s">
        <v>104</v>
      </c>
      <c r="BL701" s="1" t="s">
        <v>104</v>
      </c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N702" s="1" t="s">
        <v>104</v>
      </c>
      <c r="AO702" s="1" t="s">
        <v>104</v>
      </c>
      <c r="AP702" s="1" t="s">
        <v>104</v>
      </c>
      <c r="AQ702" s="1" t="s">
        <v>104</v>
      </c>
      <c r="AR702" s="1" t="s">
        <v>104</v>
      </c>
      <c r="AS702" s="1" t="s">
        <v>104</v>
      </c>
      <c r="AU702" s="1" t="s">
        <v>104</v>
      </c>
      <c r="AV702" s="1" t="s">
        <v>104</v>
      </c>
      <c r="AX702" s="1" t="str">
        <f>IFERROR(__xludf.DUMMYFUNCTION("""COMPUTED_VALUE"""),"")</f>
        <v/>
      </c>
      <c r="AZ702" s="1" t="str">
        <f>IFERROR(__xludf.DUMMYFUNCTION("""COMPUTED_VALUE"""),"")</f>
        <v/>
      </c>
      <c r="BB702" s="1" t="s">
        <v>104</v>
      </c>
      <c r="BC702" s="1" t="s">
        <v>104</v>
      </c>
      <c r="BE702" s="1" t="s">
        <v>104</v>
      </c>
      <c r="BG702" s="1" t="s">
        <v>104</v>
      </c>
      <c r="BH702" s="1" t="s">
        <v>104</v>
      </c>
      <c r="BI702" s="1" t="s">
        <v>104</v>
      </c>
      <c r="BJ702" s="1" t="s">
        <v>104</v>
      </c>
      <c r="BK702" s="1" t="s">
        <v>104</v>
      </c>
      <c r="BL702" s="1" t="s">
        <v>104</v>
      </c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N703" s="1" t="s">
        <v>104</v>
      </c>
      <c r="AO703" s="1" t="s">
        <v>104</v>
      </c>
      <c r="AP703" s="1" t="s">
        <v>104</v>
      </c>
      <c r="AQ703" s="1" t="s">
        <v>104</v>
      </c>
      <c r="AR703" s="1" t="s">
        <v>104</v>
      </c>
      <c r="AS703" s="1" t="s">
        <v>104</v>
      </c>
      <c r="AU703" s="1" t="s">
        <v>104</v>
      </c>
      <c r="AV703" s="1" t="s">
        <v>104</v>
      </c>
      <c r="AX703" s="1" t="str">
        <f>IFERROR(__xludf.DUMMYFUNCTION("""COMPUTED_VALUE"""),"")</f>
        <v/>
      </c>
      <c r="AZ703" s="1" t="str">
        <f>IFERROR(__xludf.DUMMYFUNCTION("""COMPUTED_VALUE"""),"")</f>
        <v/>
      </c>
      <c r="BB703" s="1" t="s">
        <v>104</v>
      </c>
      <c r="BC703" s="1" t="s">
        <v>104</v>
      </c>
      <c r="BE703" s="1" t="s">
        <v>104</v>
      </c>
      <c r="BG703" s="1" t="s">
        <v>104</v>
      </c>
      <c r="BH703" s="1" t="s">
        <v>104</v>
      </c>
      <c r="BI703" s="1" t="s">
        <v>104</v>
      </c>
      <c r="BJ703" s="1" t="s">
        <v>104</v>
      </c>
      <c r="BK703" s="1" t="s">
        <v>104</v>
      </c>
      <c r="BL703" s="1" t="s">
        <v>104</v>
      </c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N704" s="1" t="s">
        <v>104</v>
      </c>
      <c r="AO704" s="1" t="s">
        <v>104</v>
      </c>
      <c r="AP704" s="1" t="s">
        <v>104</v>
      </c>
      <c r="AQ704" s="1" t="s">
        <v>104</v>
      </c>
      <c r="AR704" s="1" t="s">
        <v>104</v>
      </c>
      <c r="AS704" s="1" t="s">
        <v>104</v>
      </c>
      <c r="AU704" s="1" t="s">
        <v>104</v>
      </c>
      <c r="AV704" s="1" t="s">
        <v>104</v>
      </c>
      <c r="AX704" s="1" t="str">
        <f>IFERROR(__xludf.DUMMYFUNCTION("""COMPUTED_VALUE"""),"")</f>
        <v/>
      </c>
      <c r="AZ704" s="1" t="str">
        <f>IFERROR(__xludf.DUMMYFUNCTION("""COMPUTED_VALUE"""),"")</f>
        <v/>
      </c>
      <c r="BB704" s="1" t="s">
        <v>104</v>
      </c>
      <c r="BC704" s="1" t="s">
        <v>104</v>
      </c>
      <c r="BE704" s="1" t="s">
        <v>104</v>
      </c>
      <c r="BG704" s="1" t="s">
        <v>104</v>
      </c>
      <c r="BH704" s="1" t="s">
        <v>104</v>
      </c>
      <c r="BI704" s="1" t="s">
        <v>104</v>
      </c>
      <c r="BJ704" s="1" t="s">
        <v>104</v>
      </c>
      <c r="BK704" s="1" t="s">
        <v>104</v>
      </c>
      <c r="BL704" s="1" t="s">
        <v>104</v>
      </c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N705" s="1" t="s">
        <v>104</v>
      </c>
      <c r="AO705" s="1" t="s">
        <v>104</v>
      </c>
      <c r="AP705" s="1" t="s">
        <v>104</v>
      </c>
      <c r="AQ705" s="1" t="s">
        <v>104</v>
      </c>
      <c r="AR705" s="1" t="s">
        <v>104</v>
      </c>
      <c r="AS705" s="1" t="s">
        <v>104</v>
      </c>
      <c r="AU705" s="1" t="s">
        <v>104</v>
      </c>
      <c r="AV705" s="1" t="s">
        <v>104</v>
      </c>
      <c r="AX705" s="1" t="str">
        <f>IFERROR(__xludf.DUMMYFUNCTION("""COMPUTED_VALUE"""),"")</f>
        <v/>
      </c>
      <c r="AZ705" s="1" t="str">
        <f>IFERROR(__xludf.DUMMYFUNCTION("""COMPUTED_VALUE"""),"")</f>
        <v/>
      </c>
      <c r="BB705" s="1" t="s">
        <v>104</v>
      </c>
      <c r="BC705" s="1" t="s">
        <v>104</v>
      </c>
      <c r="BE705" s="1" t="s">
        <v>104</v>
      </c>
      <c r="BG705" s="1" t="s">
        <v>104</v>
      </c>
      <c r="BH705" s="1" t="s">
        <v>104</v>
      </c>
      <c r="BI705" s="1" t="s">
        <v>104</v>
      </c>
      <c r="BJ705" s="1" t="s">
        <v>104</v>
      </c>
      <c r="BK705" s="1" t="s">
        <v>104</v>
      </c>
      <c r="BL705" s="1" t="s">
        <v>104</v>
      </c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N706" s="1" t="s">
        <v>104</v>
      </c>
      <c r="AO706" s="1" t="s">
        <v>104</v>
      </c>
      <c r="AP706" s="1" t="s">
        <v>104</v>
      </c>
      <c r="AQ706" s="1" t="s">
        <v>104</v>
      </c>
      <c r="AR706" s="1" t="s">
        <v>104</v>
      </c>
      <c r="AS706" s="1" t="s">
        <v>104</v>
      </c>
      <c r="AU706" s="1" t="s">
        <v>104</v>
      </c>
      <c r="AV706" s="1" t="s">
        <v>104</v>
      </c>
      <c r="AX706" s="1" t="str">
        <f>IFERROR(__xludf.DUMMYFUNCTION("""COMPUTED_VALUE"""),"")</f>
        <v/>
      </c>
      <c r="AZ706" s="1" t="str">
        <f>IFERROR(__xludf.DUMMYFUNCTION("""COMPUTED_VALUE"""),"")</f>
        <v/>
      </c>
      <c r="BB706" s="1" t="s">
        <v>104</v>
      </c>
      <c r="BC706" s="1" t="s">
        <v>104</v>
      </c>
      <c r="BE706" s="1" t="s">
        <v>104</v>
      </c>
      <c r="BG706" s="1" t="s">
        <v>104</v>
      </c>
      <c r="BH706" s="1" t="s">
        <v>104</v>
      </c>
      <c r="BI706" s="1" t="s">
        <v>104</v>
      </c>
      <c r="BJ706" s="1" t="s">
        <v>104</v>
      </c>
      <c r="BK706" s="1" t="s">
        <v>104</v>
      </c>
      <c r="BL706" s="1" t="s">
        <v>104</v>
      </c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N707" s="1" t="s">
        <v>104</v>
      </c>
      <c r="AO707" s="1" t="s">
        <v>104</v>
      </c>
      <c r="AP707" s="1" t="s">
        <v>104</v>
      </c>
      <c r="AQ707" s="1" t="s">
        <v>104</v>
      </c>
      <c r="AR707" s="1" t="s">
        <v>104</v>
      </c>
      <c r="AS707" s="1" t="s">
        <v>104</v>
      </c>
      <c r="AU707" s="1" t="s">
        <v>104</v>
      </c>
      <c r="AV707" s="1" t="s">
        <v>104</v>
      </c>
      <c r="AX707" s="1" t="str">
        <f>IFERROR(__xludf.DUMMYFUNCTION("""COMPUTED_VALUE"""),"")</f>
        <v/>
      </c>
      <c r="AZ707" s="1" t="str">
        <f>IFERROR(__xludf.DUMMYFUNCTION("""COMPUTED_VALUE"""),"")</f>
        <v/>
      </c>
      <c r="BB707" s="1" t="s">
        <v>104</v>
      </c>
      <c r="BC707" s="1" t="s">
        <v>104</v>
      </c>
      <c r="BE707" s="1" t="s">
        <v>104</v>
      </c>
      <c r="BG707" s="1" t="s">
        <v>104</v>
      </c>
      <c r="BH707" s="1" t="s">
        <v>104</v>
      </c>
      <c r="BI707" s="1" t="s">
        <v>104</v>
      </c>
      <c r="BJ707" s="1" t="s">
        <v>104</v>
      </c>
      <c r="BK707" s="1" t="s">
        <v>104</v>
      </c>
      <c r="BL707" s="1" t="s">
        <v>104</v>
      </c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N708" s="1" t="s">
        <v>104</v>
      </c>
      <c r="AO708" s="1" t="s">
        <v>104</v>
      </c>
      <c r="AP708" s="1" t="s">
        <v>104</v>
      </c>
      <c r="AQ708" s="1" t="s">
        <v>104</v>
      </c>
      <c r="AR708" s="1" t="s">
        <v>104</v>
      </c>
      <c r="AS708" s="1" t="s">
        <v>104</v>
      </c>
      <c r="AU708" s="1" t="s">
        <v>104</v>
      </c>
      <c r="AV708" s="1" t="s">
        <v>104</v>
      </c>
      <c r="AX708" s="1" t="str">
        <f>IFERROR(__xludf.DUMMYFUNCTION("""COMPUTED_VALUE"""),"")</f>
        <v/>
      </c>
      <c r="AZ708" s="1" t="str">
        <f>IFERROR(__xludf.DUMMYFUNCTION("""COMPUTED_VALUE"""),"")</f>
        <v/>
      </c>
      <c r="BB708" s="1" t="s">
        <v>104</v>
      </c>
      <c r="BC708" s="1" t="s">
        <v>104</v>
      </c>
      <c r="BE708" s="1" t="s">
        <v>104</v>
      </c>
      <c r="BG708" s="1" t="s">
        <v>104</v>
      </c>
      <c r="BH708" s="1" t="s">
        <v>104</v>
      </c>
      <c r="BI708" s="1" t="s">
        <v>104</v>
      </c>
      <c r="BJ708" s="1" t="s">
        <v>104</v>
      </c>
      <c r="BK708" s="1" t="s">
        <v>104</v>
      </c>
      <c r="BL708" s="1" t="s">
        <v>104</v>
      </c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N709" s="1" t="s">
        <v>104</v>
      </c>
      <c r="AO709" s="1" t="s">
        <v>104</v>
      </c>
      <c r="AP709" s="1" t="s">
        <v>104</v>
      </c>
      <c r="AQ709" s="1" t="s">
        <v>104</v>
      </c>
      <c r="AR709" s="1" t="s">
        <v>104</v>
      </c>
      <c r="AS709" s="1" t="s">
        <v>104</v>
      </c>
      <c r="AU709" s="1" t="s">
        <v>104</v>
      </c>
      <c r="AV709" s="1" t="s">
        <v>104</v>
      </c>
      <c r="AX709" s="1" t="str">
        <f>IFERROR(__xludf.DUMMYFUNCTION("""COMPUTED_VALUE"""),"")</f>
        <v/>
      </c>
      <c r="AZ709" s="1" t="str">
        <f>IFERROR(__xludf.DUMMYFUNCTION("""COMPUTED_VALUE"""),"")</f>
        <v/>
      </c>
      <c r="BB709" s="1" t="s">
        <v>104</v>
      </c>
      <c r="BC709" s="1" t="s">
        <v>104</v>
      </c>
      <c r="BE709" s="1" t="s">
        <v>104</v>
      </c>
      <c r="BG709" s="1" t="s">
        <v>104</v>
      </c>
      <c r="BH709" s="1" t="s">
        <v>104</v>
      </c>
      <c r="BI709" s="1" t="s">
        <v>104</v>
      </c>
      <c r="BJ709" s="1" t="s">
        <v>104</v>
      </c>
      <c r="BK709" s="1" t="s">
        <v>104</v>
      </c>
      <c r="BL709" s="1" t="s">
        <v>104</v>
      </c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N710" s="1" t="s">
        <v>104</v>
      </c>
      <c r="AO710" s="1" t="s">
        <v>104</v>
      </c>
      <c r="AP710" s="1" t="s">
        <v>104</v>
      </c>
      <c r="AQ710" s="1" t="s">
        <v>104</v>
      </c>
      <c r="AR710" s="1" t="s">
        <v>104</v>
      </c>
      <c r="AS710" s="1" t="s">
        <v>104</v>
      </c>
      <c r="AU710" s="1" t="s">
        <v>104</v>
      </c>
      <c r="AV710" s="1" t="s">
        <v>104</v>
      </c>
      <c r="AX710" s="1" t="str">
        <f>IFERROR(__xludf.DUMMYFUNCTION("""COMPUTED_VALUE"""),"")</f>
        <v/>
      </c>
      <c r="AZ710" s="1" t="str">
        <f>IFERROR(__xludf.DUMMYFUNCTION("""COMPUTED_VALUE"""),"")</f>
        <v/>
      </c>
      <c r="BB710" s="1" t="s">
        <v>104</v>
      </c>
      <c r="BC710" s="1" t="s">
        <v>104</v>
      </c>
      <c r="BE710" s="1" t="s">
        <v>104</v>
      </c>
      <c r="BG710" s="1" t="s">
        <v>104</v>
      </c>
      <c r="BH710" s="1" t="s">
        <v>104</v>
      </c>
      <c r="BI710" s="1" t="s">
        <v>104</v>
      </c>
      <c r="BJ710" s="1" t="s">
        <v>104</v>
      </c>
      <c r="BK710" s="1" t="s">
        <v>104</v>
      </c>
      <c r="BL710" s="1" t="s">
        <v>104</v>
      </c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N711" s="1" t="s">
        <v>104</v>
      </c>
      <c r="AO711" s="1" t="s">
        <v>104</v>
      </c>
      <c r="AP711" s="1" t="s">
        <v>104</v>
      </c>
      <c r="AQ711" s="1" t="s">
        <v>104</v>
      </c>
      <c r="AR711" s="1" t="s">
        <v>104</v>
      </c>
      <c r="AS711" s="1" t="s">
        <v>104</v>
      </c>
      <c r="AU711" s="1" t="s">
        <v>104</v>
      </c>
      <c r="AV711" s="1" t="s">
        <v>104</v>
      </c>
      <c r="AX711" s="1" t="str">
        <f>IFERROR(__xludf.DUMMYFUNCTION("""COMPUTED_VALUE"""),"")</f>
        <v/>
      </c>
      <c r="AZ711" s="1" t="str">
        <f>IFERROR(__xludf.DUMMYFUNCTION("""COMPUTED_VALUE"""),"")</f>
        <v/>
      </c>
      <c r="BB711" s="1" t="s">
        <v>104</v>
      </c>
      <c r="BC711" s="1" t="s">
        <v>104</v>
      </c>
      <c r="BE711" s="1" t="s">
        <v>104</v>
      </c>
      <c r="BG711" s="1" t="s">
        <v>104</v>
      </c>
      <c r="BH711" s="1" t="s">
        <v>104</v>
      </c>
      <c r="BI711" s="1" t="s">
        <v>104</v>
      </c>
      <c r="BJ711" s="1" t="s">
        <v>104</v>
      </c>
      <c r="BK711" s="1" t="s">
        <v>104</v>
      </c>
      <c r="BL711" s="1" t="s">
        <v>104</v>
      </c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N712" s="1" t="s">
        <v>104</v>
      </c>
      <c r="AO712" s="1" t="s">
        <v>104</v>
      </c>
      <c r="AP712" s="1" t="s">
        <v>104</v>
      </c>
      <c r="AQ712" s="1" t="s">
        <v>104</v>
      </c>
      <c r="AR712" s="1" t="s">
        <v>104</v>
      </c>
      <c r="AS712" s="1" t="s">
        <v>104</v>
      </c>
      <c r="AU712" s="1" t="s">
        <v>104</v>
      </c>
      <c r="AV712" s="1" t="s">
        <v>104</v>
      </c>
      <c r="AX712" s="1" t="str">
        <f>IFERROR(__xludf.DUMMYFUNCTION("""COMPUTED_VALUE"""),"")</f>
        <v/>
      </c>
      <c r="AZ712" s="1" t="str">
        <f>IFERROR(__xludf.DUMMYFUNCTION("""COMPUTED_VALUE"""),"")</f>
        <v/>
      </c>
      <c r="BB712" s="1" t="s">
        <v>104</v>
      </c>
      <c r="BC712" s="1" t="s">
        <v>104</v>
      </c>
      <c r="BE712" s="1" t="s">
        <v>104</v>
      </c>
      <c r="BG712" s="1" t="s">
        <v>104</v>
      </c>
      <c r="BH712" s="1" t="s">
        <v>104</v>
      </c>
      <c r="BI712" s="1" t="s">
        <v>104</v>
      </c>
      <c r="BJ712" s="1" t="s">
        <v>104</v>
      </c>
      <c r="BK712" s="1" t="s">
        <v>104</v>
      </c>
      <c r="BL712" s="1" t="s">
        <v>104</v>
      </c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N713" s="1" t="s">
        <v>104</v>
      </c>
      <c r="AO713" s="1" t="s">
        <v>104</v>
      </c>
      <c r="AP713" s="1" t="s">
        <v>104</v>
      </c>
      <c r="AQ713" s="1" t="s">
        <v>104</v>
      </c>
      <c r="AR713" s="1" t="s">
        <v>104</v>
      </c>
      <c r="AS713" s="1" t="s">
        <v>104</v>
      </c>
      <c r="AU713" s="1" t="s">
        <v>104</v>
      </c>
      <c r="AV713" s="1" t="s">
        <v>104</v>
      </c>
      <c r="AX713" s="1" t="str">
        <f>IFERROR(__xludf.DUMMYFUNCTION("""COMPUTED_VALUE"""),"")</f>
        <v/>
      </c>
      <c r="AZ713" s="1" t="str">
        <f>IFERROR(__xludf.DUMMYFUNCTION("""COMPUTED_VALUE"""),"")</f>
        <v/>
      </c>
      <c r="BB713" s="1" t="s">
        <v>104</v>
      </c>
      <c r="BC713" s="1" t="s">
        <v>104</v>
      </c>
      <c r="BE713" s="1" t="s">
        <v>104</v>
      </c>
      <c r="BG713" s="1" t="s">
        <v>104</v>
      </c>
      <c r="BH713" s="1" t="s">
        <v>104</v>
      </c>
      <c r="BI713" s="1" t="s">
        <v>104</v>
      </c>
      <c r="BJ713" s="1" t="s">
        <v>104</v>
      </c>
      <c r="BK713" s="1" t="s">
        <v>104</v>
      </c>
      <c r="BL713" s="1" t="s">
        <v>104</v>
      </c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N714" s="1" t="s">
        <v>104</v>
      </c>
      <c r="AO714" s="1" t="s">
        <v>104</v>
      </c>
      <c r="AP714" s="1" t="s">
        <v>104</v>
      </c>
      <c r="AQ714" s="1" t="s">
        <v>104</v>
      </c>
      <c r="AR714" s="1" t="s">
        <v>104</v>
      </c>
      <c r="AS714" s="1" t="s">
        <v>104</v>
      </c>
      <c r="AU714" s="1" t="s">
        <v>104</v>
      </c>
      <c r="AV714" s="1" t="s">
        <v>104</v>
      </c>
      <c r="AX714" s="1" t="str">
        <f>IFERROR(__xludf.DUMMYFUNCTION("""COMPUTED_VALUE"""),"")</f>
        <v/>
      </c>
      <c r="AZ714" s="1" t="str">
        <f>IFERROR(__xludf.DUMMYFUNCTION("""COMPUTED_VALUE"""),"")</f>
        <v/>
      </c>
      <c r="BB714" s="1" t="s">
        <v>104</v>
      </c>
      <c r="BC714" s="1" t="s">
        <v>104</v>
      </c>
      <c r="BE714" s="1" t="s">
        <v>104</v>
      </c>
      <c r="BG714" s="1" t="s">
        <v>104</v>
      </c>
      <c r="BH714" s="1" t="s">
        <v>104</v>
      </c>
      <c r="BI714" s="1" t="s">
        <v>104</v>
      </c>
      <c r="BJ714" s="1" t="s">
        <v>104</v>
      </c>
      <c r="BK714" s="1" t="s">
        <v>104</v>
      </c>
      <c r="BL714" s="1" t="s">
        <v>104</v>
      </c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N715" s="1" t="s">
        <v>104</v>
      </c>
      <c r="AO715" s="1" t="s">
        <v>104</v>
      </c>
      <c r="AP715" s="1" t="s">
        <v>104</v>
      </c>
      <c r="AQ715" s="1" t="s">
        <v>104</v>
      </c>
      <c r="AR715" s="1" t="s">
        <v>104</v>
      </c>
      <c r="AS715" s="1" t="s">
        <v>104</v>
      </c>
      <c r="AU715" s="1" t="s">
        <v>104</v>
      </c>
      <c r="AV715" s="1" t="s">
        <v>104</v>
      </c>
      <c r="AX715" s="1" t="str">
        <f>IFERROR(__xludf.DUMMYFUNCTION("""COMPUTED_VALUE"""),"")</f>
        <v/>
      </c>
      <c r="AZ715" s="1" t="str">
        <f>IFERROR(__xludf.DUMMYFUNCTION("""COMPUTED_VALUE"""),"")</f>
        <v/>
      </c>
      <c r="BB715" s="1" t="s">
        <v>104</v>
      </c>
      <c r="BC715" s="1" t="s">
        <v>104</v>
      </c>
      <c r="BE715" s="1" t="s">
        <v>104</v>
      </c>
      <c r="BG715" s="1" t="s">
        <v>104</v>
      </c>
      <c r="BH715" s="1" t="s">
        <v>104</v>
      </c>
      <c r="BI715" s="1" t="s">
        <v>104</v>
      </c>
      <c r="BJ715" s="1" t="s">
        <v>104</v>
      </c>
      <c r="BK715" s="1" t="s">
        <v>104</v>
      </c>
      <c r="BL715" s="1" t="s">
        <v>104</v>
      </c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N716" s="1" t="s">
        <v>104</v>
      </c>
      <c r="AO716" s="1" t="s">
        <v>104</v>
      </c>
      <c r="AP716" s="1" t="s">
        <v>104</v>
      </c>
      <c r="AQ716" s="1" t="s">
        <v>104</v>
      </c>
      <c r="AR716" s="1" t="s">
        <v>104</v>
      </c>
      <c r="AS716" s="1" t="s">
        <v>104</v>
      </c>
      <c r="AU716" s="1" t="s">
        <v>104</v>
      </c>
      <c r="AV716" s="1" t="s">
        <v>104</v>
      </c>
      <c r="AX716" s="1" t="str">
        <f>IFERROR(__xludf.DUMMYFUNCTION("""COMPUTED_VALUE"""),"")</f>
        <v/>
      </c>
      <c r="AZ716" s="1" t="str">
        <f>IFERROR(__xludf.DUMMYFUNCTION("""COMPUTED_VALUE"""),"")</f>
        <v/>
      </c>
      <c r="BB716" s="1" t="s">
        <v>104</v>
      </c>
      <c r="BC716" s="1" t="s">
        <v>104</v>
      </c>
      <c r="BE716" s="1" t="s">
        <v>104</v>
      </c>
      <c r="BG716" s="1" t="s">
        <v>104</v>
      </c>
      <c r="BH716" s="1" t="s">
        <v>104</v>
      </c>
      <c r="BI716" s="1" t="s">
        <v>104</v>
      </c>
      <c r="BJ716" s="1" t="s">
        <v>104</v>
      </c>
      <c r="BK716" s="1" t="s">
        <v>104</v>
      </c>
      <c r="BL716" s="1" t="s">
        <v>104</v>
      </c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N717" s="1" t="s">
        <v>104</v>
      </c>
      <c r="AO717" s="1" t="s">
        <v>104</v>
      </c>
      <c r="AP717" s="1" t="s">
        <v>104</v>
      </c>
      <c r="AQ717" s="1" t="s">
        <v>104</v>
      </c>
      <c r="AR717" s="1" t="s">
        <v>104</v>
      </c>
      <c r="AS717" s="1" t="s">
        <v>104</v>
      </c>
      <c r="AU717" s="1" t="s">
        <v>104</v>
      </c>
      <c r="AV717" s="1" t="s">
        <v>104</v>
      </c>
      <c r="AX717" s="1" t="str">
        <f>IFERROR(__xludf.DUMMYFUNCTION("""COMPUTED_VALUE"""),"")</f>
        <v/>
      </c>
      <c r="AZ717" s="1" t="str">
        <f>IFERROR(__xludf.DUMMYFUNCTION("""COMPUTED_VALUE"""),"")</f>
        <v/>
      </c>
      <c r="BB717" s="1" t="s">
        <v>104</v>
      </c>
      <c r="BC717" s="1" t="s">
        <v>104</v>
      </c>
      <c r="BE717" s="1" t="s">
        <v>104</v>
      </c>
      <c r="BG717" s="1" t="s">
        <v>104</v>
      </c>
      <c r="BH717" s="1" t="s">
        <v>104</v>
      </c>
      <c r="BI717" s="1" t="s">
        <v>104</v>
      </c>
      <c r="BJ717" s="1" t="s">
        <v>104</v>
      </c>
      <c r="BK717" s="1" t="s">
        <v>104</v>
      </c>
      <c r="BL717" s="1" t="s">
        <v>104</v>
      </c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N718" s="1" t="s">
        <v>104</v>
      </c>
      <c r="AO718" s="1" t="s">
        <v>104</v>
      </c>
      <c r="AP718" s="1" t="s">
        <v>104</v>
      </c>
      <c r="AQ718" s="1" t="s">
        <v>104</v>
      </c>
      <c r="AR718" s="1" t="s">
        <v>104</v>
      </c>
      <c r="AS718" s="1" t="s">
        <v>104</v>
      </c>
      <c r="AU718" s="1" t="s">
        <v>104</v>
      </c>
      <c r="AV718" s="1" t="s">
        <v>104</v>
      </c>
      <c r="AX718" s="1" t="str">
        <f>IFERROR(__xludf.DUMMYFUNCTION("""COMPUTED_VALUE"""),"")</f>
        <v/>
      </c>
      <c r="AZ718" s="1" t="str">
        <f>IFERROR(__xludf.DUMMYFUNCTION("""COMPUTED_VALUE"""),"")</f>
        <v/>
      </c>
      <c r="BB718" s="1" t="s">
        <v>104</v>
      </c>
      <c r="BC718" s="1" t="s">
        <v>104</v>
      </c>
      <c r="BE718" s="1" t="s">
        <v>104</v>
      </c>
      <c r="BG718" s="1" t="s">
        <v>104</v>
      </c>
      <c r="BH718" s="1" t="s">
        <v>104</v>
      </c>
      <c r="BI718" s="1" t="s">
        <v>104</v>
      </c>
      <c r="BJ718" s="1" t="s">
        <v>104</v>
      </c>
      <c r="BK718" s="1" t="s">
        <v>104</v>
      </c>
      <c r="BL718" s="1" t="s">
        <v>104</v>
      </c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N719" s="1" t="s">
        <v>104</v>
      </c>
      <c r="AO719" s="1" t="s">
        <v>104</v>
      </c>
      <c r="AP719" s="1" t="s">
        <v>104</v>
      </c>
      <c r="AQ719" s="1" t="s">
        <v>104</v>
      </c>
      <c r="AR719" s="1" t="s">
        <v>104</v>
      </c>
      <c r="AS719" s="1" t="s">
        <v>104</v>
      </c>
      <c r="AU719" s="1" t="s">
        <v>104</v>
      </c>
      <c r="AV719" s="1" t="s">
        <v>104</v>
      </c>
      <c r="AX719" s="1" t="str">
        <f>IFERROR(__xludf.DUMMYFUNCTION("""COMPUTED_VALUE"""),"")</f>
        <v/>
      </c>
      <c r="AZ719" s="1" t="str">
        <f>IFERROR(__xludf.DUMMYFUNCTION("""COMPUTED_VALUE"""),"")</f>
        <v/>
      </c>
      <c r="BB719" s="1" t="s">
        <v>104</v>
      </c>
      <c r="BC719" s="1" t="s">
        <v>104</v>
      </c>
      <c r="BE719" s="1" t="s">
        <v>104</v>
      </c>
      <c r="BG719" s="1" t="s">
        <v>104</v>
      </c>
      <c r="BH719" s="1" t="s">
        <v>104</v>
      </c>
      <c r="BI719" s="1" t="s">
        <v>104</v>
      </c>
      <c r="BJ719" s="1" t="s">
        <v>104</v>
      </c>
      <c r="BK719" s="1" t="s">
        <v>104</v>
      </c>
      <c r="BL719" s="1" t="s">
        <v>104</v>
      </c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N720" s="1" t="s">
        <v>104</v>
      </c>
      <c r="AO720" s="1" t="s">
        <v>104</v>
      </c>
      <c r="AP720" s="1" t="s">
        <v>104</v>
      </c>
      <c r="AQ720" s="1" t="s">
        <v>104</v>
      </c>
      <c r="AR720" s="1" t="s">
        <v>104</v>
      </c>
      <c r="AS720" s="1" t="s">
        <v>104</v>
      </c>
      <c r="AU720" s="1" t="s">
        <v>104</v>
      </c>
      <c r="AV720" s="1" t="s">
        <v>104</v>
      </c>
      <c r="AX720" s="1" t="str">
        <f>IFERROR(__xludf.DUMMYFUNCTION("""COMPUTED_VALUE"""),"")</f>
        <v/>
      </c>
      <c r="AZ720" s="1" t="str">
        <f>IFERROR(__xludf.DUMMYFUNCTION("""COMPUTED_VALUE"""),"")</f>
        <v/>
      </c>
      <c r="BB720" s="1" t="s">
        <v>104</v>
      </c>
      <c r="BC720" s="1" t="s">
        <v>104</v>
      </c>
      <c r="BE720" s="1" t="s">
        <v>104</v>
      </c>
      <c r="BG720" s="1" t="s">
        <v>104</v>
      </c>
      <c r="BH720" s="1" t="s">
        <v>104</v>
      </c>
      <c r="BI720" s="1" t="s">
        <v>104</v>
      </c>
      <c r="BJ720" s="1" t="s">
        <v>104</v>
      </c>
      <c r="BK720" s="1" t="s">
        <v>104</v>
      </c>
      <c r="BL720" s="1" t="s">
        <v>104</v>
      </c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N721" s="1" t="s">
        <v>104</v>
      </c>
      <c r="AO721" s="1" t="s">
        <v>104</v>
      </c>
      <c r="AP721" s="1" t="s">
        <v>104</v>
      </c>
      <c r="AQ721" s="1" t="s">
        <v>104</v>
      </c>
      <c r="AR721" s="1" t="s">
        <v>104</v>
      </c>
      <c r="AS721" s="1" t="s">
        <v>104</v>
      </c>
      <c r="AU721" s="1" t="s">
        <v>104</v>
      </c>
      <c r="AV721" s="1" t="s">
        <v>104</v>
      </c>
      <c r="AX721" s="1" t="str">
        <f>IFERROR(__xludf.DUMMYFUNCTION("""COMPUTED_VALUE"""),"")</f>
        <v/>
      </c>
      <c r="AZ721" s="1" t="str">
        <f>IFERROR(__xludf.DUMMYFUNCTION("""COMPUTED_VALUE"""),"")</f>
        <v/>
      </c>
      <c r="BB721" s="1" t="s">
        <v>104</v>
      </c>
      <c r="BC721" s="1" t="s">
        <v>104</v>
      </c>
      <c r="BE721" s="1" t="s">
        <v>104</v>
      </c>
      <c r="BG721" s="1" t="s">
        <v>104</v>
      </c>
      <c r="BH721" s="1" t="s">
        <v>104</v>
      </c>
      <c r="BI721" s="1" t="s">
        <v>104</v>
      </c>
      <c r="BJ721" s="1" t="s">
        <v>104</v>
      </c>
      <c r="BK721" s="1" t="s">
        <v>104</v>
      </c>
      <c r="BL721" s="1" t="s">
        <v>104</v>
      </c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N722" s="1" t="s">
        <v>104</v>
      </c>
      <c r="AO722" s="1" t="s">
        <v>104</v>
      </c>
      <c r="AP722" s="1" t="s">
        <v>104</v>
      </c>
      <c r="AQ722" s="1" t="s">
        <v>104</v>
      </c>
      <c r="AR722" s="1" t="s">
        <v>104</v>
      </c>
      <c r="AS722" s="1" t="s">
        <v>104</v>
      </c>
      <c r="AU722" s="1" t="s">
        <v>104</v>
      </c>
      <c r="AV722" s="1" t="s">
        <v>104</v>
      </c>
      <c r="AX722" s="1" t="str">
        <f>IFERROR(__xludf.DUMMYFUNCTION("""COMPUTED_VALUE"""),"")</f>
        <v/>
      </c>
      <c r="AZ722" s="1" t="str">
        <f>IFERROR(__xludf.DUMMYFUNCTION("""COMPUTED_VALUE"""),"")</f>
        <v/>
      </c>
      <c r="BB722" s="1" t="s">
        <v>104</v>
      </c>
      <c r="BC722" s="1" t="s">
        <v>104</v>
      </c>
      <c r="BE722" s="1" t="s">
        <v>104</v>
      </c>
      <c r="BG722" s="1" t="s">
        <v>104</v>
      </c>
      <c r="BH722" s="1" t="s">
        <v>104</v>
      </c>
      <c r="BI722" s="1" t="s">
        <v>104</v>
      </c>
      <c r="BJ722" s="1" t="s">
        <v>104</v>
      </c>
      <c r="BK722" s="1" t="s">
        <v>104</v>
      </c>
      <c r="BL722" s="1" t="s">
        <v>104</v>
      </c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N723" s="1" t="s">
        <v>104</v>
      </c>
      <c r="AO723" s="1" t="s">
        <v>104</v>
      </c>
      <c r="AP723" s="1" t="s">
        <v>104</v>
      </c>
      <c r="AQ723" s="1" t="s">
        <v>104</v>
      </c>
      <c r="AR723" s="1" t="s">
        <v>104</v>
      </c>
      <c r="AS723" s="1" t="s">
        <v>104</v>
      </c>
      <c r="AU723" s="1" t="s">
        <v>104</v>
      </c>
      <c r="AV723" s="1" t="s">
        <v>104</v>
      </c>
      <c r="AX723" s="1" t="str">
        <f>IFERROR(__xludf.DUMMYFUNCTION("""COMPUTED_VALUE"""),"")</f>
        <v/>
      </c>
      <c r="AZ723" s="1" t="str">
        <f>IFERROR(__xludf.DUMMYFUNCTION("""COMPUTED_VALUE"""),"")</f>
        <v/>
      </c>
      <c r="BB723" s="1" t="s">
        <v>104</v>
      </c>
      <c r="BC723" s="1" t="s">
        <v>104</v>
      </c>
      <c r="BE723" s="1" t="s">
        <v>104</v>
      </c>
      <c r="BG723" s="1" t="s">
        <v>104</v>
      </c>
      <c r="BH723" s="1" t="s">
        <v>104</v>
      </c>
      <c r="BI723" s="1" t="s">
        <v>104</v>
      </c>
      <c r="BJ723" s="1" t="s">
        <v>104</v>
      </c>
      <c r="BK723" s="1" t="s">
        <v>104</v>
      </c>
      <c r="BL723" s="1" t="s">
        <v>104</v>
      </c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N724" s="1" t="s">
        <v>104</v>
      </c>
      <c r="AO724" s="1" t="s">
        <v>104</v>
      </c>
      <c r="AP724" s="1" t="s">
        <v>104</v>
      </c>
      <c r="AQ724" s="1" t="s">
        <v>104</v>
      </c>
      <c r="AR724" s="1" t="s">
        <v>104</v>
      </c>
      <c r="AS724" s="1" t="s">
        <v>104</v>
      </c>
      <c r="AU724" s="1" t="s">
        <v>104</v>
      </c>
      <c r="AV724" s="1" t="s">
        <v>104</v>
      </c>
      <c r="AX724" s="1" t="str">
        <f>IFERROR(__xludf.DUMMYFUNCTION("""COMPUTED_VALUE"""),"")</f>
        <v/>
      </c>
      <c r="AZ724" s="1" t="str">
        <f>IFERROR(__xludf.DUMMYFUNCTION("""COMPUTED_VALUE"""),"")</f>
        <v/>
      </c>
      <c r="BB724" s="1" t="s">
        <v>104</v>
      </c>
      <c r="BC724" s="1" t="s">
        <v>104</v>
      </c>
      <c r="BE724" s="1" t="s">
        <v>104</v>
      </c>
      <c r="BG724" s="1" t="s">
        <v>104</v>
      </c>
      <c r="BH724" s="1" t="s">
        <v>104</v>
      </c>
      <c r="BI724" s="1" t="s">
        <v>104</v>
      </c>
      <c r="BJ724" s="1" t="s">
        <v>104</v>
      </c>
      <c r="BK724" s="1" t="s">
        <v>104</v>
      </c>
      <c r="BL724" s="1" t="s">
        <v>104</v>
      </c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N725" s="1" t="s">
        <v>104</v>
      </c>
      <c r="AO725" s="1" t="s">
        <v>104</v>
      </c>
      <c r="AP725" s="1" t="s">
        <v>104</v>
      </c>
      <c r="AQ725" s="1" t="s">
        <v>104</v>
      </c>
      <c r="AR725" s="1" t="s">
        <v>104</v>
      </c>
      <c r="AS725" s="1" t="s">
        <v>104</v>
      </c>
      <c r="AU725" s="1" t="s">
        <v>104</v>
      </c>
      <c r="AV725" s="1" t="s">
        <v>104</v>
      </c>
      <c r="AX725" s="1" t="str">
        <f>IFERROR(__xludf.DUMMYFUNCTION("""COMPUTED_VALUE"""),"")</f>
        <v/>
      </c>
      <c r="AZ725" s="1" t="str">
        <f>IFERROR(__xludf.DUMMYFUNCTION("""COMPUTED_VALUE"""),"")</f>
        <v/>
      </c>
      <c r="BB725" s="1" t="s">
        <v>104</v>
      </c>
      <c r="BC725" s="1" t="s">
        <v>104</v>
      </c>
      <c r="BE725" s="1" t="s">
        <v>104</v>
      </c>
      <c r="BG725" s="1" t="s">
        <v>104</v>
      </c>
      <c r="BH725" s="1" t="s">
        <v>104</v>
      </c>
      <c r="BI725" s="1" t="s">
        <v>104</v>
      </c>
      <c r="BJ725" s="1" t="s">
        <v>104</v>
      </c>
      <c r="BK725" s="1" t="s">
        <v>104</v>
      </c>
      <c r="BL725" s="1" t="s">
        <v>104</v>
      </c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N726" s="1" t="s">
        <v>104</v>
      </c>
      <c r="AO726" s="1" t="s">
        <v>104</v>
      </c>
      <c r="AP726" s="1" t="s">
        <v>104</v>
      </c>
      <c r="AQ726" s="1" t="s">
        <v>104</v>
      </c>
      <c r="AR726" s="1" t="s">
        <v>104</v>
      </c>
      <c r="AS726" s="1" t="s">
        <v>104</v>
      </c>
      <c r="AU726" s="1" t="s">
        <v>104</v>
      </c>
      <c r="AV726" s="1" t="s">
        <v>104</v>
      </c>
      <c r="AX726" s="1" t="str">
        <f>IFERROR(__xludf.DUMMYFUNCTION("""COMPUTED_VALUE"""),"")</f>
        <v/>
      </c>
      <c r="AZ726" s="1" t="str">
        <f>IFERROR(__xludf.DUMMYFUNCTION("""COMPUTED_VALUE"""),"")</f>
        <v/>
      </c>
      <c r="BB726" s="1" t="s">
        <v>104</v>
      </c>
      <c r="BC726" s="1" t="s">
        <v>104</v>
      </c>
      <c r="BE726" s="1" t="s">
        <v>104</v>
      </c>
      <c r="BG726" s="1" t="s">
        <v>104</v>
      </c>
      <c r="BH726" s="1" t="s">
        <v>104</v>
      </c>
      <c r="BI726" s="1" t="s">
        <v>104</v>
      </c>
      <c r="BJ726" s="1" t="s">
        <v>104</v>
      </c>
      <c r="BK726" s="1" t="s">
        <v>104</v>
      </c>
      <c r="BL726" s="1" t="s">
        <v>104</v>
      </c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N727" s="1" t="s">
        <v>104</v>
      </c>
      <c r="AO727" s="1" t="s">
        <v>104</v>
      </c>
      <c r="AP727" s="1" t="s">
        <v>104</v>
      </c>
      <c r="AQ727" s="1" t="s">
        <v>104</v>
      </c>
      <c r="AR727" s="1" t="s">
        <v>104</v>
      </c>
      <c r="AS727" s="1" t="s">
        <v>104</v>
      </c>
      <c r="AU727" s="1" t="s">
        <v>104</v>
      </c>
      <c r="AV727" s="1" t="s">
        <v>104</v>
      </c>
      <c r="AX727" s="1" t="str">
        <f>IFERROR(__xludf.DUMMYFUNCTION("""COMPUTED_VALUE"""),"")</f>
        <v/>
      </c>
      <c r="AZ727" s="1" t="str">
        <f>IFERROR(__xludf.DUMMYFUNCTION("""COMPUTED_VALUE"""),"")</f>
        <v/>
      </c>
      <c r="BB727" s="1" t="s">
        <v>104</v>
      </c>
      <c r="BC727" s="1" t="s">
        <v>104</v>
      </c>
      <c r="BE727" s="1" t="s">
        <v>104</v>
      </c>
      <c r="BG727" s="1" t="s">
        <v>104</v>
      </c>
      <c r="BH727" s="1" t="s">
        <v>104</v>
      </c>
      <c r="BI727" s="1" t="s">
        <v>104</v>
      </c>
      <c r="BJ727" s="1" t="s">
        <v>104</v>
      </c>
      <c r="BK727" s="1" t="s">
        <v>104</v>
      </c>
      <c r="BL727" s="1" t="s">
        <v>104</v>
      </c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N728" s="1" t="s">
        <v>104</v>
      </c>
      <c r="AO728" s="1" t="s">
        <v>104</v>
      </c>
      <c r="AP728" s="1" t="s">
        <v>104</v>
      </c>
      <c r="AQ728" s="1" t="s">
        <v>104</v>
      </c>
      <c r="AR728" s="1" t="s">
        <v>104</v>
      </c>
      <c r="AS728" s="1" t="s">
        <v>104</v>
      </c>
      <c r="AU728" s="1" t="s">
        <v>104</v>
      </c>
      <c r="AV728" s="1" t="s">
        <v>104</v>
      </c>
      <c r="AX728" s="1" t="str">
        <f>IFERROR(__xludf.DUMMYFUNCTION("""COMPUTED_VALUE"""),"")</f>
        <v/>
      </c>
      <c r="AZ728" s="1" t="str">
        <f>IFERROR(__xludf.DUMMYFUNCTION("""COMPUTED_VALUE"""),"")</f>
        <v/>
      </c>
      <c r="BB728" s="1" t="s">
        <v>104</v>
      </c>
      <c r="BC728" s="1" t="s">
        <v>104</v>
      </c>
      <c r="BE728" s="1" t="s">
        <v>104</v>
      </c>
      <c r="BG728" s="1" t="s">
        <v>104</v>
      </c>
      <c r="BH728" s="1" t="s">
        <v>104</v>
      </c>
      <c r="BI728" s="1" t="s">
        <v>104</v>
      </c>
      <c r="BJ728" s="1" t="s">
        <v>104</v>
      </c>
      <c r="BK728" s="1" t="s">
        <v>104</v>
      </c>
      <c r="BL728" s="1" t="s">
        <v>104</v>
      </c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N729" s="1" t="s">
        <v>104</v>
      </c>
      <c r="AO729" s="1" t="s">
        <v>104</v>
      </c>
      <c r="AP729" s="1" t="s">
        <v>104</v>
      </c>
      <c r="AQ729" s="1" t="s">
        <v>104</v>
      </c>
      <c r="AR729" s="1" t="s">
        <v>104</v>
      </c>
      <c r="AS729" s="1" t="s">
        <v>104</v>
      </c>
      <c r="AU729" s="1" t="s">
        <v>104</v>
      </c>
      <c r="AV729" s="1" t="s">
        <v>104</v>
      </c>
      <c r="AX729" s="1" t="str">
        <f>IFERROR(__xludf.DUMMYFUNCTION("""COMPUTED_VALUE"""),"")</f>
        <v/>
      </c>
      <c r="AZ729" s="1" t="str">
        <f>IFERROR(__xludf.DUMMYFUNCTION("""COMPUTED_VALUE"""),"")</f>
        <v/>
      </c>
      <c r="BB729" s="1" t="s">
        <v>104</v>
      </c>
      <c r="BC729" s="1" t="s">
        <v>104</v>
      </c>
      <c r="BE729" s="1" t="s">
        <v>104</v>
      </c>
      <c r="BG729" s="1" t="s">
        <v>104</v>
      </c>
      <c r="BH729" s="1" t="s">
        <v>104</v>
      </c>
      <c r="BI729" s="1" t="s">
        <v>104</v>
      </c>
      <c r="BJ729" s="1" t="s">
        <v>104</v>
      </c>
      <c r="BK729" s="1" t="s">
        <v>104</v>
      </c>
      <c r="BL729" s="1" t="s">
        <v>104</v>
      </c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N730" s="1" t="s">
        <v>104</v>
      </c>
      <c r="AO730" s="1" t="s">
        <v>104</v>
      </c>
      <c r="AP730" s="1" t="s">
        <v>104</v>
      </c>
      <c r="AQ730" s="1" t="s">
        <v>104</v>
      </c>
      <c r="AR730" s="1" t="s">
        <v>104</v>
      </c>
      <c r="AS730" s="1" t="s">
        <v>104</v>
      </c>
      <c r="AU730" s="1" t="s">
        <v>104</v>
      </c>
      <c r="AV730" s="1" t="s">
        <v>104</v>
      </c>
      <c r="AX730" s="1" t="str">
        <f>IFERROR(__xludf.DUMMYFUNCTION("""COMPUTED_VALUE"""),"")</f>
        <v/>
      </c>
      <c r="AZ730" s="1" t="str">
        <f>IFERROR(__xludf.DUMMYFUNCTION("""COMPUTED_VALUE"""),"")</f>
        <v/>
      </c>
      <c r="BB730" s="1" t="s">
        <v>104</v>
      </c>
      <c r="BC730" s="1" t="s">
        <v>104</v>
      </c>
      <c r="BE730" s="1" t="s">
        <v>104</v>
      </c>
      <c r="BG730" s="1" t="s">
        <v>104</v>
      </c>
      <c r="BH730" s="1" t="s">
        <v>104</v>
      </c>
      <c r="BI730" s="1" t="s">
        <v>104</v>
      </c>
      <c r="BJ730" s="1" t="s">
        <v>104</v>
      </c>
      <c r="BK730" s="1" t="s">
        <v>104</v>
      </c>
      <c r="BL730" s="1" t="s">
        <v>104</v>
      </c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N731" s="1" t="s">
        <v>104</v>
      </c>
      <c r="AO731" s="1" t="s">
        <v>104</v>
      </c>
      <c r="AP731" s="1" t="s">
        <v>104</v>
      </c>
      <c r="AQ731" s="1" t="s">
        <v>104</v>
      </c>
      <c r="AR731" s="1" t="s">
        <v>104</v>
      </c>
      <c r="AS731" s="1" t="s">
        <v>104</v>
      </c>
      <c r="AU731" s="1" t="s">
        <v>104</v>
      </c>
      <c r="AV731" s="1" t="s">
        <v>104</v>
      </c>
      <c r="AX731" s="1" t="str">
        <f>IFERROR(__xludf.DUMMYFUNCTION("""COMPUTED_VALUE"""),"")</f>
        <v/>
      </c>
      <c r="AZ731" s="1" t="str">
        <f>IFERROR(__xludf.DUMMYFUNCTION("""COMPUTED_VALUE"""),"")</f>
        <v/>
      </c>
      <c r="BB731" s="1" t="s">
        <v>104</v>
      </c>
      <c r="BC731" s="1" t="s">
        <v>104</v>
      </c>
      <c r="BE731" s="1" t="s">
        <v>104</v>
      </c>
      <c r="BG731" s="1" t="s">
        <v>104</v>
      </c>
      <c r="BH731" s="1" t="s">
        <v>104</v>
      </c>
      <c r="BI731" s="1" t="s">
        <v>104</v>
      </c>
      <c r="BJ731" s="1" t="s">
        <v>104</v>
      </c>
      <c r="BK731" s="1" t="s">
        <v>104</v>
      </c>
      <c r="BL731" s="1" t="s">
        <v>104</v>
      </c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N732" s="1" t="s">
        <v>104</v>
      </c>
      <c r="AO732" s="1" t="s">
        <v>104</v>
      </c>
      <c r="AP732" s="1" t="s">
        <v>104</v>
      </c>
      <c r="AQ732" s="1" t="s">
        <v>104</v>
      </c>
      <c r="AR732" s="1" t="s">
        <v>104</v>
      </c>
      <c r="AS732" s="1" t="s">
        <v>104</v>
      </c>
      <c r="AU732" s="1" t="s">
        <v>104</v>
      </c>
      <c r="AV732" s="1" t="s">
        <v>104</v>
      </c>
      <c r="AX732" s="1" t="str">
        <f>IFERROR(__xludf.DUMMYFUNCTION("""COMPUTED_VALUE"""),"")</f>
        <v/>
      </c>
      <c r="AZ732" s="1" t="str">
        <f>IFERROR(__xludf.DUMMYFUNCTION("""COMPUTED_VALUE"""),"")</f>
        <v/>
      </c>
      <c r="BB732" s="1" t="s">
        <v>104</v>
      </c>
      <c r="BC732" s="1" t="s">
        <v>104</v>
      </c>
      <c r="BE732" s="1" t="s">
        <v>104</v>
      </c>
      <c r="BG732" s="1" t="s">
        <v>104</v>
      </c>
      <c r="BH732" s="1" t="s">
        <v>104</v>
      </c>
      <c r="BI732" s="1" t="s">
        <v>104</v>
      </c>
      <c r="BJ732" s="1" t="s">
        <v>104</v>
      </c>
      <c r="BK732" s="1" t="s">
        <v>104</v>
      </c>
      <c r="BL732" s="1" t="s">
        <v>104</v>
      </c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N733" s="1" t="s">
        <v>104</v>
      </c>
      <c r="AO733" s="1" t="s">
        <v>104</v>
      </c>
      <c r="AP733" s="1" t="s">
        <v>104</v>
      </c>
      <c r="AQ733" s="1" t="s">
        <v>104</v>
      </c>
      <c r="AR733" s="1" t="s">
        <v>104</v>
      </c>
      <c r="AS733" s="1" t="s">
        <v>104</v>
      </c>
      <c r="AU733" s="1" t="s">
        <v>104</v>
      </c>
      <c r="AV733" s="1" t="s">
        <v>104</v>
      </c>
      <c r="AX733" s="1" t="str">
        <f>IFERROR(__xludf.DUMMYFUNCTION("""COMPUTED_VALUE"""),"")</f>
        <v/>
      </c>
      <c r="AZ733" s="1" t="str">
        <f>IFERROR(__xludf.DUMMYFUNCTION("""COMPUTED_VALUE"""),"")</f>
        <v/>
      </c>
      <c r="BB733" s="1" t="s">
        <v>104</v>
      </c>
      <c r="BC733" s="1" t="s">
        <v>104</v>
      </c>
      <c r="BE733" s="1" t="s">
        <v>104</v>
      </c>
      <c r="BG733" s="1" t="s">
        <v>104</v>
      </c>
      <c r="BH733" s="1" t="s">
        <v>104</v>
      </c>
      <c r="BI733" s="1" t="s">
        <v>104</v>
      </c>
      <c r="BJ733" s="1" t="s">
        <v>104</v>
      </c>
      <c r="BK733" s="1" t="s">
        <v>104</v>
      </c>
      <c r="BL733" s="1" t="s">
        <v>104</v>
      </c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N734" s="1" t="s">
        <v>104</v>
      </c>
      <c r="AO734" s="1" t="s">
        <v>104</v>
      </c>
      <c r="AP734" s="1" t="s">
        <v>104</v>
      </c>
      <c r="AQ734" s="1" t="s">
        <v>104</v>
      </c>
      <c r="AR734" s="1" t="s">
        <v>104</v>
      </c>
      <c r="AS734" s="1" t="s">
        <v>104</v>
      </c>
      <c r="AU734" s="1" t="s">
        <v>104</v>
      </c>
      <c r="AV734" s="1" t="s">
        <v>104</v>
      </c>
      <c r="AX734" s="1" t="str">
        <f>IFERROR(__xludf.DUMMYFUNCTION("""COMPUTED_VALUE"""),"")</f>
        <v/>
      </c>
      <c r="AZ734" s="1" t="str">
        <f>IFERROR(__xludf.DUMMYFUNCTION("""COMPUTED_VALUE"""),"")</f>
        <v/>
      </c>
      <c r="BB734" s="1" t="s">
        <v>104</v>
      </c>
      <c r="BC734" s="1" t="s">
        <v>104</v>
      </c>
      <c r="BE734" s="1" t="s">
        <v>104</v>
      </c>
      <c r="BG734" s="1" t="s">
        <v>104</v>
      </c>
      <c r="BH734" s="1" t="s">
        <v>104</v>
      </c>
      <c r="BI734" s="1" t="s">
        <v>104</v>
      </c>
      <c r="BJ734" s="1" t="s">
        <v>104</v>
      </c>
      <c r="BK734" s="1" t="s">
        <v>104</v>
      </c>
      <c r="BL734" s="1" t="s">
        <v>104</v>
      </c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N735" s="1" t="s">
        <v>104</v>
      </c>
      <c r="AO735" s="1" t="s">
        <v>104</v>
      </c>
      <c r="AP735" s="1" t="s">
        <v>104</v>
      </c>
      <c r="AQ735" s="1" t="s">
        <v>104</v>
      </c>
      <c r="AR735" s="1" t="s">
        <v>104</v>
      </c>
      <c r="AS735" s="1" t="s">
        <v>104</v>
      </c>
      <c r="AU735" s="1" t="s">
        <v>104</v>
      </c>
      <c r="AV735" s="1" t="s">
        <v>104</v>
      </c>
      <c r="AX735" s="1" t="str">
        <f>IFERROR(__xludf.DUMMYFUNCTION("""COMPUTED_VALUE"""),"")</f>
        <v/>
      </c>
      <c r="AZ735" s="1" t="str">
        <f>IFERROR(__xludf.DUMMYFUNCTION("""COMPUTED_VALUE"""),"")</f>
        <v/>
      </c>
      <c r="BB735" s="1" t="s">
        <v>104</v>
      </c>
      <c r="BC735" s="1" t="s">
        <v>104</v>
      </c>
      <c r="BE735" s="1" t="s">
        <v>104</v>
      </c>
      <c r="BG735" s="1" t="s">
        <v>104</v>
      </c>
      <c r="BH735" s="1" t="s">
        <v>104</v>
      </c>
      <c r="BI735" s="1" t="s">
        <v>104</v>
      </c>
      <c r="BJ735" s="1" t="s">
        <v>104</v>
      </c>
      <c r="BK735" s="1" t="s">
        <v>104</v>
      </c>
      <c r="BL735" s="1" t="s">
        <v>104</v>
      </c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N736" s="1" t="s">
        <v>104</v>
      </c>
      <c r="AO736" s="1" t="s">
        <v>104</v>
      </c>
      <c r="AP736" s="1" t="s">
        <v>104</v>
      </c>
      <c r="AQ736" s="1" t="s">
        <v>104</v>
      </c>
      <c r="AR736" s="1" t="s">
        <v>104</v>
      </c>
      <c r="AS736" s="1" t="s">
        <v>104</v>
      </c>
      <c r="AU736" s="1" t="s">
        <v>104</v>
      </c>
      <c r="AV736" s="1" t="s">
        <v>104</v>
      </c>
      <c r="AX736" s="1" t="str">
        <f>IFERROR(__xludf.DUMMYFUNCTION("""COMPUTED_VALUE"""),"")</f>
        <v/>
      </c>
      <c r="AZ736" s="1" t="str">
        <f>IFERROR(__xludf.DUMMYFUNCTION("""COMPUTED_VALUE"""),"")</f>
        <v/>
      </c>
      <c r="BB736" s="1" t="s">
        <v>104</v>
      </c>
      <c r="BC736" s="1" t="s">
        <v>104</v>
      </c>
      <c r="BE736" s="1" t="s">
        <v>104</v>
      </c>
      <c r="BG736" s="1" t="s">
        <v>104</v>
      </c>
      <c r="BH736" s="1" t="s">
        <v>104</v>
      </c>
      <c r="BI736" s="1" t="s">
        <v>104</v>
      </c>
      <c r="BJ736" s="1" t="s">
        <v>104</v>
      </c>
      <c r="BK736" s="1" t="s">
        <v>104</v>
      </c>
      <c r="BL736" s="1" t="s">
        <v>104</v>
      </c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N737" s="1" t="s">
        <v>104</v>
      </c>
      <c r="AO737" s="1" t="s">
        <v>104</v>
      </c>
      <c r="AP737" s="1" t="s">
        <v>104</v>
      </c>
      <c r="AQ737" s="1" t="s">
        <v>104</v>
      </c>
      <c r="AR737" s="1" t="s">
        <v>104</v>
      </c>
      <c r="AS737" s="1" t="s">
        <v>104</v>
      </c>
      <c r="AU737" s="1" t="s">
        <v>104</v>
      </c>
      <c r="AV737" s="1" t="s">
        <v>104</v>
      </c>
      <c r="AX737" s="1" t="str">
        <f>IFERROR(__xludf.DUMMYFUNCTION("""COMPUTED_VALUE"""),"")</f>
        <v/>
      </c>
      <c r="AZ737" s="1" t="str">
        <f>IFERROR(__xludf.DUMMYFUNCTION("""COMPUTED_VALUE"""),"")</f>
        <v/>
      </c>
      <c r="BB737" s="1" t="s">
        <v>104</v>
      </c>
      <c r="BC737" s="1" t="s">
        <v>104</v>
      </c>
      <c r="BE737" s="1" t="s">
        <v>104</v>
      </c>
      <c r="BG737" s="1" t="s">
        <v>104</v>
      </c>
      <c r="BH737" s="1" t="s">
        <v>104</v>
      </c>
      <c r="BI737" s="1" t="s">
        <v>104</v>
      </c>
      <c r="BJ737" s="1" t="s">
        <v>104</v>
      </c>
      <c r="BK737" s="1" t="s">
        <v>104</v>
      </c>
      <c r="BL737" s="1" t="s">
        <v>104</v>
      </c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N738" s="1" t="s">
        <v>104</v>
      </c>
      <c r="AO738" s="1" t="s">
        <v>104</v>
      </c>
      <c r="AP738" s="1" t="s">
        <v>104</v>
      </c>
      <c r="AQ738" s="1" t="s">
        <v>104</v>
      </c>
      <c r="AR738" s="1" t="s">
        <v>104</v>
      </c>
      <c r="AS738" s="1" t="s">
        <v>104</v>
      </c>
      <c r="AU738" s="1" t="s">
        <v>104</v>
      </c>
      <c r="AV738" s="1" t="s">
        <v>104</v>
      </c>
      <c r="AX738" s="1" t="str">
        <f>IFERROR(__xludf.DUMMYFUNCTION("""COMPUTED_VALUE"""),"")</f>
        <v/>
      </c>
      <c r="AZ738" s="1" t="str">
        <f>IFERROR(__xludf.DUMMYFUNCTION("""COMPUTED_VALUE"""),"")</f>
        <v/>
      </c>
      <c r="BB738" s="1" t="s">
        <v>104</v>
      </c>
      <c r="BC738" s="1" t="s">
        <v>104</v>
      </c>
      <c r="BE738" s="1" t="s">
        <v>104</v>
      </c>
      <c r="BG738" s="1" t="s">
        <v>104</v>
      </c>
      <c r="BH738" s="1" t="s">
        <v>104</v>
      </c>
      <c r="BI738" s="1" t="s">
        <v>104</v>
      </c>
      <c r="BJ738" s="1" t="s">
        <v>104</v>
      </c>
      <c r="BK738" s="1" t="s">
        <v>104</v>
      </c>
      <c r="BL738" s="1" t="s">
        <v>104</v>
      </c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N739" s="1" t="s">
        <v>104</v>
      </c>
      <c r="AO739" s="1" t="s">
        <v>104</v>
      </c>
      <c r="AP739" s="1" t="s">
        <v>104</v>
      </c>
      <c r="AQ739" s="1" t="s">
        <v>104</v>
      </c>
      <c r="AR739" s="1" t="s">
        <v>104</v>
      </c>
      <c r="AS739" s="1" t="s">
        <v>104</v>
      </c>
      <c r="AU739" s="1" t="s">
        <v>104</v>
      </c>
      <c r="AV739" s="1" t="s">
        <v>104</v>
      </c>
      <c r="AX739" s="1" t="str">
        <f>IFERROR(__xludf.DUMMYFUNCTION("""COMPUTED_VALUE"""),"")</f>
        <v/>
      </c>
      <c r="AZ739" s="1" t="str">
        <f>IFERROR(__xludf.DUMMYFUNCTION("""COMPUTED_VALUE"""),"")</f>
        <v/>
      </c>
      <c r="BB739" s="1" t="s">
        <v>104</v>
      </c>
      <c r="BC739" s="1" t="s">
        <v>104</v>
      </c>
      <c r="BE739" s="1" t="s">
        <v>104</v>
      </c>
      <c r="BG739" s="1" t="s">
        <v>104</v>
      </c>
      <c r="BH739" s="1" t="s">
        <v>104</v>
      </c>
      <c r="BI739" s="1" t="s">
        <v>104</v>
      </c>
      <c r="BJ739" s="1" t="s">
        <v>104</v>
      </c>
      <c r="BK739" s="1" t="s">
        <v>104</v>
      </c>
      <c r="BL739" s="1" t="s">
        <v>104</v>
      </c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N740" s="1" t="s">
        <v>104</v>
      </c>
      <c r="AO740" s="1" t="s">
        <v>104</v>
      </c>
      <c r="AP740" s="1" t="s">
        <v>104</v>
      </c>
      <c r="AQ740" s="1" t="s">
        <v>104</v>
      </c>
      <c r="AR740" s="1" t="s">
        <v>104</v>
      </c>
      <c r="AS740" s="1" t="s">
        <v>104</v>
      </c>
      <c r="AU740" s="1" t="s">
        <v>104</v>
      </c>
      <c r="AV740" s="1" t="s">
        <v>104</v>
      </c>
      <c r="AX740" s="1" t="str">
        <f>IFERROR(__xludf.DUMMYFUNCTION("""COMPUTED_VALUE"""),"")</f>
        <v/>
      </c>
      <c r="AZ740" s="1" t="str">
        <f>IFERROR(__xludf.DUMMYFUNCTION("""COMPUTED_VALUE"""),"")</f>
        <v/>
      </c>
      <c r="BB740" s="1" t="s">
        <v>104</v>
      </c>
      <c r="BC740" s="1" t="s">
        <v>104</v>
      </c>
      <c r="BE740" s="1" t="s">
        <v>104</v>
      </c>
      <c r="BG740" s="1" t="s">
        <v>104</v>
      </c>
      <c r="BH740" s="1" t="s">
        <v>104</v>
      </c>
      <c r="BI740" s="1" t="s">
        <v>104</v>
      </c>
      <c r="BJ740" s="1" t="s">
        <v>104</v>
      </c>
      <c r="BK740" s="1" t="s">
        <v>104</v>
      </c>
      <c r="BL740" s="1" t="s">
        <v>104</v>
      </c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N741" s="1" t="s">
        <v>104</v>
      </c>
      <c r="AO741" s="1" t="s">
        <v>104</v>
      </c>
      <c r="AP741" s="1" t="s">
        <v>104</v>
      </c>
      <c r="AQ741" s="1" t="s">
        <v>104</v>
      </c>
      <c r="AR741" s="1" t="s">
        <v>104</v>
      </c>
      <c r="AS741" s="1" t="s">
        <v>104</v>
      </c>
      <c r="AU741" s="1" t="s">
        <v>104</v>
      </c>
      <c r="AV741" s="1" t="s">
        <v>104</v>
      </c>
      <c r="AX741" s="1" t="str">
        <f>IFERROR(__xludf.DUMMYFUNCTION("""COMPUTED_VALUE"""),"")</f>
        <v/>
      </c>
      <c r="AZ741" s="1" t="str">
        <f>IFERROR(__xludf.DUMMYFUNCTION("""COMPUTED_VALUE"""),"")</f>
        <v/>
      </c>
      <c r="BB741" s="1" t="s">
        <v>104</v>
      </c>
      <c r="BC741" s="1" t="s">
        <v>104</v>
      </c>
      <c r="BE741" s="1" t="s">
        <v>104</v>
      </c>
      <c r="BG741" s="1" t="s">
        <v>104</v>
      </c>
      <c r="BH741" s="1" t="s">
        <v>104</v>
      </c>
      <c r="BI741" s="1" t="s">
        <v>104</v>
      </c>
      <c r="BJ741" s="1" t="s">
        <v>104</v>
      </c>
      <c r="BK741" s="1" t="s">
        <v>104</v>
      </c>
      <c r="BL741" s="1" t="s">
        <v>104</v>
      </c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N742" s="1" t="s">
        <v>104</v>
      </c>
      <c r="AO742" s="1" t="s">
        <v>104</v>
      </c>
      <c r="AP742" s="1" t="s">
        <v>104</v>
      </c>
      <c r="AQ742" s="1" t="s">
        <v>104</v>
      </c>
      <c r="AR742" s="1" t="s">
        <v>104</v>
      </c>
      <c r="AS742" s="1" t="s">
        <v>104</v>
      </c>
      <c r="AU742" s="1" t="s">
        <v>104</v>
      </c>
      <c r="AV742" s="1" t="s">
        <v>104</v>
      </c>
      <c r="AX742" s="1" t="str">
        <f>IFERROR(__xludf.DUMMYFUNCTION("""COMPUTED_VALUE"""),"")</f>
        <v/>
      </c>
      <c r="AZ742" s="1" t="str">
        <f>IFERROR(__xludf.DUMMYFUNCTION("""COMPUTED_VALUE"""),"")</f>
        <v/>
      </c>
      <c r="BB742" s="1" t="s">
        <v>104</v>
      </c>
      <c r="BC742" s="1" t="s">
        <v>104</v>
      </c>
      <c r="BE742" s="1" t="s">
        <v>104</v>
      </c>
      <c r="BG742" s="1" t="s">
        <v>104</v>
      </c>
      <c r="BH742" s="1" t="s">
        <v>104</v>
      </c>
      <c r="BI742" s="1" t="s">
        <v>104</v>
      </c>
      <c r="BJ742" s="1" t="s">
        <v>104</v>
      </c>
      <c r="BK742" s="1" t="s">
        <v>104</v>
      </c>
      <c r="BL742" s="1" t="s">
        <v>104</v>
      </c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N743" s="1" t="s">
        <v>104</v>
      </c>
      <c r="AO743" s="1" t="s">
        <v>104</v>
      </c>
      <c r="AP743" s="1" t="s">
        <v>104</v>
      </c>
      <c r="AQ743" s="1" t="s">
        <v>104</v>
      </c>
      <c r="AR743" s="1" t="s">
        <v>104</v>
      </c>
      <c r="AS743" s="1" t="s">
        <v>104</v>
      </c>
      <c r="AU743" s="1" t="s">
        <v>104</v>
      </c>
      <c r="AV743" s="1" t="s">
        <v>104</v>
      </c>
      <c r="AX743" s="1" t="str">
        <f>IFERROR(__xludf.DUMMYFUNCTION("""COMPUTED_VALUE"""),"")</f>
        <v/>
      </c>
      <c r="AZ743" s="1" t="str">
        <f>IFERROR(__xludf.DUMMYFUNCTION("""COMPUTED_VALUE"""),"")</f>
        <v/>
      </c>
      <c r="BB743" s="1" t="s">
        <v>104</v>
      </c>
      <c r="BC743" s="1" t="s">
        <v>104</v>
      </c>
      <c r="BE743" s="1" t="s">
        <v>104</v>
      </c>
      <c r="BG743" s="1" t="s">
        <v>104</v>
      </c>
      <c r="BH743" s="1" t="s">
        <v>104</v>
      </c>
      <c r="BI743" s="1" t="s">
        <v>104</v>
      </c>
      <c r="BJ743" s="1" t="s">
        <v>104</v>
      </c>
      <c r="BK743" s="1" t="s">
        <v>104</v>
      </c>
      <c r="BL743" s="1" t="s">
        <v>104</v>
      </c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N744" s="1" t="s">
        <v>104</v>
      </c>
      <c r="AO744" s="1" t="s">
        <v>104</v>
      </c>
      <c r="AP744" s="1" t="s">
        <v>104</v>
      </c>
      <c r="AQ744" s="1" t="s">
        <v>104</v>
      </c>
      <c r="AR744" s="1" t="s">
        <v>104</v>
      </c>
      <c r="AS744" s="1" t="s">
        <v>104</v>
      </c>
      <c r="AU744" s="1" t="s">
        <v>104</v>
      </c>
      <c r="AV744" s="1" t="s">
        <v>104</v>
      </c>
      <c r="AX744" s="1" t="str">
        <f>IFERROR(__xludf.DUMMYFUNCTION("""COMPUTED_VALUE"""),"")</f>
        <v/>
      </c>
      <c r="AZ744" s="1" t="str">
        <f>IFERROR(__xludf.DUMMYFUNCTION("""COMPUTED_VALUE"""),"")</f>
        <v/>
      </c>
      <c r="BB744" s="1" t="s">
        <v>104</v>
      </c>
      <c r="BC744" s="1" t="s">
        <v>104</v>
      </c>
      <c r="BE744" s="1" t="s">
        <v>104</v>
      </c>
      <c r="BG744" s="1" t="s">
        <v>104</v>
      </c>
      <c r="BH744" s="1" t="s">
        <v>104</v>
      </c>
      <c r="BI744" s="1" t="s">
        <v>104</v>
      </c>
      <c r="BJ744" s="1" t="s">
        <v>104</v>
      </c>
      <c r="BK744" s="1" t="s">
        <v>104</v>
      </c>
      <c r="BL744" s="1" t="s">
        <v>104</v>
      </c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N745" s="1" t="s">
        <v>104</v>
      </c>
      <c r="AO745" s="1" t="s">
        <v>104</v>
      </c>
      <c r="AP745" s="1" t="s">
        <v>104</v>
      </c>
      <c r="AQ745" s="1" t="s">
        <v>104</v>
      </c>
      <c r="AR745" s="1" t="s">
        <v>104</v>
      </c>
      <c r="AS745" s="1" t="s">
        <v>104</v>
      </c>
      <c r="AU745" s="1" t="s">
        <v>104</v>
      </c>
      <c r="AV745" s="1" t="s">
        <v>104</v>
      </c>
      <c r="AX745" s="1" t="str">
        <f>IFERROR(__xludf.DUMMYFUNCTION("""COMPUTED_VALUE"""),"")</f>
        <v/>
      </c>
      <c r="AZ745" s="1" t="str">
        <f>IFERROR(__xludf.DUMMYFUNCTION("""COMPUTED_VALUE"""),"")</f>
        <v/>
      </c>
      <c r="BB745" s="1" t="s">
        <v>104</v>
      </c>
      <c r="BC745" s="1" t="s">
        <v>104</v>
      </c>
      <c r="BE745" s="1" t="s">
        <v>104</v>
      </c>
      <c r="BG745" s="1" t="s">
        <v>104</v>
      </c>
      <c r="BH745" s="1" t="s">
        <v>104</v>
      </c>
      <c r="BI745" s="1" t="s">
        <v>104</v>
      </c>
      <c r="BJ745" s="1" t="s">
        <v>104</v>
      </c>
      <c r="BK745" s="1" t="s">
        <v>104</v>
      </c>
      <c r="BL745" s="1" t="s">
        <v>104</v>
      </c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N746" s="1" t="s">
        <v>104</v>
      </c>
      <c r="AO746" s="1" t="s">
        <v>104</v>
      </c>
      <c r="AP746" s="1" t="s">
        <v>104</v>
      </c>
      <c r="AQ746" s="1" t="s">
        <v>104</v>
      </c>
      <c r="AR746" s="1" t="s">
        <v>104</v>
      </c>
      <c r="AS746" s="1" t="s">
        <v>104</v>
      </c>
      <c r="AU746" s="1" t="s">
        <v>104</v>
      </c>
      <c r="AV746" s="1" t="s">
        <v>104</v>
      </c>
      <c r="AX746" s="1" t="str">
        <f>IFERROR(__xludf.DUMMYFUNCTION("""COMPUTED_VALUE"""),"")</f>
        <v/>
      </c>
      <c r="AZ746" s="1" t="str">
        <f>IFERROR(__xludf.DUMMYFUNCTION("""COMPUTED_VALUE"""),"")</f>
        <v/>
      </c>
      <c r="BB746" s="1" t="s">
        <v>104</v>
      </c>
      <c r="BC746" s="1" t="s">
        <v>104</v>
      </c>
      <c r="BE746" s="1" t="s">
        <v>104</v>
      </c>
      <c r="BG746" s="1" t="s">
        <v>104</v>
      </c>
      <c r="BH746" s="1" t="s">
        <v>104</v>
      </c>
      <c r="BI746" s="1" t="s">
        <v>104</v>
      </c>
      <c r="BJ746" s="1" t="s">
        <v>104</v>
      </c>
      <c r="BK746" s="1" t="s">
        <v>104</v>
      </c>
      <c r="BL746" s="1" t="s">
        <v>104</v>
      </c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N747" s="1" t="s">
        <v>104</v>
      </c>
      <c r="AO747" s="1" t="s">
        <v>104</v>
      </c>
      <c r="AP747" s="1" t="s">
        <v>104</v>
      </c>
      <c r="AQ747" s="1" t="s">
        <v>104</v>
      </c>
      <c r="AR747" s="1" t="s">
        <v>104</v>
      </c>
      <c r="AS747" s="1" t="s">
        <v>104</v>
      </c>
      <c r="AU747" s="1" t="s">
        <v>104</v>
      </c>
      <c r="AV747" s="1" t="s">
        <v>104</v>
      </c>
      <c r="AX747" s="1" t="str">
        <f>IFERROR(__xludf.DUMMYFUNCTION("""COMPUTED_VALUE"""),"")</f>
        <v/>
      </c>
      <c r="AZ747" s="1" t="str">
        <f>IFERROR(__xludf.DUMMYFUNCTION("""COMPUTED_VALUE"""),"")</f>
        <v/>
      </c>
      <c r="BB747" s="1" t="s">
        <v>104</v>
      </c>
      <c r="BC747" s="1" t="s">
        <v>104</v>
      </c>
      <c r="BE747" s="1" t="s">
        <v>104</v>
      </c>
      <c r="BG747" s="1" t="s">
        <v>104</v>
      </c>
      <c r="BH747" s="1" t="s">
        <v>104</v>
      </c>
      <c r="BI747" s="1" t="s">
        <v>104</v>
      </c>
      <c r="BJ747" s="1" t="s">
        <v>104</v>
      </c>
      <c r="BK747" s="1" t="s">
        <v>104</v>
      </c>
      <c r="BL747" s="1" t="s">
        <v>104</v>
      </c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N748" s="1" t="s">
        <v>104</v>
      </c>
      <c r="AO748" s="1" t="s">
        <v>104</v>
      </c>
      <c r="AP748" s="1" t="s">
        <v>104</v>
      </c>
      <c r="AQ748" s="1" t="s">
        <v>104</v>
      </c>
      <c r="AR748" s="1" t="s">
        <v>104</v>
      </c>
      <c r="AS748" s="1" t="s">
        <v>104</v>
      </c>
      <c r="AU748" s="1" t="s">
        <v>104</v>
      </c>
      <c r="AV748" s="1" t="s">
        <v>104</v>
      </c>
      <c r="AX748" s="1" t="str">
        <f>IFERROR(__xludf.DUMMYFUNCTION("""COMPUTED_VALUE"""),"")</f>
        <v/>
      </c>
      <c r="AZ748" s="1" t="str">
        <f>IFERROR(__xludf.DUMMYFUNCTION("""COMPUTED_VALUE"""),"")</f>
        <v/>
      </c>
      <c r="BB748" s="1" t="s">
        <v>104</v>
      </c>
      <c r="BC748" s="1" t="s">
        <v>104</v>
      </c>
      <c r="BE748" s="1" t="s">
        <v>104</v>
      </c>
      <c r="BG748" s="1" t="s">
        <v>104</v>
      </c>
      <c r="BH748" s="1" t="s">
        <v>104</v>
      </c>
      <c r="BI748" s="1" t="s">
        <v>104</v>
      </c>
      <c r="BJ748" s="1" t="s">
        <v>104</v>
      </c>
      <c r="BK748" s="1" t="s">
        <v>104</v>
      </c>
      <c r="BL748" s="1" t="s">
        <v>104</v>
      </c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N749" s="1" t="s">
        <v>104</v>
      </c>
      <c r="AO749" s="1" t="s">
        <v>104</v>
      </c>
      <c r="AP749" s="1" t="s">
        <v>104</v>
      </c>
      <c r="AQ749" s="1" t="s">
        <v>104</v>
      </c>
      <c r="AR749" s="1" t="s">
        <v>104</v>
      </c>
      <c r="AS749" s="1" t="s">
        <v>104</v>
      </c>
      <c r="AU749" s="1" t="s">
        <v>104</v>
      </c>
      <c r="AV749" s="1" t="s">
        <v>104</v>
      </c>
      <c r="AX749" s="1" t="str">
        <f>IFERROR(__xludf.DUMMYFUNCTION("""COMPUTED_VALUE"""),"")</f>
        <v/>
      </c>
      <c r="AZ749" s="1" t="str">
        <f>IFERROR(__xludf.DUMMYFUNCTION("""COMPUTED_VALUE"""),"")</f>
        <v/>
      </c>
      <c r="BB749" s="1" t="s">
        <v>104</v>
      </c>
      <c r="BC749" s="1" t="s">
        <v>104</v>
      </c>
      <c r="BE749" s="1" t="s">
        <v>104</v>
      </c>
      <c r="BG749" s="1" t="s">
        <v>104</v>
      </c>
      <c r="BH749" s="1" t="s">
        <v>104</v>
      </c>
      <c r="BI749" s="1" t="s">
        <v>104</v>
      </c>
      <c r="BJ749" s="1" t="s">
        <v>104</v>
      </c>
      <c r="BK749" s="1" t="s">
        <v>104</v>
      </c>
      <c r="BL749" s="1" t="s">
        <v>104</v>
      </c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N750" s="1" t="s">
        <v>104</v>
      </c>
      <c r="AO750" s="1" t="s">
        <v>104</v>
      </c>
      <c r="AP750" s="1" t="s">
        <v>104</v>
      </c>
      <c r="AQ750" s="1" t="s">
        <v>104</v>
      </c>
      <c r="AR750" s="1" t="s">
        <v>104</v>
      </c>
      <c r="AS750" s="1" t="s">
        <v>104</v>
      </c>
      <c r="AU750" s="1" t="s">
        <v>104</v>
      </c>
      <c r="AV750" s="1" t="s">
        <v>104</v>
      </c>
      <c r="AX750" s="1" t="str">
        <f>IFERROR(__xludf.DUMMYFUNCTION("""COMPUTED_VALUE"""),"")</f>
        <v/>
      </c>
      <c r="AZ750" s="1" t="str">
        <f>IFERROR(__xludf.DUMMYFUNCTION("""COMPUTED_VALUE"""),"")</f>
        <v/>
      </c>
      <c r="BB750" s="1" t="s">
        <v>104</v>
      </c>
      <c r="BC750" s="1" t="s">
        <v>104</v>
      </c>
      <c r="BE750" s="1" t="s">
        <v>104</v>
      </c>
      <c r="BG750" s="1" t="s">
        <v>104</v>
      </c>
      <c r="BH750" s="1" t="s">
        <v>104</v>
      </c>
      <c r="BI750" s="1" t="s">
        <v>104</v>
      </c>
      <c r="BJ750" s="1" t="s">
        <v>104</v>
      </c>
      <c r="BK750" s="1" t="s">
        <v>104</v>
      </c>
      <c r="BL750" s="1" t="s">
        <v>104</v>
      </c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N751" s="1" t="s">
        <v>104</v>
      </c>
      <c r="AO751" s="1" t="s">
        <v>104</v>
      </c>
      <c r="AP751" s="1" t="s">
        <v>104</v>
      </c>
      <c r="AQ751" s="1" t="s">
        <v>104</v>
      </c>
      <c r="AR751" s="1" t="s">
        <v>104</v>
      </c>
      <c r="AS751" s="1" t="s">
        <v>104</v>
      </c>
      <c r="AU751" s="1" t="s">
        <v>104</v>
      </c>
      <c r="AV751" s="1" t="s">
        <v>104</v>
      </c>
      <c r="AX751" s="1" t="str">
        <f>IFERROR(__xludf.DUMMYFUNCTION("""COMPUTED_VALUE"""),"")</f>
        <v/>
      </c>
      <c r="AZ751" s="1" t="str">
        <f>IFERROR(__xludf.DUMMYFUNCTION("""COMPUTED_VALUE"""),"")</f>
        <v/>
      </c>
      <c r="BB751" s="1" t="s">
        <v>104</v>
      </c>
      <c r="BC751" s="1" t="s">
        <v>104</v>
      </c>
      <c r="BE751" s="1" t="s">
        <v>104</v>
      </c>
      <c r="BG751" s="1" t="s">
        <v>104</v>
      </c>
      <c r="BH751" s="1" t="s">
        <v>104</v>
      </c>
      <c r="BI751" s="1" t="s">
        <v>104</v>
      </c>
      <c r="BJ751" s="1" t="s">
        <v>104</v>
      </c>
      <c r="BK751" s="1" t="s">
        <v>104</v>
      </c>
      <c r="BL751" s="1" t="s">
        <v>104</v>
      </c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N752" s="1" t="s">
        <v>104</v>
      </c>
      <c r="AO752" s="1" t="s">
        <v>104</v>
      </c>
      <c r="AP752" s="1" t="s">
        <v>104</v>
      </c>
      <c r="AQ752" s="1" t="s">
        <v>104</v>
      </c>
      <c r="AR752" s="1" t="s">
        <v>104</v>
      </c>
      <c r="AS752" s="1" t="s">
        <v>104</v>
      </c>
      <c r="AU752" s="1" t="s">
        <v>104</v>
      </c>
      <c r="AV752" s="1" t="s">
        <v>104</v>
      </c>
      <c r="AX752" s="1" t="str">
        <f>IFERROR(__xludf.DUMMYFUNCTION("""COMPUTED_VALUE"""),"")</f>
        <v/>
      </c>
      <c r="AZ752" s="1" t="str">
        <f>IFERROR(__xludf.DUMMYFUNCTION("""COMPUTED_VALUE"""),"")</f>
        <v/>
      </c>
      <c r="BB752" s="1" t="s">
        <v>104</v>
      </c>
      <c r="BC752" s="1" t="s">
        <v>104</v>
      </c>
      <c r="BE752" s="1" t="s">
        <v>104</v>
      </c>
      <c r="BG752" s="1" t="s">
        <v>104</v>
      </c>
      <c r="BH752" s="1" t="s">
        <v>104</v>
      </c>
      <c r="BI752" s="1" t="s">
        <v>104</v>
      </c>
      <c r="BJ752" s="1" t="s">
        <v>104</v>
      </c>
      <c r="BK752" s="1" t="s">
        <v>104</v>
      </c>
      <c r="BL752" s="1" t="s">
        <v>104</v>
      </c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N753" s="1" t="s">
        <v>104</v>
      </c>
      <c r="AO753" s="1" t="s">
        <v>104</v>
      </c>
      <c r="AP753" s="1" t="s">
        <v>104</v>
      </c>
      <c r="AQ753" s="1" t="s">
        <v>104</v>
      </c>
      <c r="AR753" s="1" t="s">
        <v>104</v>
      </c>
      <c r="AS753" s="1" t="s">
        <v>104</v>
      </c>
      <c r="AU753" s="1" t="s">
        <v>104</v>
      </c>
      <c r="AV753" s="1" t="s">
        <v>104</v>
      </c>
      <c r="AX753" s="1" t="str">
        <f>IFERROR(__xludf.DUMMYFUNCTION("""COMPUTED_VALUE"""),"")</f>
        <v/>
      </c>
      <c r="AZ753" s="1" t="str">
        <f>IFERROR(__xludf.DUMMYFUNCTION("""COMPUTED_VALUE"""),"")</f>
        <v/>
      </c>
      <c r="BB753" s="1" t="s">
        <v>104</v>
      </c>
      <c r="BC753" s="1" t="s">
        <v>104</v>
      </c>
      <c r="BE753" s="1" t="s">
        <v>104</v>
      </c>
      <c r="BG753" s="1" t="s">
        <v>104</v>
      </c>
      <c r="BH753" s="1" t="s">
        <v>104</v>
      </c>
      <c r="BI753" s="1" t="s">
        <v>104</v>
      </c>
      <c r="BJ753" s="1" t="s">
        <v>104</v>
      </c>
      <c r="BK753" s="1" t="s">
        <v>104</v>
      </c>
      <c r="BL753" s="1" t="s">
        <v>104</v>
      </c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N754" s="1" t="s">
        <v>104</v>
      </c>
      <c r="AO754" s="1" t="s">
        <v>104</v>
      </c>
      <c r="AP754" s="1" t="s">
        <v>104</v>
      </c>
      <c r="AQ754" s="1" t="s">
        <v>104</v>
      </c>
      <c r="AR754" s="1" t="s">
        <v>104</v>
      </c>
      <c r="AS754" s="1" t="s">
        <v>104</v>
      </c>
      <c r="AU754" s="1" t="s">
        <v>104</v>
      </c>
      <c r="AV754" s="1" t="s">
        <v>104</v>
      </c>
      <c r="AX754" s="1" t="str">
        <f>IFERROR(__xludf.DUMMYFUNCTION("""COMPUTED_VALUE"""),"")</f>
        <v/>
      </c>
      <c r="AZ754" s="1" t="str">
        <f>IFERROR(__xludf.DUMMYFUNCTION("""COMPUTED_VALUE"""),"")</f>
        <v/>
      </c>
      <c r="BB754" s="1" t="s">
        <v>104</v>
      </c>
      <c r="BC754" s="1" t="s">
        <v>104</v>
      </c>
      <c r="BE754" s="1" t="s">
        <v>104</v>
      </c>
      <c r="BG754" s="1" t="s">
        <v>104</v>
      </c>
      <c r="BH754" s="1" t="s">
        <v>104</v>
      </c>
      <c r="BI754" s="1" t="s">
        <v>104</v>
      </c>
      <c r="BJ754" s="1" t="s">
        <v>104</v>
      </c>
      <c r="BK754" s="1" t="s">
        <v>104</v>
      </c>
      <c r="BL754" s="1" t="s">
        <v>104</v>
      </c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N755" s="1" t="s">
        <v>104</v>
      </c>
      <c r="AO755" s="1" t="s">
        <v>104</v>
      </c>
      <c r="AP755" s="1" t="s">
        <v>104</v>
      </c>
      <c r="AQ755" s="1" t="s">
        <v>104</v>
      </c>
      <c r="AR755" s="1" t="s">
        <v>104</v>
      </c>
      <c r="AS755" s="1" t="s">
        <v>104</v>
      </c>
      <c r="AU755" s="1" t="s">
        <v>104</v>
      </c>
      <c r="AV755" s="1" t="s">
        <v>104</v>
      </c>
      <c r="AX755" s="1" t="str">
        <f>IFERROR(__xludf.DUMMYFUNCTION("""COMPUTED_VALUE"""),"")</f>
        <v/>
      </c>
      <c r="AZ755" s="1" t="str">
        <f>IFERROR(__xludf.DUMMYFUNCTION("""COMPUTED_VALUE"""),"")</f>
        <v/>
      </c>
      <c r="BB755" s="1" t="s">
        <v>104</v>
      </c>
      <c r="BC755" s="1" t="s">
        <v>104</v>
      </c>
      <c r="BE755" s="1" t="s">
        <v>104</v>
      </c>
      <c r="BG755" s="1" t="s">
        <v>104</v>
      </c>
      <c r="BH755" s="1" t="s">
        <v>104</v>
      </c>
      <c r="BI755" s="1" t="s">
        <v>104</v>
      </c>
      <c r="BJ755" s="1" t="s">
        <v>104</v>
      </c>
      <c r="BK755" s="1" t="s">
        <v>104</v>
      </c>
      <c r="BL755" s="1" t="s">
        <v>104</v>
      </c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N756" s="1" t="s">
        <v>104</v>
      </c>
      <c r="AO756" s="1" t="s">
        <v>104</v>
      </c>
      <c r="AP756" s="1" t="s">
        <v>104</v>
      </c>
      <c r="AQ756" s="1" t="s">
        <v>104</v>
      </c>
      <c r="AR756" s="1" t="s">
        <v>104</v>
      </c>
      <c r="AS756" s="1" t="s">
        <v>104</v>
      </c>
      <c r="AU756" s="1" t="s">
        <v>104</v>
      </c>
      <c r="AV756" s="1" t="s">
        <v>104</v>
      </c>
      <c r="AX756" s="1" t="str">
        <f>IFERROR(__xludf.DUMMYFUNCTION("""COMPUTED_VALUE"""),"")</f>
        <v/>
      </c>
      <c r="AZ756" s="1" t="str">
        <f>IFERROR(__xludf.DUMMYFUNCTION("""COMPUTED_VALUE"""),"")</f>
        <v/>
      </c>
      <c r="BB756" s="1" t="s">
        <v>104</v>
      </c>
      <c r="BC756" s="1" t="s">
        <v>104</v>
      </c>
      <c r="BE756" s="1" t="s">
        <v>104</v>
      </c>
      <c r="BG756" s="1" t="s">
        <v>104</v>
      </c>
      <c r="BH756" s="1" t="s">
        <v>104</v>
      </c>
      <c r="BI756" s="1" t="s">
        <v>104</v>
      </c>
      <c r="BJ756" s="1" t="s">
        <v>104</v>
      </c>
      <c r="BK756" s="1" t="s">
        <v>104</v>
      </c>
      <c r="BL756" s="1" t="s">
        <v>104</v>
      </c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N757" s="1" t="s">
        <v>104</v>
      </c>
      <c r="AO757" s="1" t="s">
        <v>104</v>
      </c>
      <c r="AP757" s="1" t="s">
        <v>104</v>
      </c>
      <c r="AQ757" s="1" t="s">
        <v>104</v>
      </c>
      <c r="AR757" s="1" t="s">
        <v>104</v>
      </c>
      <c r="AS757" s="1" t="s">
        <v>104</v>
      </c>
      <c r="AU757" s="1" t="s">
        <v>104</v>
      </c>
      <c r="AV757" s="1" t="s">
        <v>104</v>
      </c>
      <c r="AX757" s="1" t="str">
        <f>IFERROR(__xludf.DUMMYFUNCTION("""COMPUTED_VALUE"""),"")</f>
        <v/>
      </c>
      <c r="AZ757" s="1" t="str">
        <f>IFERROR(__xludf.DUMMYFUNCTION("""COMPUTED_VALUE"""),"")</f>
        <v/>
      </c>
      <c r="BB757" s="1" t="s">
        <v>104</v>
      </c>
      <c r="BC757" s="1" t="s">
        <v>104</v>
      </c>
      <c r="BE757" s="1" t="s">
        <v>104</v>
      </c>
      <c r="BG757" s="1" t="s">
        <v>104</v>
      </c>
      <c r="BH757" s="1" t="s">
        <v>104</v>
      </c>
      <c r="BI757" s="1" t="s">
        <v>104</v>
      </c>
      <c r="BJ757" s="1" t="s">
        <v>104</v>
      </c>
      <c r="BK757" s="1" t="s">
        <v>104</v>
      </c>
      <c r="BL757" s="1" t="s">
        <v>104</v>
      </c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N758" s="1" t="s">
        <v>104</v>
      </c>
      <c r="AO758" s="1" t="s">
        <v>104</v>
      </c>
      <c r="AP758" s="1" t="s">
        <v>104</v>
      </c>
      <c r="AQ758" s="1" t="s">
        <v>104</v>
      </c>
      <c r="AR758" s="1" t="s">
        <v>104</v>
      </c>
      <c r="AS758" s="1" t="s">
        <v>104</v>
      </c>
      <c r="AU758" s="1" t="s">
        <v>104</v>
      </c>
      <c r="AV758" s="1" t="s">
        <v>104</v>
      </c>
      <c r="AX758" s="1" t="str">
        <f>IFERROR(__xludf.DUMMYFUNCTION("""COMPUTED_VALUE"""),"")</f>
        <v/>
      </c>
      <c r="AZ758" s="1" t="str">
        <f>IFERROR(__xludf.DUMMYFUNCTION("""COMPUTED_VALUE"""),"")</f>
        <v/>
      </c>
      <c r="BB758" s="1" t="s">
        <v>104</v>
      </c>
      <c r="BC758" s="1" t="s">
        <v>104</v>
      </c>
      <c r="BE758" s="1" t="s">
        <v>104</v>
      </c>
      <c r="BG758" s="1" t="s">
        <v>104</v>
      </c>
      <c r="BH758" s="1" t="s">
        <v>104</v>
      </c>
      <c r="BI758" s="1" t="s">
        <v>104</v>
      </c>
      <c r="BJ758" s="1" t="s">
        <v>104</v>
      </c>
      <c r="BK758" s="1" t="s">
        <v>104</v>
      </c>
      <c r="BL758" s="1" t="s">
        <v>104</v>
      </c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N759" s="1" t="s">
        <v>104</v>
      </c>
      <c r="AO759" s="1" t="s">
        <v>104</v>
      </c>
      <c r="AP759" s="1" t="s">
        <v>104</v>
      </c>
      <c r="AQ759" s="1" t="s">
        <v>104</v>
      </c>
      <c r="AR759" s="1" t="s">
        <v>104</v>
      </c>
      <c r="AS759" s="1" t="s">
        <v>104</v>
      </c>
      <c r="AU759" s="1" t="s">
        <v>104</v>
      </c>
      <c r="AV759" s="1" t="s">
        <v>104</v>
      </c>
      <c r="AX759" s="1" t="str">
        <f>IFERROR(__xludf.DUMMYFUNCTION("""COMPUTED_VALUE"""),"")</f>
        <v/>
      </c>
      <c r="AZ759" s="1" t="str">
        <f>IFERROR(__xludf.DUMMYFUNCTION("""COMPUTED_VALUE"""),"")</f>
        <v/>
      </c>
      <c r="BB759" s="1" t="s">
        <v>104</v>
      </c>
      <c r="BC759" s="1" t="s">
        <v>104</v>
      </c>
      <c r="BE759" s="1" t="s">
        <v>104</v>
      </c>
      <c r="BG759" s="1" t="s">
        <v>104</v>
      </c>
      <c r="BH759" s="1" t="s">
        <v>104</v>
      </c>
      <c r="BI759" s="1" t="s">
        <v>104</v>
      </c>
      <c r="BJ759" s="1" t="s">
        <v>104</v>
      </c>
      <c r="BK759" s="1" t="s">
        <v>104</v>
      </c>
      <c r="BL759" s="1" t="s">
        <v>104</v>
      </c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N760" s="1" t="s">
        <v>104</v>
      </c>
      <c r="AO760" s="1" t="s">
        <v>104</v>
      </c>
      <c r="AP760" s="1" t="s">
        <v>104</v>
      </c>
      <c r="AQ760" s="1" t="s">
        <v>104</v>
      </c>
      <c r="AR760" s="1" t="s">
        <v>104</v>
      </c>
      <c r="AS760" s="1" t="s">
        <v>104</v>
      </c>
      <c r="AU760" s="1" t="s">
        <v>104</v>
      </c>
      <c r="AV760" s="1" t="s">
        <v>104</v>
      </c>
      <c r="AX760" s="1" t="str">
        <f>IFERROR(__xludf.DUMMYFUNCTION("""COMPUTED_VALUE"""),"")</f>
        <v/>
      </c>
      <c r="AZ760" s="1" t="str">
        <f>IFERROR(__xludf.DUMMYFUNCTION("""COMPUTED_VALUE"""),"")</f>
        <v/>
      </c>
      <c r="BB760" s="1" t="s">
        <v>104</v>
      </c>
      <c r="BC760" s="1" t="s">
        <v>104</v>
      </c>
      <c r="BE760" s="1" t="s">
        <v>104</v>
      </c>
      <c r="BG760" s="1" t="s">
        <v>104</v>
      </c>
      <c r="BH760" s="1" t="s">
        <v>104</v>
      </c>
      <c r="BI760" s="1" t="s">
        <v>104</v>
      </c>
      <c r="BJ760" s="1" t="s">
        <v>104</v>
      </c>
      <c r="BK760" s="1" t="s">
        <v>104</v>
      </c>
      <c r="BL760" s="1" t="s">
        <v>104</v>
      </c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N761" s="1" t="s">
        <v>104</v>
      </c>
      <c r="AO761" s="1" t="s">
        <v>104</v>
      </c>
      <c r="AP761" s="1" t="s">
        <v>104</v>
      </c>
      <c r="AQ761" s="1" t="s">
        <v>104</v>
      </c>
      <c r="AR761" s="1" t="s">
        <v>104</v>
      </c>
      <c r="AS761" s="1" t="s">
        <v>104</v>
      </c>
      <c r="AU761" s="1" t="s">
        <v>104</v>
      </c>
      <c r="AV761" s="1" t="s">
        <v>104</v>
      </c>
      <c r="AX761" s="1" t="str">
        <f>IFERROR(__xludf.DUMMYFUNCTION("""COMPUTED_VALUE"""),"")</f>
        <v/>
      </c>
      <c r="AZ761" s="1" t="str">
        <f>IFERROR(__xludf.DUMMYFUNCTION("""COMPUTED_VALUE"""),"")</f>
        <v/>
      </c>
      <c r="BB761" s="1" t="s">
        <v>104</v>
      </c>
      <c r="BC761" s="1" t="s">
        <v>104</v>
      </c>
      <c r="BE761" s="1" t="s">
        <v>104</v>
      </c>
      <c r="BG761" s="1" t="s">
        <v>104</v>
      </c>
      <c r="BH761" s="1" t="s">
        <v>104</v>
      </c>
      <c r="BI761" s="1" t="s">
        <v>104</v>
      </c>
      <c r="BJ761" s="1" t="s">
        <v>104</v>
      </c>
      <c r="BK761" s="1" t="s">
        <v>104</v>
      </c>
      <c r="BL761" s="1" t="s">
        <v>104</v>
      </c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N762" s="1" t="s">
        <v>104</v>
      </c>
      <c r="AO762" s="1" t="s">
        <v>104</v>
      </c>
      <c r="AP762" s="1" t="s">
        <v>104</v>
      </c>
      <c r="AQ762" s="1" t="s">
        <v>104</v>
      </c>
      <c r="AR762" s="1" t="s">
        <v>104</v>
      </c>
      <c r="AS762" s="1" t="s">
        <v>104</v>
      </c>
      <c r="AU762" s="1" t="s">
        <v>104</v>
      </c>
      <c r="AV762" s="1" t="s">
        <v>104</v>
      </c>
      <c r="AX762" s="1" t="str">
        <f>IFERROR(__xludf.DUMMYFUNCTION("""COMPUTED_VALUE"""),"")</f>
        <v/>
      </c>
      <c r="AZ762" s="1" t="str">
        <f>IFERROR(__xludf.DUMMYFUNCTION("""COMPUTED_VALUE"""),"")</f>
        <v/>
      </c>
      <c r="BB762" s="1" t="s">
        <v>104</v>
      </c>
      <c r="BC762" s="1" t="s">
        <v>104</v>
      </c>
      <c r="BE762" s="1" t="s">
        <v>104</v>
      </c>
      <c r="BG762" s="1" t="s">
        <v>104</v>
      </c>
      <c r="BH762" s="1" t="s">
        <v>104</v>
      </c>
      <c r="BI762" s="1" t="s">
        <v>104</v>
      </c>
      <c r="BJ762" s="1" t="s">
        <v>104</v>
      </c>
      <c r="BK762" s="1" t="s">
        <v>104</v>
      </c>
      <c r="BL762" s="1" t="s">
        <v>104</v>
      </c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N763" s="1" t="s">
        <v>104</v>
      </c>
      <c r="AO763" s="1" t="s">
        <v>104</v>
      </c>
      <c r="AP763" s="1" t="s">
        <v>104</v>
      </c>
      <c r="AQ763" s="1" t="s">
        <v>104</v>
      </c>
      <c r="AR763" s="1" t="s">
        <v>104</v>
      </c>
      <c r="AS763" s="1" t="s">
        <v>104</v>
      </c>
      <c r="AU763" s="1" t="s">
        <v>104</v>
      </c>
      <c r="AV763" s="1" t="s">
        <v>104</v>
      </c>
      <c r="AX763" s="1" t="str">
        <f>IFERROR(__xludf.DUMMYFUNCTION("""COMPUTED_VALUE"""),"")</f>
        <v/>
      </c>
      <c r="AZ763" s="1" t="str">
        <f>IFERROR(__xludf.DUMMYFUNCTION("""COMPUTED_VALUE"""),"")</f>
        <v/>
      </c>
      <c r="BB763" s="1" t="s">
        <v>104</v>
      </c>
      <c r="BC763" s="1" t="s">
        <v>104</v>
      </c>
      <c r="BE763" s="1" t="s">
        <v>104</v>
      </c>
      <c r="BG763" s="1" t="s">
        <v>104</v>
      </c>
      <c r="BH763" s="1" t="s">
        <v>104</v>
      </c>
      <c r="BI763" s="1" t="s">
        <v>104</v>
      </c>
      <c r="BJ763" s="1" t="s">
        <v>104</v>
      </c>
      <c r="BK763" s="1" t="s">
        <v>104</v>
      </c>
      <c r="BL763" s="1" t="s">
        <v>104</v>
      </c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N764" s="1" t="s">
        <v>104</v>
      </c>
      <c r="AO764" s="1" t="s">
        <v>104</v>
      </c>
      <c r="AP764" s="1" t="s">
        <v>104</v>
      </c>
      <c r="AQ764" s="1" t="s">
        <v>104</v>
      </c>
      <c r="AR764" s="1" t="s">
        <v>104</v>
      </c>
      <c r="AS764" s="1" t="s">
        <v>104</v>
      </c>
      <c r="AU764" s="1" t="s">
        <v>104</v>
      </c>
      <c r="AV764" s="1" t="s">
        <v>104</v>
      </c>
      <c r="AX764" s="1" t="str">
        <f>IFERROR(__xludf.DUMMYFUNCTION("""COMPUTED_VALUE"""),"")</f>
        <v/>
      </c>
      <c r="AZ764" s="1" t="str">
        <f>IFERROR(__xludf.DUMMYFUNCTION("""COMPUTED_VALUE"""),"")</f>
        <v/>
      </c>
      <c r="BB764" s="1" t="s">
        <v>104</v>
      </c>
      <c r="BC764" s="1" t="s">
        <v>104</v>
      </c>
      <c r="BE764" s="1" t="s">
        <v>104</v>
      </c>
      <c r="BG764" s="1" t="s">
        <v>104</v>
      </c>
      <c r="BH764" s="1" t="s">
        <v>104</v>
      </c>
      <c r="BI764" s="1" t="s">
        <v>104</v>
      </c>
      <c r="BJ764" s="1" t="s">
        <v>104</v>
      </c>
      <c r="BK764" s="1" t="s">
        <v>104</v>
      </c>
      <c r="BL764" s="1" t="s">
        <v>104</v>
      </c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N765" s="1" t="s">
        <v>104</v>
      </c>
      <c r="AO765" s="1" t="s">
        <v>104</v>
      </c>
      <c r="AP765" s="1" t="s">
        <v>104</v>
      </c>
      <c r="AQ765" s="1" t="s">
        <v>104</v>
      </c>
      <c r="AR765" s="1" t="s">
        <v>104</v>
      </c>
      <c r="AS765" s="1" t="s">
        <v>104</v>
      </c>
      <c r="AU765" s="1" t="s">
        <v>104</v>
      </c>
      <c r="AV765" s="1" t="s">
        <v>104</v>
      </c>
      <c r="AX765" s="1" t="str">
        <f>IFERROR(__xludf.DUMMYFUNCTION("""COMPUTED_VALUE"""),"")</f>
        <v/>
      </c>
      <c r="AZ765" s="1" t="str">
        <f>IFERROR(__xludf.DUMMYFUNCTION("""COMPUTED_VALUE"""),"")</f>
        <v/>
      </c>
      <c r="BB765" s="1" t="s">
        <v>104</v>
      </c>
      <c r="BC765" s="1" t="s">
        <v>104</v>
      </c>
      <c r="BE765" s="1" t="s">
        <v>104</v>
      </c>
      <c r="BG765" s="1" t="s">
        <v>104</v>
      </c>
      <c r="BH765" s="1" t="s">
        <v>104</v>
      </c>
      <c r="BI765" s="1" t="s">
        <v>104</v>
      </c>
      <c r="BJ765" s="1" t="s">
        <v>104</v>
      </c>
      <c r="BK765" s="1" t="s">
        <v>104</v>
      </c>
      <c r="BL765" s="1" t="s">
        <v>104</v>
      </c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N766" s="1" t="s">
        <v>104</v>
      </c>
      <c r="AO766" s="1" t="s">
        <v>104</v>
      </c>
      <c r="AP766" s="1" t="s">
        <v>104</v>
      </c>
      <c r="AQ766" s="1" t="s">
        <v>104</v>
      </c>
      <c r="AR766" s="1" t="s">
        <v>104</v>
      </c>
      <c r="AS766" s="1" t="s">
        <v>104</v>
      </c>
      <c r="AU766" s="1" t="s">
        <v>104</v>
      </c>
      <c r="AV766" s="1" t="s">
        <v>104</v>
      </c>
      <c r="AX766" s="1" t="str">
        <f>IFERROR(__xludf.DUMMYFUNCTION("""COMPUTED_VALUE"""),"")</f>
        <v/>
      </c>
      <c r="AZ766" s="1" t="str">
        <f>IFERROR(__xludf.DUMMYFUNCTION("""COMPUTED_VALUE"""),"")</f>
        <v/>
      </c>
      <c r="BB766" s="1" t="s">
        <v>104</v>
      </c>
      <c r="BC766" s="1" t="s">
        <v>104</v>
      </c>
      <c r="BE766" s="1" t="s">
        <v>104</v>
      </c>
      <c r="BG766" s="1" t="s">
        <v>104</v>
      </c>
      <c r="BH766" s="1" t="s">
        <v>104</v>
      </c>
      <c r="BI766" s="1" t="s">
        <v>104</v>
      </c>
      <c r="BJ766" s="1" t="s">
        <v>104</v>
      </c>
      <c r="BK766" s="1" t="s">
        <v>104</v>
      </c>
      <c r="BL766" s="1" t="s">
        <v>104</v>
      </c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N767" s="1" t="s">
        <v>104</v>
      </c>
      <c r="AO767" s="1" t="s">
        <v>104</v>
      </c>
      <c r="AP767" s="1" t="s">
        <v>104</v>
      </c>
      <c r="AQ767" s="1" t="s">
        <v>104</v>
      </c>
      <c r="AR767" s="1" t="s">
        <v>104</v>
      </c>
      <c r="AS767" s="1" t="s">
        <v>104</v>
      </c>
      <c r="AU767" s="1" t="s">
        <v>104</v>
      </c>
      <c r="AV767" s="1" t="s">
        <v>104</v>
      </c>
      <c r="AX767" s="1" t="str">
        <f>IFERROR(__xludf.DUMMYFUNCTION("""COMPUTED_VALUE"""),"")</f>
        <v/>
      </c>
      <c r="AZ767" s="1" t="str">
        <f>IFERROR(__xludf.DUMMYFUNCTION("""COMPUTED_VALUE"""),"")</f>
        <v/>
      </c>
      <c r="BB767" s="1" t="s">
        <v>104</v>
      </c>
      <c r="BC767" s="1" t="s">
        <v>104</v>
      </c>
      <c r="BE767" s="1" t="s">
        <v>104</v>
      </c>
      <c r="BG767" s="1" t="s">
        <v>104</v>
      </c>
      <c r="BH767" s="1" t="s">
        <v>104</v>
      </c>
      <c r="BI767" s="1" t="s">
        <v>104</v>
      </c>
      <c r="BJ767" s="1" t="s">
        <v>104</v>
      </c>
      <c r="BK767" s="1" t="s">
        <v>104</v>
      </c>
      <c r="BL767" s="1" t="s">
        <v>104</v>
      </c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N768" s="1" t="s">
        <v>104</v>
      </c>
      <c r="AO768" s="1" t="s">
        <v>104</v>
      </c>
      <c r="AP768" s="1" t="s">
        <v>104</v>
      </c>
      <c r="AQ768" s="1" t="s">
        <v>104</v>
      </c>
      <c r="AR768" s="1" t="s">
        <v>104</v>
      </c>
      <c r="AS768" s="1" t="s">
        <v>104</v>
      </c>
      <c r="AU768" s="1" t="s">
        <v>104</v>
      </c>
      <c r="AV768" s="1" t="s">
        <v>104</v>
      </c>
      <c r="AX768" s="1" t="str">
        <f>IFERROR(__xludf.DUMMYFUNCTION("""COMPUTED_VALUE"""),"")</f>
        <v/>
      </c>
      <c r="AZ768" s="1" t="str">
        <f>IFERROR(__xludf.DUMMYFUNCTION("""COMPUTED_VALUE"""),"")</f>
        <v/>
      </c>
      <c r="BB768" s="1" t="s">
        <v>104</v>
      </c>
      <c r="BC768" s="1" t="s">
        <v>104</v>
      </c>
      <c r="BE768" s="1" t="s">
        <v>104</v>
      </c>
      <c r="BG768" s="1" t="s">
        <v>104</v>
      </c>
      <c r="BH768" s="1" t="s">
        <v>104</v>
      </c>
      <c r="BI768" s="1" t="s">
        <v>104</v>
      </c>
      <c r="BJ768" s="1" t="s">
        <v>104</v>
      </c>
      <c r="BK768" s="1" t="s">
        <v>104</v>
      </c>
      <c r="BL768" s="1" t="s">
        <v>104</v>
      </c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N769" s="1" t="s">
        <v>104</v>
      </c>
      <c r="AO769" s="1" t="s">
        <v>104</v>
      </c>
      <c r="AP769" s="1" t="s">
        <v>104</v>
      </c>
      <c r="AQ769" s="1" t="s">
        <v>104</v>
      </c>
      <c r="AR769" s="1" t="s">
        <v>104</v>
      </c>
      <c r="AS769" s="1" t="s">
        <v>104</v>
      </c>
      <c r="AU769" s="1" t="s">
        <v>104</v>
      </c>
      <c r="AV769" s="1" t="s">
        <v>104</v>
      </c>
      <c r="AX769" s="1" t="str">
        <f>IFERROR(__xludf.DUMMYFUNCTION("""COMPUTED_VALUE"""),"")</f>
        <v/>
      </c>
      <c r="AZ769" s="1" t="str">
        <f>IFERROR(__xludf.DUMMYFUNCTION("""COMPUTED_VALUE"""),"")</f>
        <v/>
      </c>
      <c r="BB769" s="1" t="s">
        <v>104</v>
      </c>
      <c r="BC769" s="1" t="s">
        <v>104</v>
      </c>
      <c r="BE769" s="1" t="s">
        <v>104</v>
      </c>
      <c r="BG769" s="1" t="s">
        <v>104</v>
      </c>
      <c r="BH769" s="1" t="s">
        <v>104</v>
      </c>
      <c r="BI769" s="1" t="s">
        <v>104</v>
      </c>
      <c r="BJ769" s="1" t="s">
        <v>104</v>
      </c>
      <c r="BK769" s="1" t="s">
        <v>104</v>
      </c>
      <c r="BL769" s="1" t="s">
        <v>104</v>
      </c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N770" s="1" t="s">
        <v>104</v>
      </c>
      <c r="AO770" s="1" t="s">
        <v>104</v>
      </c>
      <c r="AP770" s="1" t="s">
        <v>104</v>
      </c>
      <c r="AQ770" s="1" t="s">
        <v>104</v>
      </c>
      <c r="AR770" s="1" t="s">
        <v>104</v>
      </c>
      <c r="AS770" s="1" t="s">
        <v>104</v>
      </c>
      <c r="AU770" s="1" t="s">
        <v>104</v>
      </c>
      <c r="AV770" s="1" t="s">
        <v>104</v>
      </c>
      <c r="AX770" s="1" t="str">
        <f>IFERROR(__xludf.DUMMYFUNCTION("""COMPUTED_VALUE"""),"")</f>
        <v/>
      </c>
      <c r="AZ770" s="1" t="str">
        <f>IFERROR(__xludf.DUMMYFUNCTION("""COMPUTED_VALUE"""),"")</f>
        <v/>
      </c>
      <c r="BB770" s="1" t="s">
        <v>104</v>
      </c>
      <c r="BC770" s="1" t="s">
        <v>104</v>
      </c>
      <c r="BE770" s="1" t="s">
        <v>104</v>
      </c>
      <c r="BG770" s="1" t="s">
        <v>104</v>
      </c>
      <c r="BH770" s="1" t="s">
        <v>104</v>
      </c>
      <c r="BI770" s="1" t="s">
        <v>104</v>
      </c>
      <c r="BJ770" s="1" t="s">
        <v>104</v>
      </c>
      <c r="BK770" s="1" t="s">
        <v>104</v>
      </c>
      <c r="BL770" s="1" t="s">
        <v>104</v>
      </c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N771" s="1" t="s">
        <v>104</v>
      </c>
      <c r="AO771" s="1" t="s">
        <v>104</v>
      </c>
      <c r="AP771" s="1" t="s">
        <v>104</v>
      </c>
      <c r="AQ771" s="1" t="s">
        <v>104</v>
      </c>
      <c r="AR771" s="1" t="s">
        <v>104</v>
      </c>
      <c r="AS771" s="1" t="s">
        <v>104</v>
      </c>
      <c r="AU771" s="1" t="s">
        <v>104</v>
      </c>
      <c r="AV771" s="1" t="s">
        <v>104</v>
      </c>
      <c r="AX771" s="1" t="str">
        <f>IFERROR(__xludf.DUMMYFUNCTION("""COMPUTED_VALUE"""),"")</f>
        <v/>
      </c>
      <c r="AZ771" s="1" t="str">
        <f>IFERROR(__xludf.DUMMYFUNCTION("""COMPUTED_VALUE"""),"")</f>
        <v/>
      </c>
      <c r="BB771" s="1" t="s">
        <v>104</v>
      </c>
      <c r="BC771" s="1" t="s">
        <v>104</v>
      </c>
      <c r="BE771" s="1" t="s">
        <v>104</v>
      </c>
      <c r="BG771" s="1" t="s">
        <v>104</v>
      </c>
      <c r="BH771" s="1" t="s">
        <v>104</v>
      </c>
      <c r="BI771" s="1" t="s">
        <v>104</v>
      </c>
      <c r="BJ771" s="1" t="s">
        <v>104</v>
      </c>
      <c r="BK771" s="1" t="s">
        <v>104</v>
      </c>
      <c r="BL771" s="1" t="s">
        <v>104</v>
      </c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N772" s="1" t="s">
        <v>104</v>
      </c>
      <c r="AO772" s="1" t="s">
        <v>104</v>
      </c>
      <c r="AP772" s="1" t="s">
        <v>104</v>
      </c>
      <c r="AQ772" s="1" t="s">
        <v>104</v>
      </c>
      <c r="AR772" s="1" t="s">
        <v>104</v>
      </c>
      <c r="AS772" s="1" t="s">
        <v>104</v>
      </c>
      <c r="AU772" s="1" t="s">
        <v>104</v>
      </c>
      <c r="AV772" s="1" t="s">
        <v>104</v>
      </c>
      <c r="AX772" s="1" t="str">
        <f>IFERROR(__xludf.DUMMYFUNCTION("""COMPUTED_VALUE"""),"")</f>
        <v/>
      </c>
      <c r="AZ772" s="1" t="str">
        <f>IFERROR(__xludf.DUMMYFUNCTION("""COMPUTED_VALUE"""),"")</f>
        <v/>
      </c>
      <c r="BB772" s="1" t="s">
        <v>104</v>
      </c>
      <c r="BC772" s="1" t="s">
        <v>104</v>
      </c>
      <c r="BE772" s="1" t="s">
        <v>104</v>
      </c>
      <c r="BG772" s="1" t="s">
        <v>104</v>
      </c>
      <c r="BH772" s="1" t="s">
        <v>104</v>
      </c>
      <c r="BI772" s="1" t="s">
        <v>104</v>
      </c>
      <c r="BJ772" s="1" t="s">
        <v>104</v>
      </c>
      <c r="BK772" s="1" t="s">
        <v>104</v>
      </c>
      <c r="BL772" s="1" t="s">
        <v>104</v>
      </c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N773" s="1" t="s">
        <v>104</v>
      </c>
      <c r="AO773" s="1" t="s">
        <v>104</v>
      </c>
      <c r="AP773" s="1" t="s">
        <v>104</v>
      </c>
      <c r="AQ773" s="1" t="s">
        <v>104</v>
      </c>
      <c r="AR773" s="1" t="s">
        <v>104</v>
      </c>
      <c r="AS773" s="1" t="s">
        <v>104</v>
      </c>
      <c r="AU773" s="1" t="s">
        <v>104</v>
      </c>
      <c r="AV773" s="1" t="s">
        <v>104</v>
      </c>
      <c r="AX773" s="1" t="str">
        <f>IFERROR(__xludf.DUMMYFUNCTION("""COMPUTED_VALUE"""),"")</f>
        <v/>
      </c>
      <c r="AZ773" s="1" t="str">
        <f>IFERROR(__xludf.DUMMYFUNCTION("""COMPUTED_VALUE"""),"")</f>
        <v/>
      </c>
      <c r="BB773" s="1" t="s">
        <v>104</v>
      </c>
      <c r="BC773" s="1" t="s">
        <v>104</v>
      </c>
      <c r="BE773" s="1" t="s">
        <v>104</v>
      </c>
      <c r="BG773" s="1" t="s">
        <v>104</v>
      </c>
      <c r="BH773" s="1" t="s">
        <v>104</v>
      </c>
      <c r="BI773" s="1" t="s">
        <v>104</v>
      </c>
      <c r="BJ773" s="1" t="s">
        <v>104</v>
      </c>
      <c r="BK773" s="1" t="s">
        <v>104</v>
      </c>
      <c r="BL773" s="1" t="s">
        <v>104</v>
      </c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N774" s="1" t="s">
        <v>104</v>
      </c>
      <c r="AO774" s="1" t="s">
        <v>104</v>
      </c>
      <c r="AP774" s="1" t="s">
        <v>104</v>
      </c>
      <c r="AQ774" s="1" t="s">
        <v>104</v>
      </c>
      <c r="AR774" s="1" t="s">
        <v>104</v>
      </c>
      <c r="AS774" s="1" t="s">
        <v>104</v>
      </c>
      <c r="AU774" s="1" t="s">
        <v>104</v>
      </c>
      <c r="AV774" s="1" t="s">
        <v>104</v>
      </c>
      <c r="AX774" s="1" t="str">
        <f>IFERROR(__xludf.DUMMYFUNCTION("""COMPUTED_VALUE"""),"")</f>
        <v/>
      </c>
      <c r="AZ774" s="1" t="str">
        <f>IFERROR(__xludf.DUMMYFUNCTION("""COMPUTED_VALUE"""),"")</f>
        <v/>
      </c>
      <c r="BB774" s="1" t="s">
        <v>104</v>
      </c>
      <c r="BC774" s="1" t="s">
        <v>104</v>
      </c>
      <c r="BE774" s="1" t="s">
        <v>104</v>
      </c>
      <c r="BG774" s="1" t="s">
        <v>104</v>
      </c>
      <c r="BH774" s="1" t="s">
        <v>104</v>
      </c>
      <c r="BI774" s="1" t="s">
        <v>104</v>
      </c>
      <c r="BJ774" s="1" t="s">
        <v>104</v>
      </c>
      <c r="BK774" s="1" t="s">
        <v>104</v>
      </c>
      <c r="BL774" s="1" t="s">
        <v>104</v>
      </c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N775" s="1" t="s">
        <v>104</v>
      </c>
      <c r="AO775" s="1" t="s">
        <v>104</v>
      </c>
      <c r="AP775" s="1" t="s">
        <v>104</v>
      </c>
      <c r="AQ775" s="1" t="s">
        <v>104</v>
      </c>
      <c r="AR775" s="1" t="s">
        <v>104</v>
      </c>
      <c r="AS775" s="1" t="s">
        <v>104</v>
      </c>
      <c r="AU775" s="1" t="s">
        <v>104</v>
      </c>
      <c r="AV775" s="1" t="s">
        <v>104</v>
      </c>
      <c r="AX775" s="1" t="str">
        <f>IFERROR(__xludf.DUMMYFUNCTION("""COMPUTED_VALUE"""),"")</f>
        <v/>
      </c>
      <c r="AZ775" s="1" t="str">
        <f>IFERROR(__xludf.DUMMYFUNCTION("""COMPUTED_VALUE"""),"")</f>
        <v/>
      </c>
      <c r="BB775" s="1" t="s">
        <v>104</v>
      </c>
      <c r="BC775" s="1" t="s">
        <v>104</v>
      </c>
      <c r="BE775" s="1" t="s">
        <v>104</v>
      </c>
      <c r="BG775" s="1" t="s">
        <v>104</v>
      </c>
      <c r="BH775" s="1" t="s">
        <v>104</v>
      </c>
      <c r="BI775" s="1" t="s">
        <v>104</v>
      </c>
      <c r="BJ775" s="1" t="s">
        <v>104</v>
      </c>
      <c r="BK775" s="1" t="s">
        <v>104</v>
      </c>
      <c r="BL775" s="1" t="s">
        <v>104</v>
      </c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N776" s="1" t="s">
        <v>104</v>
      </c>
      <c r="AO776" s="1" t="s">
        <v>104</v>
      </c>
      <c r="AP776" s="1" t="s">
        <v>104</v>
      </c>
      <c r="AQ776" s="1" t="s">
        <v>104</v>
      </c>
      <c r="AR776" s="1" t="s">
        <v>104</v>
      </c>
      <c r="AS776" s="1" t="s">
        <v>104</v>
      </c>
      <c r="AU776" s="1" t="s">
        <v>104</v>
      </c>
      <c r="AV776" s="1" t="s">
        <v>104</v>
      </c>
      <c r="AX776" s="1" t="str">
        <f>IFERROR(__xludf.DUMMYFUNCTION("""COMPUTED_VALUE"""),"")</f>
        <v/>
      </c>
      <c r="AZ776" s="1" t="str">
        <f>IFERROR(__xludf.DUMMYFUNCTION("""COMPUTED_VALUE"""),"")</f>
        <v/>
      </c>
      <c r="BB776" s="1" t="s">
        <v>104</v>
      </c>
      <c r="BC776" s="1" t="s">
        <v>104</v>
      </c>
      <c r="BE776" s="1" t="s">
        <v>104</v>
      </c>
      <c r="BG776" s="1" t="s">
        <v>104</v>
      </c>
      <c r="BH776" s="1" t="s">
        <v>104</v>
      </c>
      <c r="BI776" s="1" t="s">
        <v>104</v>
      </c>
      <c r="BJ776" s="1" t="s">
        <v>104</v>
      </c>
      <c r="BK776" s="1" t="s">
        <v>104</v>
      </c>
      <c r="BL776" s="1" t="s">
        <v>104</v>
      </c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N777" s="1" t="s">
        <v>104</v>
      </c>
      <c r="AO777" s="1" t="s">
        <v>104</v>
      </c>
      <c r="AP777" s="1" t="s">
        <v>104</v>
      </c>
      <c r="AQ777" s="1" t="s">
        <v>104</v>
      </c>
      <c r="AR777" s="1" t="s">
        <v>104</v>
      </c>
      <c r="AS777" s="1" t="s">
        <v>104</v>
      </c>
      <c r="AU777" s="1" t="s">
        <v>104</v>
      </c>
      <c r="AV777" s="1" t="s">
        <v>104</v>
      </c>
      <c r="AX777" s="1" t="str">
        <f>IFERROR(__xludf.DUMMYFUNCTION("""COMPUTED_VALUE"""),"")</f>
        <v/>
      </c>
      <c r="AZ777" s="1" t="str">
        <f>IFERROR(__xludf.DUMMYFUNCTION("""COMPUTED_VALUE"""),"")</f>
        <v/>
      </c>
      <c r="BB777" s="1" t="s">
        <v>104</v>
      </c>
      <c r="BC777" s="1" t="s">
        <v>104</v>
      </c>
      <c r="BE777" s="1" t="s">
        <v>104</v>
      </c>
      <c r="BG777" s="1" t="s">
        <v>104</v>
      </c>
      <c r="BH777" s="1" t="s">
        <v>104</v>
      </c>
      <c r="BI777" s="1" t="s">
        <v>104</v>
      </c>
      <c r="BJ777" s="1" t="s">
        <v>104</v>
      </c>
      <c r="BK777" s="1" t="s">
        <v>104</v>
      </c>
      <c r="BL777" s="1" t="s">
        <v>104</v>
      </c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N778" s="1" t="s">
        <v>104</v>
      </c>
      <c r="AO778" s="1" t="s">
        <v>104</v>
      </c>
      <c r="AP778" s="1" t="s">
        <v>104</v>
      </c>
      <c r="AQ778" s="1" t="s">
        <v>104</v>
      </c>
      <c r="AR778" s="1" t="s">
        <v>104</v>
      </c>
      <c r="AS778" s="1" t="s">
        <v>104</v>
      </c>
      <c r="AU778" s="1" t="s">
        <v>104</v>
      </c>
      <c r="AV778" s="1" t="s">
        <v>104</v>
      </c>
      <c r="AX778" s="1" t="str">
        <f>IFERROR(__xludf.DUMMYFUNCTION("""COMPUTED_VALUE"""),"")</f>
        <v/>
      </c>
      <c r="AZ778" s="1" t="str">
        <f>IFERROR(__xludf.DUMMYFUNCTION("""COMPUTED_VALUE"""),"")</f>
        <v/>
      </c>
      <c r="BB778" s="1" t="s">
        <v>104</v>
      </c>
      <c r="BC778" s="1" t="s">
        <v>104</v>
      </c>
      <c r="BE778" s="1" t="s">
        <v>104</v>
      </c>
      <c r="BG778" s="1" t="s">
        <v>104</v>
      </c>
      <c r="BH778" s="1" t="s">
        <v>104</v>
      </c>
      <c r="BI778" s="1" t="s">
        <v>104</v>
      </c>
      <c r="BJ778" s="1" t="s">
        <v>104</v>
      </c>
      <c r="BK778" s="1" t="s">
        <v>104</v>
      </c>
      <c r="BL778" s="1" t="s">
        <v>104</v>
      </c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N779" s="1" t="s">
        <v>104</v>
      </c>
      <c r="AO779" s="1" t="s">
        <v>104</v>
      </c>
      <c r="AP779" s="1" t="s">
        <v>104</v>
      </c>
      <c r="AQ779" s="1" t="s">
        <v>104</v>
      </c>
      <c r="AR779" s="1" t="s">
        <v>104</v>
      </c>
      <c r="AS779" s="1" t="s">
        <v>104</v>
      </c>
      <c r="AU779" s="1" t="s">
        <v>104</v>
      </c>
      <c r="AV779" s="1" t="s">
        <v>104</v>
      </c>
      <c r="AX779" s="1" t="str">
        <f>IFERROR(__xludf.DUMMYFUNCTION("""COMPUTED_VALUE"""),"")</f>
        <v/>
      </c>
      <c r="AZ779" s="1" t="str">
        <f>IFERROR(__xludf.DUMMYFUNCTION("""COMPUTED_VALUE"""),"")</f>
        <v/>
      </c>
      <c r="BB779" s="1" t="s">
        <v>104</v>
      </c>
      <c r="BC779" s="1" t="s">
        <v>104</v>
      </c>
      <c r="BE779" s="1" t="s">
        <v>104</v>
      </c>
      <c r="BG779" s="1" t="s">
        <v>104</v>
      </c>
      <c r="BH779" s="1" t="s">
        <v>104</v>
      </c>
      <c r="BI779" s="1" t="s">
        <v>104</v>
      </c>
      <c r="BJ779" s="1" t="s">
        <v>104</v>
      </c>
      <c r="BK779" s="1" t="s">
        <v>104</v>
      </c>
      <c r="BL779" s="1" t="s">
        <v>104</v>
      </c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N780" s="1" t="s">
        <v>104</v>
      </c>
      <c r="AO780" s="1" t="s">
        <v>104</v>
      </c>
      <c r="AP780" s="1" t="s">
        <v>104</v>
      </c>
      <c r="AQ780" s="1" t="s">
        <v>104</v>
      </c>
      <c r="AR780" s="1" t="s">
        <v>104</v>
      </c>
      <c r="AS780" s="1" t="s">
        <v>104</v>
      </c>
      <c r="AU780" s="1" t="s">
        <v>104</v>
      </c>
      <c r="AV780" s="1" t="s">
        <v>104</v>
      </c>
      <c r="AX780" s="1" t="str">
        <f>IFERROR(__xludf.DUMMYFUNCTION("""COMPUTED_VALUE"""),"")</f>
        <v/>
      </c>
      <c r="AZ780" s="1" t="str">
        <f>IFERROR(__xludf.DUMMYFUNCTION("""COMPUTED_VALUE"""),"")</f>
        <v/>
      </c>
      <c r="BB780" s="1" t="s">
        <v>104</v>
      </c>
      <c r="BC780" s="1" t="s">
        <v>104</v>
      </c>
      <c r="BE780" s="1" t="s">
        <v>104</v>
      </c>
      <c r="BG780" s="1" t="s">
        <v>104</v>
      </c>
      <c r="BH780" s="1" t="s">
        <v>104</v>
      </c>
      <c r="BI780" s="1" t="s">
        <v>104</v>
      </c>
      <c r="BJ780" s="1" t="s">
        <v>104</v>
      </c>
      <c r="BK780" s="1" t="s">
        <v>104</v>
      </c>
      <c r="BL780" s="1" t="s">
        <v>104</v>
      </c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N781" s="1" t="s">
        <v>104</v>
      </c>
      <c r="AO781" s="1" t="s">
        <v>104</v>
      </c>
      <c r="AP781" s="1" t="s">
        <v>104</v>
      </c>
      <c r="AQ781" s="1" t="s">
        <v>104</v>
      </c>
      <c r="AR781" s="1" t="s">
        <v>104</v>
      </c>
      <c r="AS781" s="1" t="s">
        <v>104</v>
      </c>
      <c r="AU781" s="1" t="s">
        <v>104</v>
      </c>
      <c r="AV781" s="1" t="s">
        <v>104</v>
      </c>
      <c r="AX781" s="1" t="str">
        <f>IFERROR(__xludf.DUMMYFUNCTION("""COMPUTED_VALUE"""),"")</f>
        <v/>
      </c>
      <c r="AZ781" s="1" t="str">
        <f>IFERROR(__xludf.DUMMYFUNCTION("""COMPUTED_VALUE"""),"")</f>
        <v/>
      </c>
      <c r="BB781" s="1" t="s">
        <v>104</v>
      </c>
      <c r="BC781" s="1" t="s">
        <v>104</v>
      </c>
      <c r="BE781" s="1" t="s">
        <v>104</v>
      </c>
      <c r="BG781" s="1" t="s">
        <v>104</v>
      </c>
      <c r="BH781" s="1" t="s">
        <v>104</v>
      </c>
      <c r="BI781" s="1" t="s">
        <v>104</v>
      </c>
      <c r="BJ781" s="1" t="s">
        <v>104</v>
      </c>
      <c r="BK781" s="1" t="s">
        <v>104</v>
      </c>
      <c r="BL781" s="1" t="s">
        <v>104</v>
      </c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N782" s="1" t="s">
        <v>104</v>
      </c>
      <c r="AO782" s="1" t="s">
        <v>104</v>
      </c>
      <c r="AP782" s="1" t="s">
        <v>104</v>
      </c>
      <c r="AQ782" s="1" t="s">
        <v>104</v>
      </c>
      <c r="AR782" s="1" t="s">
        <v>104</v>
      </c>
      <c r="AS782" s="1" t="s">
        <v>104</v>
      </c>
      <c r="AU782" s="1" t="s">
        <v>104</v>
      </c>
      <c r="AV782" s="1" t="s">
        <v>104</v>
      </c>
      <c r="AX782" s="1" t="str">
        <f>IFERROR(__xludf.DUMMYFUNCTION("""COMPUTED_VALUE"""),"")</f>
        <v/>
      </c>
      <c r="AZ782" s="1" t="str">
        <f>IFERROR(__xludf.DUMMYFUNCTION("""COMPUTED_VALUE"""),"")</f>
        <v/>
      </c>
      <c r="BB782" s="1" t="s">
        <v>104</v>
      </c>
      <c r="BC782" s="1" t="s">
        <v>104</v>
      </c>
      <c r="BE782" s="1" t="s">
        <v>104</v>
      </c>
      <c r="BG782" s="1" t="s">
        <v>104</v>
      </c>
      <c r="BH782" s="1" t="s">
        <v>104</v>
      </c>
      <c r="BI782" s="1" t="s">
        <v>104</v>
      </c>
      <c r="BJ782" s="1" t="s">
        <v>104</v>
      </c>
      <c r="BK782" s="1" t="s">
        <v>104</v>
      </c>
      <c r="BL782" s="1" t="s">
        <v>104</v>
      </c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N783" s="1" t="s">
        <v>104</v>
      </c>
      <c r="AO783" s="1" t="s">
        <v>104</v>
      </c>
      <c r="AP783" s="1" t="s">
        <v>104</v>
      </c>
      <c r="AQ783" s="1" t="s">
        <v>104</v>
      </c>
      <c r="AR783" s="1" t="s">
        <v>104</v>
      </c>
      <c r="AS783" s="1" t="s">
        <v>104</v>
      </c>
      <c r="AU783" s="1" t="s">
        <v>104</v>
      </c>
      <c r="AV783" s="1" t="s">
        <v>104</v>
      </c>
      <c r="AX783" s="1" t="str">
        <f>IFERROR(__xludf.DUMMYFUNCTION("""COMPUTED_VALUE"""),"")</f>
        <v/>
      </c>
      <c r="AZ783" s="1" t="str">
        <f>IFERROR(__xludf.DUMMYFUNCTION("""COMPUTED_VALUE"""),"")</f>
        <v/>
      </c>
      <c r="BB783" s="1" t="s">
        <v>104</v>
      </c>
      <c r="BC783" s="1" t="s">
        <v>104</v>
      </c>
      <c r="BE783" s="1" t="s">
        <v>104</v>
      </c>
      <c r="BG783" s="1" t="s">
        <v>104</v>
      </c>
      <c r="BH783" s="1" t="s">
        <v>104</v>
      </c>
      <c r="BI783" s="1" t="s">
        <v>104</v>
      </c>
      <c r="BJ783" s="1" t="s">
        <v>104</v>
      </c>
      <c r="BK783" s="1" t="s">
        <v>104</v>
      </c>
      <c r="BL783" s="1" t="s">
        <v>104</v>
      </c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N784" s="1" t="s">
        <v>104</v>
      </c>
      <c r="AO784" s="1" t="s">
        <v>104</v>
      </c>
      <c r="AP784" s="1" t="s">
        <v>104</v>
      </c>
      <c r="AQ784" s="1" t="s">
        <v>104</v>
      </c>
      <c r="AR784" s="1" t="s">
        <v>104</v>
      </c>
      <c r="AS784" s="1" t="s">
        <v>104</v>
      </c>
      <c r="AU784" s="1" t="s">
        <v>104</v>
      </c>
      <c r="AV784" s="1" t="s">
        <v>104</v>
      </c>
      <c r="AX784" s="1" t="str">
        <f>IFERROR(__xludf.DUMMYFUNCTION("""COMPUTED_VALUE"""),"")</f>
        <v/>
      </c>
      <c r="AZ784" s="1" t="str">
        <f>IFERROR(__xludf.DUMMYFUNCTION("""COMPUTED_VALUE"""),"")</f>
        <v/>
      </c>
      <c r="BB784" s="1" t="s">
        <v>104</v>
      </c>
      <c r="BC784" s="1" t="s">
        <v>104</v>
      </c>
      <c r="BE784" s="1" t="s">
        <v>104</v>
      </c>
      <c r="BG784" s="1" t="s">
        <v>104</v>
      </c>
      <c r="BH784" s="1" t="s">
        <v>104</v>
      </c>
      <c r="BI784" s="1" t="s">
        <v>104</v>
      </c>
      <c r="BJ784" s="1" t="s">
        <v>104</v>
      </c>
      <c r="BK784" s="1" t="s">
        <v>104</v>
      </c>
      <c r="BL784" s="1" t="s">
        <v>104</v>
      </c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N785" s="1" t="s">
        <v>104</v>
      </c>
      <c r="AO785" s="1" t="s">
        <v>104</v>
      </c>
      <c r="AP785" s="1" t="s">
        <v>104</v>
      </c>
      <c r="AQ785" s="1" t="s">
        <v>104</v>
      </c>
      <c r="AR785" s="1" t="s">
        <v>104</v>
      </c>
      <c r="AS785" s="1" t="s">
        <v>104</v>
      </c>
      <c r="AU785" s="1" t="s">
        <v>104</v>
      </c>
      <c r="AV785" s="1" t="s">
        <v>104</v>
      </c>
      <c r="AX785" s="1" t="str">
        <f>IFERROR(__xludf.DUMMYFUNCTION("""COMPUTED_VALUE"""),"")</f>
        <v/>
      </c>
      <c r="AZ785" s="1" t="str">
        <f>IFERROR(__xludf.DUMMYFUNCTION("""COMPUTED_VALUE"""),"")</f>
        <v/>
      </c>
      <c r="BB785" s="1" t="s">
        <v>104</v>
      </c>
      <c r="BC785" s="1" t="s">
        <v>104</v>
      </c>
      <c r="BE785" s="1" t="s">
        <v>104</v>
      </c>
      <c r="BG785" s="1" t="s">
        <v>104</v>
      </c>
      <c r="BH785" s="1" t="s">
        <v>104</v>
      </c>
      <c r="BI785" s="1" t="s">
        <v>104</v>
      </c>
      <c r="BJ785" s="1" t="s">
        <v>104</v>
      </c>
      <c r="BK785" s="1" t="s">
        <v>104</v>
      </c>
      <c r="BL785" s="1" t="s">
        <v>104</v>
      </c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N786" s="1" t="s">
        <v>104</v>
      </c>
      <c r="AO786" s="1" t="s">
        <v>104</v>
      </c>
      <c r="AP786" s="1" t="s">
        <v>104</v>
      </c>
      <c r="AQ786" s="1" t="s">
        <v>104</v>
      </c>
      <c r="AR786" s="1" t="s">
        <v>104</v>
      </c>
      <c r="AS786" s="1" t="s">
        <v>104</v>
      </c>
      <c r="AU786" s="1" t="s">
        <v>104</v>
      </c>
      <c r="AV786" s="1" t="s">
        <v>104</v>
      </c>
      <c r="AX786" s="1" t="str">
        <f>IFERROR(__xludf.DUMMYFUNCTION("""COMPUTED_VALUE"""),"")</f>
        <v/>
      </c>
      <c r="AZ786" s="1" t="str">
        <f>IFERROR(__xludf.DUMMYFUNCTION("""COMPUTED_VALUE"""),"")</f>
        <v/>
      </c>
      <c r="BB786" s="1" t="s">
        <v>104</v>
      </c>
      <c r="BC786" s="1" t="s">
        <v>104</v>
      </c>
      <c r="BE786" s="1" t="s">
        <v>104</v>
      </c>
      <c r="BG786" s="1" t="s">
        <v>104</v>
      </c>
      <c r="BH786" s="1" t="s">
        <v>104</v>
      </c>
      <c r="BI786" s="1" t="s">
        <v>104</v>
      </c>
      <c r="BJ786" s="1" t="s">
        <v>104</v>
      </c>
      <c r="BK786" s="1" t="s">
        <v>104</v>
      </c>
      <c r="BL786" s="1" t="s">
        <v>104</v>
      </c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N787" s="1" t="s">
        <v>104</v>
      </c>
      <c r="AO787" s="1" t="s">
        <v>104</v>
      </c>
      <c r="AP787" s="1" t="s">
        <v>104</v>
      </c>
      <c r="AQ787" s="1" t="s">
        <v>104</v>
      </c>
      <c r="AR787" s="1" t="s">
        <v>104</v>
      </c>
      <c r="AS787" s="1" t="s">
        <v>104</v>
      </c>
      <c r="AU787" s="1" t="s">
        <v>104</v>
      </c>
      <c r="AV787" s="1" t="s">
        <v>104</v>
      </c>
      <c r="AX787" s="1" t="str">
        <f>IFERROR(__xludf.DUMMYFUNCTION("""COMPUTED_VALUE"""),"")</f>
        <v/>
      </c>
      <c r="AZ787" s="1" t="str">
        <f>IFERROR(__xludf.DUMMYFUNCTION("""COMPUTED_VALUE"""),"")</f>
        <v/>
      </c>
      <c r="BB787" s="1" t="s">
        <v>104</v>
      </c>
      <c r="BC787" s="1" t="s">
        <v>104</v>
      </c>
      <c r="BE787" s="1" t="s">
        <v>104</v>
      </c>
      <c r="BG787" s="1" t="s">
        <v>104</v>
      </c>
      <c r="BH787" s="1" t="s">
        <v>104</v>
      </c>
      <c r="BI787" s="1" t="s">
        <v>104</v>
      </c>
      <c r="BJ787" s="1" t="s">
        <v>104</v>
      </c>
      <c r="BK787" s="1" t="s">
        <v>104</v>
      </c>
      <c r="BL787" s="1" t="s">
        <v>104</v>
      </c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N788" s="1" t="s">
        <v>104</v>
      </c>
      <c r="AO788" s="1" t="s">
        <v>104</v>
      </c>
      <c r="AP788" s="1" t="s">
        <v>104</v>
      </c>
      <c r="AQ788" s="1" t="s">
        <v>104</v>
      </c>
      <c r="AR788" s="1" t="s">
        <v>104</v>
      </c>
      <c r="AS788" s="1" t="s">
        <v>104</v>
      </c>
      <c r="AU788" s="1" t="s">
        <v>104</v>
      </c>
      <c r="AV788" s="1" t="s">
        <v>104</v>
      </c>
      <c r="AX788" s="1" t="str">
        <f>IFERROR(__xludf.DUMMYFUNCTION("""COMPUTED_VALUE"""),"")</f>
        <v/>
      </c>
      <c r="AZ788" s="1" t="str">
        <f>IFERROR(__xludf.DUMMYFUNCTION("""COMPUTED_VALUE"""),"")</f>
        <v/>
      </c>
      <c r="BB788" s="1" t="s">
        <v>104</v>
      </c>
      <c r="BC788" s="1" t="s">
        <v>104</v>
      </c>
      <c r="BE788" s="1" t="s">
        <v>104</v>
      </c>
      <c r="BG788" s="1" t="s">
        <v>104</v>
      </c>
      <c r="BH788" s="1" t="s">
        <v>104</v>
      </c>
      <c r="BI788" s="1" t="s">
        <v>104</v>
      </c>
      <c r="BJ788" s="1" t="s">
        <v>104</v>
      </c>
      <c r="BK788" s="1" t="s">
        <v>104</v>
      </c>
      <c r="BL788" s="1" t="s">
        <v>104</v>
      </c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N789" s="1" t="s">
        <v>104</v>
      </c>
      <c r="AO789" s="1" t="s">
        <v>104</v>
      </c>
      <c r="AP789" s="1" t="s">
        <v>104</v>
      </c>
      <c r="AQ789" s="1" t="s">
        <v>104</v>
      </c>
      <c r="AR789" s="1" t="s">
        <v>104</v>
      </c>
      <c r="AS789" s="1" t="s">
        <v>104</v>
      </c>
      <c r="AU789" s="1" t="s">
        <v>104</v>
      </c>
      <c r="AV789" s="1" t="s">
        <v>104</v>
      </c>
      <c r="AX789" s="1" t="str">
        <f>IFERROR(__xludf.DUMMYFUNCTION("""COMPUTED_VALUE"""),"")</f>
        <v/>
      </c>
      <c r="AZ789" s="1" t="str">
        <f>IFERROR(__xludf.DUMMYFUNCTION("""COMPUTED_VALUE"""),"")</f>
        <v/>
      </c>
      <c r="BB789" s="1" t="s">
        <v>104</v>
      </c>
      <c r="BC789" s="1" t="s">
        <v>104</v>
      </c>
      <c r="BE789" s="1" t="s">
        <v>104</v>
      </c>
      <c r="BG789" s="1" t="s">
        <v>104</v>
      </c>
      <c r="BH789" s="1" t="s">
        <v>104</v>
      </c>
      <c r="BI789" s="1" t="s">
        <v>104</v>
      </c>
      <c r="BJ789" s="1" t="s">
        <v>104</v>
      </c>
      <c r="BK789" s="1" t="s">
        <v>104</v>
      </c>
      <c r="BL789" s="1" t="s">
        <v>104</v>
      </c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N790" s="1" t="s">
        <v>104</v>
      </c>
      <c r="AO790" s="1" t="s">
        <v>104</v>
      </c>
      <c r="AP790" s="1" t="s">
        <v>104</v>
      </c>
      <c r="AQ790" s="1" t="s">
        <v>104</v>
      </c>
      <c r="AR790" s="1" t="s">
        <v>104</v>
      </c>
      <c r="AS790" s="1" t="s">
        <v>104</v>
      </c>
      <c r="AU790" s="1" t="s">
        <v>104</v>
      </c>
      <c r="AV790" s="1" t="s">
        <v>104</v>
      </c>
      <c r="AX790" s="1" t="str">
        <f>IFERROR(__xludf.DUMMYFUNCTION("""COMPUTED_VALUE"""),"")</f>
        <v/>
      </c>
      <c r="AZ790" s="1" t="str">
        <f>IFERROR(__xludf.DUMMYFUNCTION("""COMPUTED_VALUE"""),"")</f>
        <v/>
      </c>
      <c r="BB790" s="1" t="s">
        <v>104</v>
      </c>
      <c r="BC790" s="1" t="s">
        <v>104</v>
      </c>
      <c r="BE790" s="1" t="s">
        <v>104</v>
      </c>
      <c r="BG790" s="1" t="s">
        <v>104</v>
      </c>
      <c r="BH790" s="1" t="s">
        <v>104</v>
      </c>
      <c r="BI790" s="1" t="s">
        <v>104</v>
      </c>
      <c r="BJ790" s="1" t="s">
        <v>104</v>
      </c>
      <c r="BK790" s="1" t="s">
        <v>104</v>
      </c>
      <c r="BL790" s="1" t="s">
        <v>104</v>
      </c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N791" s="1" t="s">
        <v>104</v>
      </c>
      <c r="AO791" s="1" t="s">
        <v>104</v>
      </c>
      <c r="AP791" s="1" t="s">
        <v>104</v>
      </c>
      <c r="AQ791" s="1" t="s">
        <v>104</v>
      </c>
      <c r="AR791" s="1" t="s">
        <v>104</v>
      </c>
      <c r="AS791" s="1" t="s">
        <v>104</v>
      </c>
      <c r="AU791" s="1" t="s">
        <v>104</v>
      </c>
      <c r="AV791" s="1" t="s">
        <v>104</v>
      </c>
      <c r="AX791" s="1" t="str">
        <f>IFERROR(__xludf.DUMMYFUNCTION("""COMPUTED_VALUE"""),"")</f>
        <v/>
      </c>
      <c r="AZ791" s="1" t="str">
        <f>IFERROR(__xludf.DUMMYFUNCTION("""COMPUTED_VALUE"""),"")</f>
        <v/>
      </c>
      <c r="BB791" s="1" t="s">
        <v>104</v>
      </c>
      <c r="BC791" s="1" t="s">
        <v>104</v>
      </c>
      <c r="BE791" s="1" t="s">
        <v>104</v>
      </c>
      <c r="BG791" s="1" t="s">
        <v>104</v>
      </c>
      <c r="BH791" s="1" t="s">
        <v>104</v>
      </c>
      <c r="BI791" s="1" t="s">
        <v>104</v>
      </c>
      <c r="BJ791" s="1" t="s">
        <v>104</v>
      </c>
      <c r="BK791" s="1" t="s">
        <v>104</v>
      </c>
      <c r="BL791" s="1" t="s">
        <v>104</v>
      </c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N792" s="1" t="s">
        <v>104</v>
      </c>
      <c r="AO792" s="1" t="s">
        <v>104</v>
      </c>
      <c r="AP792" s="1" t="s">
        <v>104</v>
      </c>
      <c r="AQ792" s="1" t="s">
        <v>104</v>
      </c>
      <c r="AR792" s="1" t="s">
        <v>104</v>
      </c>
      <c r="AS792" s="1" t="s">
        <v>104</v>
      </c>
      <c r="AU792" s="1" t="s">
        <v>104</v>
      </c>
      <c r="AV792" s="1" t="s">
        <v>104</v>
      </c>
      <c r="AX792" s="1" t="str">
        <f>IFERROR(__xludf.DUMMYFUNCTION("""COMPUTED_VALUE"""),"")</f>
        <v/>
      </c>
      <c r="AZ792" s="1" t="str">
        <f>IFERROR(__xludf.DUMMYFUNCTION("""COMPUTED_VALUE"""),"")</f>
        <v/>
      </c>
      <c r="BB792" s="1" t="s">
        <v>104</v>
      </c>
      <c r="BC792" s="1" t="s">
        <v>104</v>
      </c>
      <c r="BE792" s="1" t="s">
        <v>104</v>
      </c>
      <c r="BG792" s="1" t="s">
        <v>104</v>
      </c>
      <c r="BH792" s="1" t="s">
        <v>104</v>
      </c>
      <c r="BI792" s="1" t="s">
        <v>104</v>
      </c>
      <c r="BJ792" s="1" t="s">
        <v>104</v>
      </c>
      <c r="BK792" s="1" t="s">
        <v>104</v>
      </c>
      <c r="BL792" s="1" t="s">
        <v>104</v>
      </c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N793" s="1" t="s">
        <v>104</v>
      </c>
      <c r="AO793" s="1" t="s">
        <v>104</v>
      </c>
      <c r="AP793" s="1" t="s">
        <v>104</v>
      </c>
      <c r="AQ793" s="1" t="s">
        <v>104</v>
      </c>
      <c r="AR793" s="1" t="s">
        <v>104</v>
      </c>
      <c r="AS793" s="1" t="s">
        <v>104</v>
      </c>
      <c r="AU793" s="1" t="s">
        <v>104</v>
      </c>
      <c r="AV793" s="1" t="s">
        <v>104</v>
      </c>
      <c r="AX793" s="1" t="str">
        <f>IFERROR(__xludf.DUMMYFUNCTION("""COMPUTED_VALUE"""),"")</f>
        <v/>
      </c>
      <c r="AZ793" s="1" t="str">
        <f>IFERROR(__xludf.DUMMYFUNCTION("""COMPUTED_VALUE"""),"")</f>
        <v/>
      </c>
      <c r="BB793" s="1" t="s">
        <v>104</v>
      </c>
      <c r="BC793" s="1" t="s">
        <v>104</v>
      </c>
      <c r="BE793" s="1" t="s">
        <v>104</v>
      </c>
      <c r="BG793" s="1" t="s">
        <v>104</v>
      </c>
      <c r="BH793" s="1" t="s">
        <v>104</v>
      </c>
      <c r="BI793" s="1" t="s">
        <v>104</v>
      </c>
      <c r="BJ793" s="1" t="s">
        <v>104</v>
      </c>
      <c r="BK793" s="1" t="s">
        <v>104</v>
      </c>
      <c r="BL793" s="1" t="s">
        <v>104</v>
      </c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N794" s="1" t="s">
        <v>104</v>
      </c>
      <c r="AO794" s="1" t="s">
        <v>104</v>
      </c>
      <c r="AP794" s="1" t="s">
        <v>104</v>
      </c>
      <c r="AQ794" s="1" t="s">
        <v>104</v>
      </c>
      <c r="AR794" s="1" t="s">
        <v>104</v>
      </c>
      <c r="AS794" s="1" t="s">
        <v>104</v>
      </c>
      <c r="AU794" s="1" t="s">
        <v>104</v>
      </c>
      <c r="AV794" s="1" t="s">
        <v>104</v>
      </c>
      <c r="AX794" s="1" t="str">
        <f>IFERROR(__xludf.DUMMYFUNCTION("""COMPUTED_VALUE"""),"")</f>
        <v/>
      </c>
      <c r="AZ794" s="1" t="str">
        <f>IFERROR(__xludf.DUMMYFUNCTION("""COMPUTED_VALUE"""),"")</f>
        <v/>
      </c>
      <c r="BB794" s="1" t="s">
        <v>104</v>
      </c>
      <c r="BC794" s="1" t="s">
        <v>104</v>
      </c>
      <c r="BE794" s="1" t="s">
        <v>104</v>
      </c>
      <c r="BG794" s="1" t="s">
        <v>104</v>
      </c>
      <c r="BH794" s="1" t="s">
        <v>104</v>
      </c>
      <c r="BI794" s="1" t="s">
        <v>104</v>
      </c>
      <c r="BJ794" s="1" t="s">
        <v>104</v>
      </c>
      <c r="BK794" s="1" t="s">
        <v>104</v>
      </c>
      <c r="BL794" s="1" t="s">
        <v>104</v>
      </c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N795" s="1" t="s">
        <v>104</v>
      </c>
      <c r="AO795" s="1" t="s">
        <v>104</v>
      </c>
      <c r="AP795" s="1" t="s">
        <v>104</v>
      </c>
      <c r="AQ795" s="1" t="s">
        <v>104</v>
      </c>
      <c r="AR795" s="1" t="s">
        <v>104</v>
      </c>
      <c r="AS795" s="1" t="s">
        <v>104</v>
      </c>
      <c r="AU795" s="1" t="s">
        <v>104</v>
      </c>
      <c r="AV795" s="1" t="s">
        <v>104</v>
      </c>
      <c r="AX795" s="1" t="str">
        <f>IFERROR(__xludf.DUMMYFUNCTION("""COMPUTED_VALUE"""),"")</f>
        <v/>
      </c>
      <c r="AZ795" s="1" t="str">
        <f>IFERROR(__xludf.DUMMYFUNCTION("""COMPUTED_VALUE"""),"")</f>
        <v/>
      </c>
      <c r="BB795" s="1" t="s">
        <v>104</v>
      </c>
      <c r="BC795" s="1" t="s">
        <v>104</v>
      </c>
      <c r="BE795" s="1" t="s">
        <v>104</v>
      </c>
      <c r="BG795" s="1" t="s">
        <v>104</v>
      </c>
      <c r="BH795" s="1" t="s">
        <v>104</v>
      </c>
      <c r="BI795" s="1" t="s">
        <v>104</v>
      </c>
      <c r="BJ795" s="1" t="s">
        <v>104</v>
      </c>
      <c r="BK795" s="1" t="s">
        <v>104</v>
      </c>
      <c r="BL795" s="1" t="s">
        <v>104</v>
      </c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N796" s="1" t="s">
        <v>104</v>
      </c>
      <c r="AO796" s="1" t="s">
        <v>104</v>
      </c>
      <c r="AP796" s="1" t="s">
        <v>104</v>
      </c>
      <c r="AQ796" s="1" t="s">
        <v>104</v>
      </c>
      <c r="AR796" s="1" t="s">
        <v>104</v>
      </c>
      <c r="AS796" s="1" t="s">
        <v>104</v>
      </c>
      <c r="AU796" s="1" t="s">
        <v>104</v>
      </c>
      <c r="AV796" s="1" t="s">
        <v>104</v>
      </c>
      <c r="AX796" s="1" t="str">
        <f>IFERROR(__xludf.DUMMYFUNCTION("""COMPUTED_VALUE"""),"")</f>
        <v/>
      </c>
      <c r="AZ796" s="1" t="str">
        <f>IFERROR(__xludf.DUMMYFUNCTION("""COMPUTED_VALUE"""),"")</f>
        <v/>
      </c>
      <c r="BB796" s="1" t="s">
        <v>104</v>
      </c>
      <c r="BC796" s="1" t="s">
        <v>104</v>
      </c>
      <c r="BE796" s="1" t="s">
        <v>104</v>
      </c>
      <c r="BG796" s="1" t="s">
        <v>104</v>
      </c>
      <c r="BH796" s="1" t="s">
        <v>104</v>
      </c>
      <c r="BI796" s="1" t="s">
        <v>104</v>
      </c>
      <c r="BJ796" s="1" t="s">
        <v>104</v>
      </c>
      <c r="BK796" s="1" t="s">
        <v>104</v>
      </c>
      <c r="BL796" s="1" t="s">
        <v>104</v>
      </c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N797" s="1" t="s">
        <v>104</v>
      </c>
      <c r="AO797" s="1" t="s">
        <v>104</v>
      </c>
      <c r="AP797" s="1" t="s">
        <v>104</v>
      </c>
      <c r="AQ797" s="1" t="s">
        <v>104</v>
      </c>
      <c r="AR797" s="1" t="s">
        <v>104</v>
      </c>
      <c r="AS797" s="1" t="s">
        <v>104</v>
      </c>
      <c r="AU797" s="1" t="s">
        <v>104</v>
      </c>
      <c r="AV797" s="1" t="s">
        <v>104</v>
      </c>
      <c r="AX797" s="1" t="str">
        <f>IFERROR(__xludf.DUMMYFUNCTION("""COMPUTED_VALUE"""),"")</f>
        <v/>
      </c>
      <c r="AZ797" s="1" t="str">
        <f>IFERROR(__xludf.DUMMYFUNCTION("""COMPUTED_VALUE"""),"")</f>
        <v/>
      </c>
      <c r="BB797" s="1" t="s">
        <v>104</v>
      </c>
      <c r="BC797" s="1" t="s">
        <v>104</v>
      </c>
      <c r="BE797" s="1" t="s">
        <v>104</v>
      </c>
      <c r="BG797" s="1" t="s">
        <v>104</v>
      </c>
      <c r="BH797" s="1" t="s">
        <v>104</v>
      </c>
      <c r="BI797" s="1" t="s">
        <v>104</v>
      </c>
      <c r="BJ797" s="1" t="s">
        <v>104</v>
      </c>
      <c r="BK797" s="1" t="s">
        <v>104</v>
      </c>
      <c r="BL797" s="1" t="s">
        <v>104</v>
      </c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N798" s="1" t="s">
        <v>104</v>
      </c>
      <c r="AO798" s="1" t="s">
        <v>104</v>
      </c>
      <c r="AP798" s="1" t="s">
        <v>104</v>
      </c>
      <c r="AQ798" s="1" t="s">
        <v>104</v>
      </c>
      <c r="AR798" s="1" t="s">
        <v>104</v>
      </c>
      <c r="AS798" s="1" t="s">
        <v>104</v>
      </c>
      <c r="AU798" s="1" t="s">
        <v>104</v>
      </c>
      <c r="AV798" s="1" t="s">
        <v>104</v>
      </c>
      <c r="AX798" s="1" t="str">
        <f>IFERROR(__xludf.DUMMYFUNCTION("""COMPUTED_VALUE"""),"")</f>
        <v/>
      </c>
      <c r="AZ798" s="1" t="str">
        <f>IFERROR(__xludf.DUMMYFUNCTION("""COMPUTED_VALUE"""),"")</f>
        <v/>
      </c>
      <c r="BB798" s="1" t="s">
        <v>104</v>
      </c>
      <c r="BC798" s="1" t="s">
        <v>104</v>
      </c>
      <c r="BE798" s="1" t="s">
        <v>104</v>
      </c>
      <c r="BG798" s="1" t="s">
        <v>104</v>
      </c>
      <c r="BH798" s="1" t="s">
        <v>104</v>
      </c>
      <c r="BI798" s="1" t="s">
        <v>104</v>
      </c>
      <c r="BJ798" s="1" t="s">
        <v>104</v>
      </c>
      <c r="BK798" s="1" t="s">
        <v>104</v>
      </c>
      <c r="BL798" s="1" t="s">
        <v>104</v>
      </c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N799" s="1" t="s">
        <v>104</v>
      </c>
      <c r="AO799" s="1" t="s">
        <v>104</v>
      </c>
      <c r="AP799" s="1" t="s">
        <v>104</v>
      </c>
      <c r="AQ799" s="1" t="s">
        <v>104</v>
      </c>
      <c r="AR799" s="1" t="s">
        <v>104</v>
      </c>
      <c r="AS799" s="1" t="s">
        <v>104</v>
      </c>
      <c r="AU799" s="1" t="s">
        <v>104</v>
      </c>
      <c r="AV799" s="1" t="s">
        <v>104</v>
      </c>
      <c r="AX799" s="1" t="str">
        <f>IFERROR(__xludf.DUMMYFUNCTION("""COMPUTED_VALUE"""),"")</f>
        <v/>
      </c>
      <c r="AZ799" s="1" t="str">
        <f>IFERROR(__xludf.DUMMYFUNCTION("""COMPUTED_VALUE"""),"")</f>
        <v/>
      </c>
      <c r="BB799" s="1" t="s">
        <v>104</v>
      </c>
      <c r="BC799" s="1" t="s">
        <v>104</v>
      </c>
      <c r="BE799" s="1" t="s">
        <v>104</v>
      </c>
      <c r="BG799" s="1" t="s">
        <v>104</v>
      </c>
      <c r="BH799" s="1" t="s">
        <v>104</v>
      </c>
      <c r="BI799" s="1" t="s">
        <v>104</v>
      </c>
      <c r="BJ799" s="1" t="s">
        <v>104</v>
      </c>
      <c r="BK799" s="1" t="s">
        <v>104</v>
      </c>
      <c r="BL799" s="1" t="s">
        <v>104</v>
      </c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N800" s="1" t="s">
        <v>104</v>
      </c>
      <c r="AO800" s="1" t="s">
        <v>104</v>
      </c>
      <c r="AP800" s="1" t="s">
        <v>104</v>
      </c>
      <c r="AQ800" s="1" t="s">
        <v>104</v>
      </c>
      <c r="AR800" s="1" t="s">
        <v>104</v>
      </c>
      <c r="AS800" s="1" t="s">
        <v>104</v>
      </c>
      <c r="AU800" s="1" t="s">
        <v>104</v>
      </c>
      <c r="AV800" s="1" t="s">
        <v>104</v>
      </c>
      <c r="AX800" s="1" t="str">
        <f>IFERROR(__xludf.DUMMYFUNCTION("""COMPUTED_VALUE"""),"")</f>
        <v/>
      </c>
      <c r="AZ800" s="1" t="str">
        <f>IFERROR(__xludf.DUMMYFUNCTION("""COMPUTED_VALUE"""),"")</f>
        <v/>
      </c>
      <c r="BB800" s="1" t="s">
        <v>104</v>
      </c>
      <c r="BC800" s="1" t="s">
        <v>104</v>
      </c>
      <c r="BE800" s="1" t="s">
        <v>104</v>
      </c>
      <c r="BG800" s="1" t="s">
        <v>104</v>
      </c>
      <c r="BH800" s="1" t="s">
        <v>104</v>
      </c>
      <c r="BI800" s="1" t="s">
        <v>104</v>
      </c>
      <c r="BJ800" s="1" t="s">
        <v>104</v>
      </c>
      <c r="BK800" s="1" t="s">
        <v>104</v>
      </c>
      <c r="BL800" s="1" t="s">
        <v>104</v>
      </c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N801" s="1" t="s">
        <v>104</v>
      </c>
      <c r="AO801" s="1" t="s">
        <v>104</v>
      </c>
      <c r="AP801" s="1" t="s">
        <v>104</v>
      </c>
      <c r="AQ801" s="1" t="s">
        <v>104</v>
      </c>
      <c r="AR801" s="1" t="s">
        <v>104</v>
      </c>
      <c r="AS801" s="1" t="s">
        <v>104</v>
      </c>
      <c r="AU801" s="1" t="s">
        <v>104</v>
      </c>
      <c r="AV801" s="1" t="s">
        <v>104</v>
      </c>
      <c r="AX801" s="1" t="str">
        <f>IFERROR(__xludf.DUMMYFUNCTION("""COMPUTED_VALUE"""),"")</f>
        <v/>
      </c>
      <c r="AZ801" s="1" t="str">
        <f>IFERROR(__xludf.DUMMYFUNCTION("""COMPUTED_VALUE"""),"")</f>
        <v/>
      </c>
      <c r="BB801" s="1" t="s">
        <v>104</v>
      </c>
      <c r="BC801" s="1" t="s">
        <v>104</v>
      </c>
      <c r="BE801" s="1" t="s">
        <v>104</v>
      </c>
      <c r="BG801" s="1" t="s">
        <v>104</v>
      </c>
      <c r="BH801" s="1" t="s">
        <v>104</v>
      </c>
      <c r="BI801" s="1" t="s">
        <v>104</v>
      </c>
      <c r="BJ801" s="1" t="s">
        <v>104</v>
      </c>
      <c r="BK801" s="1" t="s">
        <v>104</v>
      </c>
      <c r="BL801" s="1" t="s">
        <v>104</v>
      </c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N802" s="1" t="s">
        <v>104</v>
      </c>
      <c r="AO802" s="1" t="s">
        <v>104</v>
      </c>
      <c r="AP802" s="1" t="s">
        <v>104</v>
      </c>
      <c r="AQ802" s="1" t="s">
        <v>104</v>
      </c>
      <c r="AR802" s="1" t="s">
        <v>104</v>
      </c>
      <c r="AS802" s="1" t="s">
        <v>104</v>
      </c>
      <c r="AU802" s="1" t="s">
        <v>104</v>
      </c>
      <c r="AV802" s="1" t="s">
        <v>104</v>
      </c>
      <c r="AX802" s="1" t="str">
        <f>IFERROR(__xludf.DUMMYFUNCTION("""COMPUTED_VALUE"""),"")</f>
        <v/>
      </c>
      <c r="AZ802" s="1" t="str">
        <f>IFERROR(__xludf.DUMMYFUNCTION("""COMPUTED_VALUE"""),"")</f>
        <v/>
      </c>
      <c r="BB802" s="1" t="s">
        <v>104</v>
      </c>
      <c r="BC802" s="1" t="s">
        <v>104</v>
      </c>
      <c r="BE802" s="1" t="s">
        <v>104</v>
      </c>
      <c r="BG802" s="1" t="s">
        <v>104</v>
      </c>
      <c r="BH802" s="1" t="s">
        <v>104</v>
      </c>
      <c r="BI802" s="1" t="s">
        <v>104</v>
      </c>
      <c r="BJ802" s="1" t="s">
        <v>104</v>
      </c>
      <c r="BK802" s="1" t="s">
        <v>104</v>
      </c>
      <c r="BL802" s="1" t="s">
        <v>104</v>
      </c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N803" s="1" t="s">
        <v>104</v>
      </c>
      <c r="AO803" s="1" t="s">
        <v>104</v>
      </c>
      <c r="AP803" s="1" t="s">
        <v>104</v>
      </c>
      <c r="AQ803" s="1" t="s">
        <v>104</v>
      </c>
      <c r="AR803" s="1" t="s">
        <v>104</v>
      </c>
      <c r="AS803" s="1" t="s">
        <v>104</v>
      </c>
      <c r="AU803" s="1" t="s">
        <v>104</v>
      </c>
      <c r="AV803" s="1" t="s">
        <v>104</v>
      </c>
      <c r="AX803" s="1" t="str">
        <f>IFERROR(__xludf.DUMMYFUNCTION("""COMPUTED_VALUE"""),"")</f>
        <v/>
      </c>
      <c r="AZ803" s="1" t="str">
        <f>IFERROR(__xludf.DUMMYFUNCTION("""COMPUTED_VALUE"""),"")</f>
        <v/>
      </c>
      <c r="BB803" s="1" t="s">
        <v>104</v>
      </c>
      <c r="BC803" s="1" t="s">
        <v>104</v>
      </c>
      <c r="BE803" s="1" t="s">
        <v>104</v>
      </c>
      <c r="BG803" s="1" t="s">
        <v>104</v>
      </c>
      <c r="BH803" s="1" t="s">
        <v>104</v>
      </c>
      <c r="BI803" s="1" t="s">
        <v>104</v>
      </c>
      <c r="BJ803" s="1" t="s">
        <v>104</v>
      </c>
      <c r="BK803" s="1" t="s">
        <v>104</v>
      </c>
      <c r="BL803" s="1" t="s">
        <v>104</v>
      </c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N804" s="1" t="s">
        <v>104</v>
      </c>
      <c r="AO804" s="1" t="s">
        <v>104</v>
      </c>
      <c r="AP804" s="1" t="s">
        <v>104</v>
      </c>
      <c r="AQ804" s="1" t="s">
        <v>104</v>
      </c>
      <c r="AR804" s="1" t="s">
        <v>104</v>
      </c>
      <c r="AS804" s="1" t="s">
        <v>104</v>
      </c>
      <c r="AU804" s="1" t="s">
        <v>104</v>
      </c>
      <c r="AV804" s="1" t="s">
        <v>104</v>
      </c>
      <c r="AX804" s="1" t="str">
        <f>IFERROR(__xludf.DUMMYFUNCTION("""COMPUTED_VALUE"""),"")</f>
        <v/>
      </c>
      <c r="AZ804" s="1" t="str">
        <f>IFERROR(__xludf.DUMMYFUNCTION("""COMPUTED_VALUE"""),"")</f>
        <v/>
      </c>
      <c r="BB804" s="1" t="s">
        <v>104</v>
      </c>
      <c r="BC804" s="1" t="s">
        <v>104</v>
      </c>
      <c r="BE804" s="1" t="s">
        <v>104</v>
      </c>
      <c r="BG804" s="1" t="s">
        <v>104</v>
      </c>
      <c r="BH804" s="1" t="s">
        <v>104</v>
      </c>
      <c r="BI804" s="1" t="s">
        <v>104</v>
      </c>
      <c r="BJ804" s="1" t="s">
        <v>104</v>
      </c>
      <c r="BK804" s="1" t="s">
        <v>104</v>
      </c>
      <c r="BL804" s="1" t="s">
        <v>104</v>
      </c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N805" s="1" t="s">
        <v>104</v>
      </c>
      <c r="AO805" s="1" t="s">
        <v>104</v>
      </c>
      <c r="AP805" s="1" t="s">
        <v>104</v>
      </c>
      <c r="AQ805" s="1" t="s">
        <v>104</v>
      </c>
      <c r="AR805" s="1" t="s">
        <v>104</v>
      </c>
      <c r="AS805" s="1" t="s">
        <v>104</v>
      </c>
      <c r="AU805" s="1" t="s">
        <v>104</v>
      </c>
      <c r="AV805" s="1" t="s">
        <v>104</v>
      </c>
      <c r="AX805" s="1" t="str">
        <f>IFERROR(__xludf.DUMMYFUNCTION("""COMPUTED_VALUE"""),"")</f>
        <v/>
      </c>
      <c r="AZ805" s="1" t="str">
        <f>IFERROR(__xludf.DUMMYFUNCTION("""COMPUTED_VALUE"""),"")</f>
        <v/>
      </c>
      <c r="BB805" s="1" t="s">
        <v>104</v>
      </c>
      <c r="BC805" s="1" t="s">
        <v>104</v>
      </c>
      <c r="BE805" s="1" t="s">
        <v>104</v>
      </c>
      <c r="BG805" s="1" t="s">
        <v>104</v>
      </c>
      <c r="BH805" s="1" t="s">
        <v>104</v>
      </c>
      <c r="BI805" s="1" t="s">
        <v>104</v>
      </c>
      <c r="BJ805" s="1" t="s">
        <v>104</v>
      </c>
      <c r="BK805" s="1" t="s">
        <v>104</v>
      </c>
      <c r="BL805" s="1" t="s">
        <v>104</v>
      </c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N806" s="1" t="s">
        <v>104</v>
      </c>
      <c r="AO806" s="1" t="s">
        <v>104</v>
      </c>
      <c r="AP806" s="1" t="s">
        <v>104</v>
      </c>
      <c r="AQ806" s="1" t="s">
        <v>104</v>
      </c>
      <c r="AR806" s="1" t="s">
        <v>104</v>
      </c>
      <c r="AS806" s="1" t="s">
        <v>104</v>
      </c>
      <c r="AU806" s="1" t="s">
        <v>104</v>
      </c>
      <c r="AV806" s="1" t="s">
        <v>104</v>
      </c>
      <c r="AX806" s="1" t="str">
        <f>IFERROR(__xludf.DUMMYFUNCTION("""COMPUTED_VALUE"""),"")</f>
        <v/>
      </c>
      <c r="AZ806" s="1" t="str">
        <f>IFERROR(__xludf.DUMMYFUNCTION("""COMPUTED_VALUE"""),"")</f>
        <v/>
      </c>
      <c r="BB806" s="1" t="s">
        <v>104</v>
      </c>
      <c r="BC806" s="1" t="s">
        <v>104</v>
      </c>
      <c r="BE806" s="1" t="s">
        <v>104</v>
      </c>
      <c r="BG806" s="1" t="s">
        <v>104</v>
      </c>
      <c r="BH806" s="1" t="s">
        <v>104</v>
      </c>
      <c r="BI806" s="1" t="s">
        <v>104</v>
      </c>
      <c r="BJ806" s="1" t="s">
        <v>104</v>
      </c>
      <c r="BK806" s="1" t="s">
        <v>104</v>
      </c>
      <c r="BL806" s="1" t="s">
        <v>104</v>
      </c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N807" s="1" t="s">
        <v>104</v>
      </c>
      <c r="AO807" s="1" t="s">
        <v>104</v>
      </c>
      <c r="AP807" s="1" t="s">
        <v>104</v>
      </c>
      <c r="AQ807" s="1" t="s">
        <v>104</v>
      </c>
      <c r="AR807" s="1" t="s">
        <v>104</v>
      </c>
      <c r="AS807" s="1" t="s">
        <v>104</v>
      </c>
      <c r="AU807" s="1" t="s">
        <v>104</v>
      </c>
      <c r="AV807" s="1" t="s">
        <v>104</v>
      </c>
      <c r="AX807" s="1" t="str">
        <f>IFERROR(__xludf.DUMMYFUNCTION("""COMPUTED_VALUE"""),"")</f>
        <v/>
      </c>
      <c r="AZ807" s="1" t="str">
        <f>IFERROR(__xludf.DUMMYFUNCTION("""COMPUTED_VALUE"""),"")</f>
        <v/>
      </c>
      <c r="BB807" s="1" t="s">
        <v>104</v>
      </c>
      <c r="BC807" s="1" t="s">
        <v>104</v>
      </c>
      <c r="BE807" s="1" t="s">
        <v>104</v>
      </c>
      <c r="BG807" s="1" t="s">
        <v>104</v>
      </c>
      <c r="BH807" s="1" t="s">
        <v>104</v>
      </c>
      <c r="BI807" s="1" t="s">
        <v>104</v>
      </c>
      <c r="BJ807" s="1" t="s">
        <v>104</v>
      </c>
      <c r="BK807" s="1" t="s">
        <v>104</v>
      </c>
      <c r="BL807" s="1" t="s">
        <v>104</v>
      </c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N808" s="1" t="s">
        <v>104</v>
      </c>
      <c r="AO808" s="1" t="s">
        <v>104</v>
      </c>
      <c r="AP808" s="1" t="s">
        <v>104</v>
      </c>
      <c r="AQ808" s="1" t="s">
        <v>104</v>
      </c>
      <c r="AR808" s="1" t="s">
        <v>104</v>
      </c>
      <c r="AS808" s="1" t="s">
        <v>104</v>
      </c>
      <c r="AU808" s="1" t="s">
        <v>104</v>
      </c>
      <c r="AV808" s="1" t="s">
        <v>104</v>
      </c>
      <c r="AX808" s="1" t="str">
        <f>IFERROR(__xludf.DUMMYFUNCTION("""COMPUTED_VALUE"""),"")</f>
        <v/>
      </c>
      <c r="AZ808" s="1" t="str">
        <f>IFERROR(__xludf.DUMMYFUNCTION("""COMPUTED_VALUE"""),"")</f>
        <v/>
      </c>
      <c r="BB808" s="1" t="s">
        <v>104</v>
      </c>
      <c r="BC808" s="1" t="s">
        <v>104</v>
      </c>
      <c r="BE808" s="1" t="s">
        <v>104</v>
      </c>
      <c r="BG808" s="1" t="s">
        <v>104</v>
      </c>
      <c r="BH808" s="1" t="s">
        <v>104</v>
      </c>
      <c r="BI808" s="1" t="s">
        <v>104</v>
      </c>
      <c r="BJ808" s="1" t="s">
        <v>104</v>
      </c>
      <c r="BK808" s="1" t="s">
        <v>104</v>
      </c>
      <c r="BL808" s="1" t="s">
        <v>104</v>
      </c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N809" s="1" t="s">
        <v>104</v>
      </c>
      <c r="AO809" s="1" t="s">
        <v>104</v>
      </c>
      <c r="AP809" s="1" t="s">
        <v>104</v>
      </c>
      <c r="AQ809" s="1" t="s">
        <v>104</v>
      </c>
      <c r="AR809" s="1" t="s">
        <v>104</v>
      </c>
      <c r="AS809" s="1" t="s">
        <v>104</v>
      </c>
      <c r="AU809" s="1" t="s">
        <v>104</v>
      </c>
      <c r="AV809" s="1" t="s">
        <v>104</v>
      </c>
      <c r="AX809" s="1" t="str">
        <f>IFERROR(__xludf.DUMMYFUNCTION("""COMPUTED_VALUE"""),"")</f>
        <v/>
      </c>
      <c r="AZ809" s="1" t="str">
        <f>IFERROR(__xludf.DUMMYFUNCTION("""COMPUTED_VALUE"""),"")</f>
        <v/>
      </c>
      <c r="BB809" s="1" t="s">
        <v>104</v>
      </c>
      <c r="BC809" s="1" t="s">
        <v>104</v>
      </c>
      <c r="BE809" s="1" t="s">
        <v>104</v>
      </c>
      <c r="BG809" s="1" t="s">
        <v>104</v>
      </c>
      <c r="BH809" s="1" t="s">
        <v>104</v>
      </c>
      <c r="BI809" s="1" t="s">
        <v>104</v>
      </c>
      <c r="BJ809" s="1" t="s">
        <v>104</v>
      </c>
      <c r="BK809" s="1" t="s">
        <v>104</v>
      </c>
      <c r="BL809" s="1" t="s">
        <v>104</v>
      </c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N810" s="1" t="s">
        <v>104</v>
      </c>
      <c r="AO810" s="1" t="s">
        <v>104</v>
      </c>
      <c r="AP810" s="1" t="s">
        <v>104</v>
      </c>
      <c r="AQ810" s="1" t="s">
        <v>104</v>
      </c>
      <c r="AR810" s="1" t="s">
        <v>104</v>
      </c>
      <c r="AS810" s="1" t="s">
        <v>104</v>
      </c>
      <c r="AU810" s="1" t="s">
        <v>104</v>
      </c>
      <c r="AV810" s="1" t="s">
        <v>104</v>
      </c>
      <c r="AX810" s="1" t="str">
        <f>IFERROR(__xludf.DUMMYFUNCTION("""COMPUTED_VALUE"""),"")</f>
        <v/>
      </c>
      <c r="AZ810" s="1" t="str">
        <f>IFERROR(__xludf.DUMMYFUNCTION("""COMPUTED_VALUE"""),"")</f>
        <v/>
      </c>
      <c r="BB810" s="1" t="s">
        <v>104</v>
      </c>
      <c r="BC810" s="1" t="s">
        <v>104</v>
      </c>
      <c r="BE810" s="1" t="s">
        <v>104</v>
      </c>
      <c r="BG810" s="1" t="s">
        <v>104</v>
      </c>
      <c r="BH810" s="1" t="s">
        <v>104</v>
      </c>
      <c r="BI810" s="1" t="s">
        <v>104</v>
      </c>
      <c r="BJ810" s="1" t="s">
        <v>104</v>
      </c>
      <c r="BK810" s="1" t="s">
        <v>104</v>
      </c>
      <c r="BL810" s="1" t="s">
        <v>104</v>
      </c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N811" s="1" t="s">
        <v>104</v>
      </c>
      <c r="AO811" s="1" t="s">
        <v>104</v>
      </c>
      <c r="AP811" s="1" t="s">
        <v>104</v>
      </c>
      <c r="AQ811" s="1" t="s">
        <v>104</v>
      </c>
      <c r="AR811" s="1" t="s">
        <v>104</v>
      </c>
      <c r="AS811" s="1" t="s">
        <v>104</v>
      </c>
      <c r="AU811" s="1" t="s">
        <v>104</v>
      </c>
      <c r="AV811" s="1" t="s">
        <v>104</v>
      </c>
      <c r="AX811" s="1" t="str">
        <f>IFERROR(__xludf.DUMMYFUNCTION("""COMPUTED_VALUE"""),"")</f>
        <v/>
      </c>
      <c r="AZ811" s="1" t="str">
        <f>IFERROR(__xludf.DUMMYFUNCTION("""COMPUTED_VALUE"""),"")</f>
        <v/>
      </c>
      <c r="BB811" s="1" t="s">
        <v>104</v>
      </c>
      <c r="BC811" s="1" t="s">
        <v>104</v>
      </c>
      <c r="BE811" s="1" t="s">
        <v>104</v>
      </c>
      <c r="BG811" s="1" t="s">
        <v>104</v>
      </c>
      <c r="BH811" s="1" t="s">
        <v>104</v>
      </c>
      <c r="BI811" s="1" t="s">
        <v>104</v>
      </c>
      <c r="BJ811" s="1" t="s">
        <v>104</v>
      </c>
      <c r="BK811" s="1" t="s">
        <v>104</v>
      </c>
      <c r="BL811" s="1" t="s">
        <v>104</v>
      </c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N812" s="1" t="s">
        <v>104</v>
      </c>
      <c r="AO812" s="1" t="s">
        <v>104</v>
      </c>
      <c r="AP812" s="1" t="s">
        <v>104</v>
      </c>
      <c r="AQ812" s="1" t="s">
        <v>104</v>
      </c>
      <c r="AR812" s="1" t="s">
        <v>104</v>
      </c>
      <c r="AS812" s="1" t="s">
        <v>104</v>
      </c>
      <c r="AU812" s="1" t="s">
        <v>104</v>
      </c>
      <c r="AV812" s="1" t="s">
        <v>104</v>
      </c>
      <c r="AX812" s="1" t="str">
        <f>IFERROR(__xludf.DUMMYFUNCTION("""COMPUTED_VALUE"""),"")</f>
        <v/>
      </c>
      <c r="AZ812" s="1" t="str">
        <f>IFERROR(__xludf.DUMMYFUNCTION("""COMPUTED_VALUE"""),"")</f>
        <v/>
      </c>
      <c r="BB812" s="1" t="s">
        <v>104</v>
      </c>
      <c r="BC812" s="1" t="s">
        <v>104</v>
      </c>
      <c r="BE812" s="1" t="s">
        <v>104</v>
      </c>
      <c r="BG812" s="1" t="s">
        <v>104</v>
      </c>
      <c r="BH812" s="1" t="s">
        <v>104</v>
      </c>
      <c r="BI812" s="1" t="s">
        <v>104</v>
      </c>
      <c r="BJ812" s="1" t="s">
        <v>104</v>
      </c>
      <c r="BK812" s="1" t="s">
        <v>104</v>
      </c>
      <c r="BL812" s="1" t="s">
        <v>104</v>
      </c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N813" s="1" t="s">
        <v>104</v>
      </c>
      <c r="AO813" s="1" t="s">
        <v>104</v>
      </c>
      <c r="AP813" s="1" t="s">
        <v>104</v>
      </c>
      <c r="AQ813" s="1" t="s">
        <v>104</v>
      </c>
      <c r="AR813" s="1" t="s">
        <v>104</v>
      </c>
      <c r="AS813" s="1" t="s">
        <v>104</v>
      </c>
      <c r="AU813" s="1" t="s">
        <v>104</v>
      </c>
      <c r="AV813" s="1" t="s">
        <v>104</v>
      </c>
      <c r="AX813" s="1" t="str">
        <f>IFERROR(__xludf.DUMMYFUNCTION("""COMPUTED_VALUE"""),"")</f>
        <v/>
      </c>
      <c r="AZ813" s="1" t="str">
        <f>IFERROR(__xludf.DUMMYFUNCTION("""COMPUTED_VALUE"""),"")</f>
        <v/>
      </c>
      <c r="BB813" s="1" t="s">
        <v>104</v>
      </c>
      <c r="BC813" s="1" t="s">
        <v>104</v>
      </c>
      <c r="BE813" s="1" t="s">
        <v>104</v>
      </c>
      <c r="BG813" s="1" t="s">
        <v>104</v>
      </c>
      <c r="BH813" s="1" t="s">
        <v>104</v>
      </c>
      <c r="BI813" s="1" t="s">
        <v>104</v>
      </c>
      <c r="BJ813" s="1" t="s">
        <v>104</v>
      </c>
      <c r="BK813" s="1" t="s">
        <v>104</v>
      </c>
      <c r="BL813" s="1" t="s">
        <v>104</v>
      </c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N814" s="1" t="s">
        <v>104</v>
      </c>
      <c r="AO814" s="1" t="s">
        <v>104</v>
      </c>
      <c r="AP814" s="1" t="s">
        <v>104</v>
      </c>
      <c r="AQ814" s="1" t="s">
        <v>104</v>
      </c>
      <c r="AR814" s="1" t="s">
        <v>104</v>
      </c>
      <c r="AS814" s="1" t="s">
        <v>104</v>
      </c>
      <c r="AU814" s="1" t="s">
        <v>104</v>
      </c>
      <c r="AV814" s="1" t="s">
        <v>104</v>
      </c>
      <c r="AX814" s="1" t="str">
        <f>IFERROR(__xludf.DUMMYFUNCTION("""COMPUTED_VALUE"""),"")</f>
        <v/>
      </c>
      <c r="AZ814" s="1" t="str">
        <f>IFERROR(__xludf.DUMMYFUNCTION("""COMPUTED_VALUE"""),"")</f>
        <v/>
      </c>
      <c r="BB814" s="1" t="s">
        <v>104</v>
      </c>
      <c r="BC814" s="1" t="s">
        <v>104</v>
      </c>
      <c r="BE814" s="1" t="s">
        <v>104</v>
      </c>
      <c r="BG814" s="1" t="s">
        <v>104</v>
      </c>
      <c r="BH814" s="1" t="s">
        <v>104</v>
      </c>
      <c r="BI814" s="1" t="s">
        <v>104</v>
      </c>
      <c r="BJ814" s="1" t="s">
        <v>104</v>
      </c>
      <c r="BK814" s="1" t="s">
        <v>104</v>
      </c>
      <c r="BL814" s="1" t="s">
        <v>104</v>
      </c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N815" s="1" t="s">
        <v>104</v>
      </c>
      <c r="AO815" s="1" t="s">
        <v>104</v>
      </c>
      <c r="AP815" s="1" t="s">
        <v>104</v>
      </c>
      <c r="AQ815" s="1" t="s">
        <v>104</v>
      </c>
      <c r="AR815" s="1" t="s">
        <v>104</v>
      </c>
      <c r="AS815" s="1" t="s">
        <v>104</v>
      </c>
      <c r="AU815" s="1" t="s">
        <v>104</v>
      </c>
      <c r="AV815" s="1" t="s">
        <v>104</v>
      </c>
      <c r="AX815" s="1" t="str">
        <f>IFERROR(__xludf.DUMMYFUNCTION("""COMPUTED_VALUE"""),"")</f>
        <v/>
      </c>
      <c r="AZ815" s="1" t="str">
        <f>IFERROR(__xludf.DUMMYFUNCTION("""COMPUTED_VALUE"""),"")</f>
        <v/>
      </c>
      <c r="BB815" s="1" t="s">
        <v>104</v>
      </c>
      <c r="BC815" s="1" t="s">
        <v>104</v>
      </c>
      <c r="BE815" s="1" t="s">
        <v>104</v>
      </c>
      <c r="BG815" s="1" t="s">
        <v>104</v>
      </c>
      <c r="BH815" s="1" t="s">
        <v>104</v>
      </c>
      <c r="BI815" s="1" t="s">
        <v>104</v>
      </c>
      <c r="BJ815" s="1" t="s">
        <v>104</v>
      </c>
      <c r="BK815" s="1" t="s">
        <v>104</v>
      </c>
      <c r="BL815" s="1" t="s">
        <v>104</v>
      </c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N816" s="1" t="s">
        <v>104</v>
      </c>
      <c r="AO816" s="1" t="s">
        <v>104</v>
      </c>
      <c r="AP816" s="1" t="s">
        <v>104</v>
      </c>
      <c r="AQ816" s="1" t="s">
        <v>104</v>
      </c>
      <c r="AR816" s="1" t="s">
        <v>104</v>
      </c>
      <c r="AS816" s="1" t="s">
        <v>104</v>
      </c>
      <c r="AU816" s="1" t="s">
        <v>104</v>
      </c>
      <c r="AV816" s="1" t="s">
        <v>104</v>
      </c>
      <c r="AX816" s="1" t="str">
        <f>IFERROR(__xludf.DUMMYFUNCTION("""COMPUTED_VALUE"""),"")</f>
        <v/>
      </c>
      <c r="AZ816" s="1" t="str">
        <f>IFERROR(__xludf.DUMMYFUNCTION("""COMPUTED_VALUE"""),"")</f>
        <v/>
      </c>
      <c r="BB816" s="1" t="s">
        <v>104</v>
      </c>
      <c r="BC816" s="1" t="s">
        <v>104</v>
      </c>
      <c r="BE816" s="1" t="s">
        <v>104</v>
      </c>
      <c r="BG816" s="1" t="s">
        <v>104</v>
      </c>
      <c r="BH816" s="1" t="s">
        <v>104</v>
      </c>
      <c r="BI816" s="1" t="s">
        <v>104</v>
      </c>
      <c r="BJ816" s="1" t="s">
        <v>104</v>
      </c>
      <c r="BK816" s="1" t="s">
        <v>104</v>
      </c>
      <c r="BL816" s="1" t="s">
        <v>104</v>
      </c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N817" s="1" t="s">
        <v>104</v>
      </c>
      <c r="AO817" s="1" t="s">
        <v>104</v>
      </c>
      <c r="AP817" s="1" t="s">
        <v>104</v>
      </c>
      <c r="AQ817" s="1" t="s">
        <v>104</v>
      </c>
      <c r="AR817" s="1" t="s">
        <v>104</v>
      </c>
      <c r="AS817" s="1" t="s">
        <v>104</v>
      </c>
      <c r="AU817" s="1" t="s">
        <v>104</v>
      </c>
      <c r="AV817" s="1" t="s">
        <v>104</v>
      </c>
      <c r="AX817" s="1" t="str">
        <f>IFERROR(__xludf.DUMMYFUNCTION("""COMPUTED_VALUE"""),"")</f>
        <v/>
      </c>
      <c r="AZ817" s="1" t="str">
        <f>IFERROR(__xludf.DUMMYFUNCTION("""COMPUTED_VALUE"""),"")</f>
        <v/>
      </c>
      <c r="BB817" s="1" t="s">
        <v>104</v>
      </c>
      <c r="BC817" s="1" t="s">
        <v>104</v>
      </c>
      <c r="BE817" s="1" t="s">
        <v>104</v>
      </c>
      <c r="BG817" s="1" t="s">
        <v>104</v>
      </c>
      <c r="BH817" s="1" t="s">
        <v>104</v>
      </c>
      <c r="BI817" s="1" t="s">
        <v>104</v>
      </c>
      <c r="BJ817" s="1" t="s">
        <v>104</v>
      </c>
      <c r="BK817" s="1" t="s">
        <v>104</v>
      </c>
      <c r="BL817" s="1" t="s">
        <v>104</v>
      </c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N818" s="1" t="s">
        <v>104</v>
      </c>
      <c r="AO818" s="1" t="s">
        <v>104</v>
      </c>
      <c r="AP818" s="1" t="s">
        <v>104</v>
      </c>
      <c r="AQ818" s="1" t="s">
        <v>104</v>
      </c>
      <c r="AR818" s="1" t="s">
        <v>104</v>
      </c>
      <c r="AS818" s="1" t="s">
        <v>104</v>
      </c>
      <c r="AU818" s="1" t="s">
        <v>104</v>
      </c>
      <c r="AV818" s="1" t="s">
        <v>104</v>
      </c>
      <c r="AX818" s="1" t="str">
        <f>IFERROR(__xludf.DUMMYFUNCTION("""COMPUTED_VALUE"""),"")</f>
        <v/>
      </c>
      <c r="AZ818" s="1" t="str">
        <f>IFERROR(__xludf.DUMMYFUNCTION("""COMPUTED_VALUE"""),"")</f>
        <v/>
      </c>
      <c r="BB818" s="1" t="s">
        <v>104</v>
      </c>
      <c r="BC818" s="1" t="s">
        <v>104</v>
      </c>
      <c r="BE818" s="1" t="s">
        <v>104</v>
      </c>
      <c r="BG818" s="1" t="s">
        <v>104</v>
      </c>
      <c r="BH818" s="1" t="s">
        <v>104</v>
      </c>
      <c r="BI818" s="1" t="s">
        <v>104</v>
      </c>
      <c r="BJ818" s="1" t="s">
        <v>104</v>
      </c>
      <c r="BK818" s="1" t="s">
        <v>104</v>
      </c>
      <c r="BL818" s="1" t="s">
        <v>104</v>
      </c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N819" s="1" t="s">
        <v>104</v>
      </c>
      <c r="AO819" s="1" t="s">
        <v>104</v>
      </c>
      <c r="AP819" s="1" t="s">
        <v>104</v>
      </c>
      <c r="AQ819" s="1" t="s">
        <v>104</v>
      </c>
      <c r="AR819" s="1" t="s">
        <v>104</v>
      </c>
      <c r="AS819" s="1" t="s">
        <v>104</v>
      </c>
      <c r="AU819" s="1" t="s">
        <v>104</v>
      </c>
      <c r="AV819" s="1" t="s">
        <v>104</v>
      </c>
      <c r="AX819" s="1" t="str">
        <f>IFERROR(__xludf.DUMMYFUNCTION("""COMPUTED_VALUE"""),"")</f>
        <v/>
      </c>
      <c r="AZ819" s="1" t="str">
        <f>IFERROR(__xludf.DUMMYFUNCTION("""COMPUTED_VALUE"""),"")</f>
        <v/>
      </c>
      <c r="BB819" s="1" t="s">
        <v>104</v>
      </c>
      <c r="BC819" s="1" t="s">
        <v>104</v>
      </c>
      <c r="BE819" s="1" t="s">
        <v>104</v>
      </c>
      <c r="BG819" s="1" t="s">
        <v>104</v>
      </c>
      <c r="BH819" s="1" t="s">
        <v>104</v>
      </c>
      <c r="BI819" s="1" t="s">
        <v>104</v>
      </c>
      <c r="BJ819" s="1" t="s">
        <v>104</v>
      </c>
      <c r="BK819" s="1" t="s">
        <v>104</v>
      </c>
      <c r="BL819" s="1" t="s">
        <v>104</v>
      </c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N820" s="1" t="s">
        <v>104</v>
      </c>
      <c r="AO820" s="1" t="s">
        <v>104</v>
      </c>
      <c r="AP820" s="1" t="s">
        <v>104</v>
      </c>
      <c r="AQ820" s="1" t="s">
        <v>104</v>
      </c>
      <c r="AR820" s="1" t="s">
        <v>104</v>
      </c>
      <c r="AS820" s="1" t="s">
        <v>104</v>
      </c>
      <c r="AU820" s="1" t="s">
        <v>104</v>
      </c>
      <c r="AV820" s="1" t="s">
        <v>104</v>
      </c>
      <c r="AX820" s="1" t="str">
        <f>IFERROR(__xludf.DUMMYFUNCTION("""COMPUTED_VALUE"""),"")</f>
        <v/>
      </c>
      <c r="AZ820" s="1" t="str">
        <f>IFERROR(__xludf.DUMMYFUNCTION("""COMPUTED_VALUE"""),"")</f>
        <v/>
      </c>
      <c r="BB820" s="1" t="s">
        <v>104</v>
      </c>
      <c r="BC820" s="1" t="s">
        <v>104</v>
      </c>
      <c r="BE820" s="1" t="s">
        <v>104</v>
      </c>
      <c r="BG820" s="1" t="s">
        <v>104</v>
      </c>
      <c r="BH820" s="1" t="s">
        <v>104</v>
      </c>
      <c r="BI820" s="1" t="s">
        <v>104</v>
      </c>
      <c r="BJ820" s="1" t="s">
        <v>104</v>
      </c>
      <c r="BK820" s="1" t="s">
        <v>104</v>
      </c>
      <c r="BL820" s="1" t="s">
        <v>104</v>
      </c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N821" s="1" t="s">
        <v>104</v>
      </c>
      <c r="AO821" s="1" t="s">
        <v>104</v>
      </c>
      <c r="AP821" s="1" t="s">
        <v>104</v>
      </c>
      <c r="AQ821" s="1" t="s">
        <v>104</v>
      </c>
      <c r="AR821" s="1" t="s">
        <v>104</v>
      </c>
      <c r="AS821" s="1" t="s">
        <v>104</v>
      </c>
      <c r="AU821" s="1" t="s">
        <v>104</v>
      </c>
      <c r="AV821" s="1" t="s">
        <v>104</v>
      </c>
      <c r="AX821" s="1" t="str">
        <f>IFERROR(__xludf.DUMMYFUNCTION("""COMPUTED_VALUE"""),"")</f>
        <v/>
      </c>
      <c r="AZ821" s="1" t="str">
        <f>IFERROR(__xludf.DUMMYFUNCTION("""COMPUTED_VALUE"""),"")</f>
        <v/>
      </c>
      <c r="BB821" s="1" t="s">
        <v>104</v>
      </c>
      <c r="BC821" s="1" t="s">
        <v>104</v>
      </c>
      <c r="BE821" s="1" t="s">
        <v>104</v>
      </c>
      <c r="BG821" s="1" t="s">
        <v>104</v>
      </c>
      <c r="BH821" s="1" t="s">
        <v>104</v>
      </c>
      <c r="BI821" s="1" t="s">
        <v>104</v>
      </c>
      <c r="BJ821" s="1" t="s">
        <v>104</v>
      </c>
      <c r="BK821" s="1" t="s">
        <v>104</v>
      </c>
      <c r="BL821" s="1" t="s">
        <v>104</v>
      </c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N822" s="1" t="s">
        <v>104</v>
      </c>
      <c r="AO822" s="1" t="s">
        <v>104</v>
      </c>
      <c r="AP822" s="1" t="s">
        <v>104</v>
      </c>
      <c r="AQ822" s="1" t="s">
        <v>104</v>
      </c>
      <c r="AR822" s="1" t="s">
        <v>104</v>
      </c>
      <c r="AS822" s="1" t="s">
        <v>104</v>
      </c>
      <c r="AU822" s="1" t="s">
        <v>104</v>
      </c>
      <c r="AV822" s="1" t="s">
        <v>104</v>
      </c>
      <c r="AX822" s="1" t="str">
        <f>IFERROR(__xludf.DUMMYFUNCTION("""COMPUTED_VALUE"""),"")</f>
        <v/>
      </c>
      <c r="AZ822" s="1" t="str">
        <f>IFERROR(__xludf.DUMMYFUNCTION("""COMPUTED_VALUE"""),"")</f>
        <v/>
      </c>
      <c r="BB822" s="1" t="s">
        <v>104</v>
      </c>
      <c r="BC822" s="1" t="s">
        <v>104</v>
      </c>
      <c r="BE822" s="1" t="s">
        <v>104</v>
      </c>
      <c r="BG822" s="1" t="s">
        <v>104</v>
      </c>
      <c r="BH822" s="1" t="s">
        <v>104</v>
      </c>
      <c r="BI822" s="1" t="s">
        <v>104</v>
      </c>
      <c r="BJ822" s="1" t="s">
        <v>104</v>
      </c>
      <c r="BK822" s="1" t="s">
        <v>104</v>
      </c>
      <c r="BL822" s="1" t="s">
        <v>104</v>
      </c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N823" s="1" t="s">
        <v>104</v>
      </c>
      <c r="AO823" s="1" t="s">
        <v>104</v>
      </c>
      <c r="AP823" s="1" t="s">
        <v>104</v>
      </c>
      <c r="AQ823" s="1" t="s">
        <v>104</v>
      </c>
      <c r="AR823" s="1" t="s">
        <v>104</v>
      </c>
      <c r="AS823" s="1" t="s">
        <v>104</v>
      </c>
      <c r="AU823" s="1" t="s">
        <v>104</v>
      </c>
      <c r="AV823" s="1" t="s">
        <v>104</v>
      </c>
      <c r="AX823" s="1" t="str">
        <f>IFERROR(__xludf.DUMMYFUNCTION("""COMPUTED_VALUE"""),"")</f>
        <v/>
      </c>
      <c r="AZ823" s="1" t="str">
        <f>IFERROR(__xludf.DUMMYFUNCTION("""COMPUTED_VALUE"""),"")</f>
        <v/>
      </c>
      <c r="BB823" s="1" t="s">
        <v>104</v>
      </c>
      <c r="BC823" s="1" t="s">
        <v>104</v>
      </c>
      <c r="BE823" s="1" t="s">
        <v>104</v>
      </c>
      <c r="BG823" s="1" t="s">
        <v>104</v>
      </c>
      <c r="BH823" s="1" t="s">
        <v>104</v>
      </c>
      <c r="BI823" s="1" t="s">
        <v>104</v>
      </c>
      <c r="BJ823" s="1" t="s">
        <v>104</v>
      </c>
      <c r="BK823" s="1" t="s">
        <v>104</v>
      </c>
      <c r="BL823" s="1" t="s">
        <v>104</v>
      </c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N824" s="1" t="s">
        <v>104</v>
      </c>
      <c r="AO824" s="1" t="s">
        <v>104</v>
      </c>
      <c r="AP824" s="1" t="s">
        <v>104</v>
      </c>
      <c r="AQ824" s="1" t="s">
        <v>104</v>
      </c>
      <c r="AR824" s="1" t="s">
        <v>104</v>
      </c>
      <c r="AS824" s="1" t="s">
        <v>104</v>
      </c>
      <c r="AU824" s="1" t="s">
        <v>104</v>
      </c>
      <c r="AV824" s="1" t="s">
        <v>104</v>
      </c>
      <c r="AX824" s="1" t="str">
        <f>IFERROR(__xludf.DUMMYFUNCTION("""COMPUTED_VALUE"""),"")</f>
        <v/>
      </c>
      <c r="AZ824" s="1" t="str">
        <f>IFERROR(__xludf.DUMMYFUNCTION("""COMPUTED_VALUE"""),"")</f>
        <v/>
      </c>
      <c r="BB824" s="1" t="s">
        <v>104</v>
      </c>
      <c r="BC824" s="1" t="s">
        <v>104</v>
      </c>
      <c r="BE824" s="1" t="s">
        <v>104</v>
      </c>
      <c r="BG824" s="1" t="s">
        <v>104</v>
      </c>
      <c r="BH824" s="1" t="s">
        <v>104</v>
      </c>
      <c r="BI824" s="1" t="s">
        <v>104</v>
      </c>
      <c r="BJ824" s="1" t="s">
        <v>104</v>
      </c>
      <c r="BK824" s="1" t="s">
        <v>104</v>
      </c>
      <c r="BL824" s="1" t="s">
        <v>104</v>
      </c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N825" s="1" t="s">
        <v>104</v>
      </c>
      <c r="AO825" s="1" t="s">
        <v>104</v>
      </c>
      <c r="AP825" s="1" t="s">
        <v>104</v>
      </c>
      <c r="AQ825" s="1" t="s">
        <v>104</v>
      </c>
      <c r="AR825" s="1" t="s">
        <v>104</v>
      </c>
      <c r="AS825" s="1" t="s">
        <v>104</v>
      </c>
      <c r="AU825" s="1" t="s">
        <v>104</v>
      </c>
      <c r="AV825" s="1" t="s">
        <v>104</v>
      </c>
      <c r="AX825" s="1" t="str">
        <f>IFERROR(__xludf.DUMMYFUNCTION("""COMPUTED_VALUE"""),"")</f>
        <v/>
      </c>
      <c r="AZ825" s="1" t="str">
        <f>IFERROR(__xludf.DUMMYFUNCTION("""COMPUTED_VALUE"""),"")</f>
        <v/>
      </c>
      <c r="BB825" s="1" t="s">
        <v>104</v>
      </c>
      <c r="BC825" s="1" t="s">
        <v>104</v>
      </c>
      <c r="BE825" s="1" t="s">
        <v>104</v>
      </c>
      <c r="BG825" s="1" t="s">
        <v>104</v>
      </c>
      <c r="BH825" s="1" t="s">
        <v>104</v>
      </c>
      <c r="BI825" s="1" t="s">
        <v>104</v>
      </c>
      <c r="BJ825" s="1" t="s">
        <v>104</v>
      </c>
      <c r="BK825" s="1" t="s">
        <v>104</v>
      </c>
      <c r="BL825" s="1" t="s">
        <v>104</v>
      </c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N826" s="1" t="s">
        <v>104</v>
      </c>
      <c r="AO826" s="1" t="s">
        <v>104</v>
      </c>
      <c r="AP826" s="1" t="s">
        <v>104</v>
      </c>
      <c r="AQ826" s="1" t="s">
        <v>104</v>
      </c>
      <c r="AR826" s="1" t="s">
        <v>104</v>
      </c>
      <c r="AS826" s="1" t="s">
        <v>104</v>
      </c>
      <c r="AU826" s="1" t="s">
        <v>104</v>
      </c>
      <c r="AV826" s="1" t="s">
        <v>104</v>
      </c>
      <c r="AX826" s="1" t="str">
        <f>IFERROR(__xludf.DUMMYFUNCTION("""COMPUTED_VALUE"""),"")</f>
        <v/>
      </c>
      <c r="AZ826" s="1" t="str">
        <f>IFERROR(__xludf.DUMMYFUNCTION("""COMPUTED_VALUE"""),"")</f>
        <v/>
      </c>
      <c r="BB826" s="1" t="s">
        <v>104</v>
      </c>
      <c r="BC826" s="1" t="s">
        <v>104</v>
      </c>
      <c r="BE826" s="1" t="s">
        <v>104</v>
      </c>
      <c r="BG826" s="1" t="s">
        <v>104</v>
      </c>
      <c r="BH826" s="1" t="s">
        <v>104</v>
      </c>
      <c r="BI826" s="1" t="s">
        <v>104</v>
      </c>
      <c r="BJ826" s="1" t="s">
        <v>104</v>
      </c>
      <c r="BK826" s="1" t="s">
        <v>104</v>
      </c>
      <c r="BL826" s="1" t="s">
        <v>104</v>
      </c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N827" s="1" t="s">
        <v>104</v>
      </c>
      <c r="AO827" s="1" t="s">
        <v>104</v>
      </c>
      <c r="AP827" s="1" t="s">
        <v>104</v>
      </c>
      <c r="AQ827" s="1" t="s">
        <v>104</v>
      </c>
      <c r="AR827" s="1" t="s">
        <v>104</v>
      </c>
      <c r="AS827" s="1" t="s">
        <v>104</v>
      </c>
      <c r="AU827" s="1" t="s">
        <v>104</v>
      </c>
      <c r="AV827" s="1" t="s">
        <v>104</v>
      </c>
      <c r="AX827" s="1" t="str">
        <f>IFERROR(__xludf.DUMMYFUNCTION("""COMPUTED_VALUE"""),"")</f>
        <v/>
      </c>
      <c r="AZ827" s="1" t="str">
        <f>IFERROR(__xludf.DUMMYFUNCTION("""COMPUTED_VALUE"""),"")</f>
        <v/>
      </c>
      <c r="BB827" s="1" t="s">
        <v>104</v>
      </c>
      <c r="BC827" s="1" t="s">
        <v>104</v>
      </c>
      <c r="BE827" s="1" t="s">
        <v>104</v>
      </c>
      <c r="BG827" s="1" t="s">
        <v>104</v>
      </c>
      <c r="BH827" s="1" t="s">
        <v>104</v>
      </c>
      <c r="BI827" s="1" t="s">
        <v>104</v>
      </c>
      <c r="BJ827" s="1" t="s">
        <v>104</v>
      </c>
      <c r="BK827" s="1" t="s">
        <v>104</v>
      </c>
      <c r="BL827" s="1" t="s">
        <v>104</v>
      </c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N828" s="1" t="s">
        <v>104</v>
      </c>
      <c r="AO828" s="1" t="s">
        <v>104</v>
      </c>
      <c r="AP828" s="1" t="s">
        <v>104</v>
      </c>
      <c r="AQ828" s="1" t="s">
        <v>104</v>
      </c>
      <c r="AR828" s="1" t="s">
        <v>104</v>
      </c>
      <c r="AS828" s="1" t="s">
        <v>104</v>
      </c>
      <c r="AU828" s="1" t="s">
        <v>104</v>
      </c>
      <c r="AV828" s="1" t="s">
        <v>104</v>
      </c>
      <c r="AX828" s="1" t="str">
        <f>IFERROR(__xludf.DUMMYFUNCTION("""COMPUTED_VALUE"""),"")</f>
        <v/>
      </c>
      <c r="AZ828" s="1" t="str">
        <f>IFERROR(__xludf.DUMMYFUNCTION("""COMPUTED_VALUE"""),"")</f>
        <v/>
      </c>
      <c r="BB828" s="1" t="s">
        <v>104</v>
      </c>
      <c r="BC828" s="1" t="s">
        <v>104</v>
      </c>
      <c r="BE828" s="1" t="s">
        <v>104</v>
      </c>
      <c r="BG828" s="1" t="s">
        <v>104</v>
      </c>
      <c r="BH828" s="1" t="s">
        <v>104</v>
      </c>
      <c r="BI828" s="1" t="s">
        <v>104</v>
      </c>
      <c r="BJ828" s="1" t="s">
        <v>104</v>
      </c>
      <c r="BK828" s="1" t="s">
        <v>104</v>
      </c>
      <c r="BL828" s="1" t="s">
        <v>104</v>
      </c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N829" s="1" t="s">
        <v>104</v>
      </c>
      <c r="AO829" s="1" t="s">
        <v>104</v>
      </c>
      <c r="AP829" s="1" t="s">
        <v>104</v>
      </c>
      <c r="AQ829" s="1" t="s">
        <v>104</v>
      </c>
      <c r="AR829" s="1" t="s">
        <v>104</v>
      </c>
      <c r="AS829" s="1" t="s">
        <v>104</v>
      </c>
      <c r="AU829" s="1" t="s">
        <v>104</v>
      </c>
      <c r="AV829" s="1" t="s">
        <v>104</v>
      </c>
      <c r="AX829" s="1" t="str">
        <f>IFERROR(__xludf.DUMMYFUNCTION("""COMPUTED_VALUE"""),"")</f>
        <v/>
      </c>
      <c r="AZ829" s="1" t="str">
        <f>IFERROR(__xludf.DUMMYFUNCTION("""COMPUTED_VALUE"""),"")</f>
        <v/>
      </c>
      <c r="BB829" s="1" t="s">
        <v>104</v>
      </c>
      <c r="BC829" s="1" t="s">
        <v>104</v>
      </c>
      <c r="BE829" s="1" t="s">
        <v>104</v>
      </c>
      <c r="BG829" s="1" t="s">
        <v>104</v>
      </c>
      <c r="BH829" s="1" t="s">
        <v>104</v>
      </c>
      <c r="BI829" s="1" t="s">
        <v>104</v>
      </c>
      <c r="BJ829" s="1" t="s">
        <v>104</v>
      </c>
      <c r="BK829" s="1" t="s">
        <v>104</v>
      </c>
      <c r="BL829" s="1" t="s">
        <v>104</v>
      </c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N830" s="1" t="s">
        <v>104</v>
      </c>
      <c r="AO830" s="1" t="s">
        <v>104</v>
      </c>
      <c r="AP830" s="1" t="s">
        <v>104</v>
      </c>
      <c r="AQ830" s="1" t="s">
        <v>104</v>
      </c>
      <c r="AR830" s="1" t="s">
        <v>104</v>
      </c>
      <c r="AS830" s="1" t="s">
        <v>104</v>
      </c>
      <c r="AU830" s="1" t="s">
        <v>104</v>
      </c>
      <c r="AV830" s="1" t="s">
        <v>104</v>
      </c>
      <c r="AX830" s="1" t="str">
        <f>IFERROR(__xludf.DUMMYFUNCTION("""COMPUTED_VALUE"""),"")</f>
        <v/>
      </c>
      <c r="AZ830" s="1" t="str">
        <f>IFERROR(__xludf.DUMMYFUNCTION("""COMPUTED_VALUE"""),"")</f>
        <v/>
      </c>
      <c r="BB830" s="1" t="s">
        <v>104</v>
      </c>
      <c r="BC830" s="1" t="s">
        <v>104</v>
      </c>
      <c r="BE830" s="1" t="s">
        <v>104</v>
      </c>
      <c r="BG830" s="1" t="s">
        <v>104</v>
      </c>
      <c r="BH830" s="1" t="s">
        <v>104</v>
      </c>
      <c r="BI830" s="1" t="s">
        <v>104</v>
      </c>
      <c r="BJ830" s="1" t="s">
        <v>104</v>
      </c>
      <c r="BK830" s="1" t="s">
        <v>104</v>
      </c>
      <c r="BL830" s="1" t="s">
        <v>104</v>
      </c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N831" s="1" t="s">
        <v>104</v>
      </c>
      <c r="AO831" s="1" t="s">
        <v>104</v>
      </c>
      <c r="AP831" s="1" t="s">
        <v>104</v>
      </c>
      <c r="AQ831" s="1" t="s">
        <v>104</v>
      </c>
      <c r="AR831" s="1" t="s">
        <v>104</v>
      </c>
      <c r="AS831" s="1" t="s">
        <v>104</v>
      </c>
      <c r="AU831" s="1" t="s">
        <v>104</v>
      </c>
      <c r="AV831" s="1" t="s">
        <v>104</v>
      </c>
      <c r="AX831" s="1" t="str">
        <f>IFERROR(__xludf.DUMMYFUNCTION("""COMPUTED_VALUE"""),"")</f>
        <v/>
      </c>
      <c r="AZ831" s="1" t="str">
        <f>IFERROR(__xludf.DUMMYFUNCTION("""COMPUTED_VALUE"""),"")</f>
        <v/>
      </c>
      <c r="BB831" s="1" t="s">
        <v>104</v>
      </c>
      <c r="BC831" s="1" t="s">
        <v>104</v>
      </c>
      <c r="BE831" s="1" t="s">
        <v>104</v>
      </c>
      <c r="BG831" s="1" t="s">
        <v>104</v>
      </c>
      <c r="BH831" s="1" t="s">
        <v>104</v>
      </c>
      <c r="BI831" s="1" t="s">
        <v>104</v>
      </c>
      <c r="BJ831" s="1" t="s">
        <v>104</v>
      </c>
      <c r="BK831" s="1" t="s">
        <v>104</v>
      </c>
      <c r="BL831" s="1" t="s">
        <v>104</v>
      </c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N832" s="1" t="s">
        <v>104</v>
      </c>
      <c r="AO832" s="1" t="s">
        <v>104</v>
      </c>
      <c r="AP832" s="1" t="s">
        <v>104</v>
      </c>
      <c r="AQ832" s="1" t="s">
        <v>104</v>
      </c>
      <c r="AR832" s="1" t="s">
        <v>104</v>
      </c>
      <c r="AS832" s="1" t="s">
        <v>104</v>
      </c>
      <c r="AU832" s="1" t="s">
        <v>104</v>
      </c>
      <c r="AV832" s="1" t="s">
        <v>104</v>
      </c>
      <c r="AX832" s="1" t="str">
        <f>IFERROR(__xludf.DUMMYFUNCTION("""COMPUTED_VALUE"""),"")</f>
        <v/>
      </c>
      <c r="AZ832" s="1" t="str">
        <f>IFERROR(__xludf.DUMMYFUNCTION("""COMPUTED_VALUE"""),"")</f>
        <v/>
      </c>
      <c r="BB832" s="1" t="s">
        <v>104</v>
      </c>
      <c r="BC832" s="1" t="s">
        <v>104</v>
      </c>
      <c r="BE832" s="1" t="s">
        <v>104</v>
      </c>
      <c r="BG832" s="1" t="s">
        <v>104</v>
      </c>
      <c r="BH832" s="1" t="s">
        <v>104</v>
      </c>
      <c r="BI832" s="1" t="s">
        <v>104</v>
      </c>
      <c r="BJ832" s="1" t="s">
        <v>104</v>
      </c>
      <c r="BK832" s="1" t="s">
        <v>104</v>
      </c>
      <c r="BL832" s="1" t="s">
        <v>104</v>
      </c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N833" s="1" t="s">
        <v>104</v>
      </c>
      <c r="AO833" s="1" t="s">
        <v>104</v>
      </c>
      <c r="AP833" s="1" t="s">
        <v>104</v>
      </c>
      <c r="AQ833" s="1" t="s">
        <v>104</v>
      </c>
      <c r="AR833" s="1" t="s">
        <v>104</v>
      </c>
      <c r="AS833" s="1" t="s">
        <v>104</v>
      </c>
      <c r="AU833" s="1" t="s">
        <v>104</v>
      </c>
      <c r="AV833" s="1" t="s">
        <v>104</v>
      </c>
      <c r="AX833" s="1" t="str">
        <f>IFERROR(__xludf.DUMMYFUNCTION("""COMPUTED_VALUE"""),"")</f>
        <v/>
      </c>
      <c r="AZ833" s="1" t="str">
        <f>IFERROR(__xludf.DUMMYFUNCTION("""COMPUTED_VALUE"""),"")</f>
        <v/>
      </c>
      <c r="BB833" s="1" t="s">
        <v>104</v>
      </c>
      <c r="BC833" s="1" t="s">
        <v>104</v>
      </c>
      <c r="BE833" s="1" t="s">
        <v>104</v>
      </c>
      <c r="BG833" s="1" t="s">
        <v>104</v>
      </c>
      <c r="BH833" s="1" t="s">
        <v>104</v>
      </c>
      <c r="BI833" s="1" t="s">
        <v>104</v>
      </c>
      <c r="BJ833" s="1" t="s">
        <v>104</v>
      </c>
      <c r="BK833" s="1" t="s">
        <v>104</v>
      </c>
      <c r="BL833" s="1" t="s">
        <v>104</v>
      </c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N834" s="1" t="s">
        <v>104</v>
      </c>
      <c r="AO834" s="1" t="s">
        <v>104</v>
      </c>
      <c r="AP834" s="1" t="s">
        <v>104</v>
      </c>
      <c r="AQ834" s="1" t="s">
        <v>104</v>
      </c>
      <c r="AR834" s="1" t="s">
        <v>104</v>
      </c>
      <c r="AS834" s="1" t="s">
        <v>104</v>
      </c>
      <c r="AU834" s="1" t="s">
        <v>104</v>
      </c>
      <c r="AV834" s="1" t="s">
        <v>104</v>
      </c>
      <c r="AX834" s="1" t="str">
        <f>IFERROR(__xludf.DUMMYFUNCTION("""COMPUTED_VALUE"""),"")</f>
        <v/>
      </c>
      <c r="AZ834" s="1" t="str">
        <f>IFERROR(__xludf.DUMMYFUNCTION("""COMPUTED_VALUE"""),"")</f>
        <v/>
      </c>
      <c r="BB834" s="1" t="s">
        <v>104</v>
      </c>
      <c r="BC834" s="1" t="s">
        <v>104</v>
      </c>
      <c r="BE834" s="1" t="s">
        <v>104</v>
      </c>
      <c r="BG834" s="1" t="s">
        <v>104</v>
      </c>
      <c r="BH834" s="1" t="s">
        <v>104</v>
      </c>
      <c r="BI834" s="1" t="s">
        <v>104</v>
      </c>
      <c r="BJ834" s="1" t="s">
        <v>104</v>
      </c>
      <c r="BK834" s="1" t="s">
        <v>104</v>
      </c>
      <c r="BL834" s="1" t="s">
        <v>104</v>
      </c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N835" s="1" t="s">
        <v>104</v>
      </c>
      <c r="AO835" s="1" t="s">
        <v>104</v>
      </c>
      <c r="AP835" s="1" t="s">
        <v>104</v>
      </c>
      <c r="AQ835" s="1" t="s">
        <v>104</v>
      </c>
      <c r="AR835" s="1" t="s">
        <v>104</v>
      </c>
      <c r="AS835" s="1" t="s">
        <v>104</v>
      </c>
      <c r="AU835" s="1" t="s">
        <v>104</v>
      </c>
      <c r="AV835" s="1" t="s">
        <v>104</v>
      </c>
      <c r="AX835" s="1" t="str">
        <f>IFERROR(__xludf.DUMMYFUNCTION("""COMPUTED_VALUE"""),"")</f>
        <v/>
      </c>
      <c r="AZ835" s="1" t="str">
        <f>IFERROR(__xludf.DUMMYFUNCTION("""COMPUTED_VALUE"""),"")</f>
        <v/>
      </c>
      <c r="BB835" s="1" t="s">
        <v>104</v>
      </c>
      <c r="BC835" s="1" t="s">
        <v>104</v>
      </c>
      <c r="BE835" s="1" t="s">
        <v>104</v>
      </c>
      <c r="BG835" s="1" t="s">
        <v>104</v>
      </c>
      <c r="BH835" s="1" t="s">
        <v>104</v>
      </c>
      <c r="BI835" s="1" t="s">
        <v>104</v>
      </c>
      <c r="BJ835" s="1" t="s">
        <v>104</v>
      </c>
      <c r="BK835" s="1" t="s">
        <v>104</v>
      </c>
      <c r="BL835" s="1" t="s">
        <v>104</v>
      </c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N836" s="1" t="s">
        <v>104</v>
      </c>
      <c r="AO836" s="1" t="s">
        <v>104</v>
      </c>
      <c r="AP836" s="1" t="s">
        <v>104</v>
      </c>
      <c r="AQ836" s="1" t="s">
        <v>104</v>
      </c>
      <c r="AR836" s="1" t="s">
        <v>104</v>
      </c>
      <c r="AS836" s="1" t="s">
        <v>104</v>
      </c>
      <c r="AU836" s="1" t="s">
        <v>104</v>
      </c>
      <c r="AV836" s="1" t="s">
        <v>104</v>
      </c>
      <c r="AX836" s="1" t="str">
        <f>IFERROR(__xludf.DUMMYFUNCTION("""COMPUTED_VALUE"""),"")</f>
        <v/>
      </c>
      <c r="AZ836" s="1" t="str">
        <f>IFERROR(__xludf.DUMMYFUNCTION("""COMPUTED_VALUE"""),"")</f>
        <v/>
      </c>
      <c r="BB836" s="1" t="s">
        <v>104</v>
      </c>
      <c r="BC836" s="1" t="s">
        <v>104</v>
      </c>
      <c r="BE836" s="1" t="s">
        <v>104</v>
      </c>
      <c r="BG836" s="1" t="s">
        <v>104</v>
      </c>
      <c r="BH836" s="1" t="s">
        <v>104</v>
      </c>
      <c r="BI836" s="1" t="s">
        <v>104</v>
      </c>
      <c r="BJ836" s="1" t="s">
        <v>104</v>
      </c>
      <c r="BK836" s="1" t="s">
        <v>104</v>
      </c>
      <c r="BL836" s="1" t="s">
        <v>104</v>
      </c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N837" s="1" t="s">
        <v>104</v>
      </c>
      <c r="AO837" s="1" t="s">
        <v>104</v>
      </c>
      <c r="AP837" s="1" t="s">
        <v>104</v>
      </c>
      <c r="AQ837" s="1" t="s">
        <v>104</v>
      </c>
      <c r="AR837" s="1" t="s">
        <v>104</v>
      </c>
      <c r="AS837" s="1" t="s">
        <v>104</v>
      </c>
      <c r="AU837" s="1" t="s">
        <v>104</v>
      </c>
      <c r="AV837" s="1" t="s">
        <v>104</v>
      </c>
      <c r="AX837" s="1" t="str">
        <f>IFERROR(__xludf.DUMMYFUNCTION("""COMPUTED_VALUE"""),"")</f>
        <v/>
      </c>
      <c r="AZ837" s="1" t="str">
        <f>IFERROR(__xludf.DUMMYFUNCTION("""COMPUTED_VALUE"""),"")</f>
        <v/>
      </c>
      <c r="BB837" s="1" t="s">
        <v>104</v>
      </c>
      <c r="BC837" s="1" t="s">
        <v>104</v>
      </c>
      <c r="BE837" s="1" t="s">
        <v>104</v>
      </c>
      <c r="BG837" s="1" t="s">
        <v>104</v>
      </c>
      <c r="BH837" s="1" t="s">
        <v>104</v>
      </c>
      <c r="BI837" s="1" t="s">
        <v>104</v>
      </c>
      <c r="BJ837" s="1" t="s">
        <v>104</v>
      </c>
      <c r="BK837" s="1" t="s">
        <v>104</v>
      </c>
      <c r="BL837" s="1" t="s">
        <v>104</v>
      </c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N838" s="1" t="s">
        <v>104</v>
      </c>
      <c r="AO838" s="1" t="s">
        <v>104</v>
      </c>
      <c r="AP838" s="1" t="s">
        <v>104</v>
      </c>
      <c r="AQ838" s="1" t="s">
        <v>104</v>
      </c>
      <c r="AR838" s="1" t="s">
        <v>104</v>
      </c>
      <c r="AS838" s="1" t="s">
        <v>104</v>
      </c>
      <c r="AU838" s="1" t="s">
        <v>104</v>
      </c>
      <c r="AV838" s="1" t="s">
        <v>104</v>
      </c>
      <c r="AX838" s="1" t="str">
        <f>IFERROR(__xludf.DUMMYFUNCTION("""COMPUTED_VALUE"""),"")</f>
        <v/>
      </c>
      <c r="AZ838" s="1" t="str">
        <f>IFERROR(__xludf.DUMMYFUNCTION("""COMPUTED_VALUE"""),"")</f>
        <v/>
      </c>
      <c r="BB838" s="1" t="s">
        <v>104</v>
      </c>
      <c r="BC838" s="1" t="s">
        <v>104</v>
      </c>
      <c r="BE838" s="1" t="s">
        <v>104</v>
      </c>
      <c r="BG838" s="1" t="s">
        <v>104</v>
      </c>
      <c r="BH838" s="1" t="s">
        <v>104</v>
      </c>
      <c r="BI838" s="1" t="s">
        <v>104</v>
      </c>
      <c r="BJ838" s="1" t="s">
        <v>104</v>
      </c>
      <c r="BK838" s="1" t="s">
        <v>104</v>
      </c>
      <c r="BL838" s="1" t="s">
        <v>104</v>
      </c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N839" s="1" t="s">
        <v>104</v>
      </c>
      <c r="AO839" s="1" t="s">
        <v>104</v>
      </c>
      <c r="AP839" s="1" t="s">
        <v>104</v>
      </c>
      <c r="AQ839" s="1" t="s">
        <v>104</v>
      </c>
      <c r="AR839" s="1" t="s">
        <v>104</v>
      </c>
      <c r="AS839" s="1" t="s">
        <v>104</v>
      </c>
      <c r="AU839" s="1" t="s">
        <v>104</v>
      </c>
      <c r="AV839" s="1" t="s">
        <v>104</v>
      </c>
      <c r="AX839" s="1" t="str">
        <f>IFERROR(__xludf.DUMMYFUNCTION("""COMPUTED_VALUE"""),"")</f>
        <v/>
      </c>
      <c r="AZ839" s="1" t="str">
        <f>IFERROR(__xludf.DUMMYFUNCTION("""COMPUTED_VALUE"""),"")</f>
        <v/>
      </c>
      <c r="BB839" s="1" t="s">
        <v>104</v>
      </c>
      <c r="BC839" s="1" t="s">
        <v>104</v>
      </c>
      <c r="BE839" s="1" t="s">
        <v>104</v>
      </c>
      <c r="BG839" s="1" t="s">
        <v>104</v>
      </c>
      <c r="BH839" s="1" t="s">
        <v>104</v>
      </c>
      <c r="BI839" s="1" t="s">
        <v>104</v>
      </c>
      <c r="BJ839" s="1" t="s">
        <v>104</v>
      </c>
      <c r="BK839" s="1" t="s">
        <v>104</v>
      </c>
      <c r="BL839" s="1" t="s">
        <v>104</v>
      </c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N840" s="1" t="s">
        <v>104</v>
      </c>
      <c r="AO840" s="1" t="s">
        <v>104</v>
      </c>
      <c r="AP840" s="1" t="s">
        <v>104</v>
      </c>
      <c r="AQ840" s="1" t="s">
        <v>104</v>
      </c>
      <c r="AR840" s="1" t="s">
        <v>104</v>
      </c>
      <c r="AS840" s="1" t="s">
        <v>104</v>
      </c>
      <c r="AU840" s="1" t="s">
        <v>104</v>
      </c>
      <c r="AV840" s="1" t="s">
        <v>104</v>
      </c>
      <c r="AX840" s="1" t="str">
        <f>IFERROR(__xludf.DUMMYFUNCTION("""COMPUTED_VALUE"""),"")</f>
        <v/>
      </c>
      <c r="AZ840" s="1" t="str">
        <f>IFERROR(__xludf.DUMMYFUNCTION("""COMPUTED_VALUE"""),"")</f>
        <v/>
      </c>
      <c r="BB840" s="1" t="s">
        <v>104</v>
      </c>
      <c r="BC840" s="1" t="s">
        <v>104</v>
      </c>
      <c r="BE840" s="1" t="s">
        <v>104</v>
      </c>
      <c r="BG840" s="1" t="s">
        <v>104</v>
      </c>
      <c r="BH840" s="1" t="s">
        <v>104</v>
      </c>
      <c r="BI840" s="1" t="s">
        <v>104</v>
      </c>
      <c r="BJ840" s="1" t="s">
        <v>104</v>
      </c>
      <c r="BK840" s="1" t="s">
        <v>104</v>
      </c>
      <c r="BL840" s="1" t="s">
        <v>104</v>
      </c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N841" s="1" t="s">
        <v>104</v>
      </c>
      <c r="AO841" s="1" t="s">
        <v>104</v>
      </c>
      <c r="AP841" s="1" t="s">
        <v>104</v>
      </c>
      <c r="AQ841" s="1" t="s">
        <v>104</v>
      </c>
      <c r="AR841" s="1" t="s">
        <v>104</v>
      </c>
      <c r="AS841" s="1" t="s">
        <v>104</v>
      </c>
      <c r="AU841" s="1" t="s">
        <v>104</v>
      </c>
      <c r="AV841" s="1" t="s">
        <v>104</v>
      </c>
      <c r="AX841" s="1" t="str">
        <f>IFERROR(__xludf.DUMMYFUNCTION("""COMPUTED_VALUE"""),"")</f>
        <v/>
      </c>
      <c r="AZ841" s="1" t="str">
        <f>IFERROR(__xludf.DUMMYFUNCTION("""COMPUTED_VALUE"""),"")</f>
        <v/>
      </c>
      <c r="BB841" s="1" t="s">
        <v>104</v>
      </c>
      <c r="BC841" s="1" t="s">
        <v>104</v>
      </c>
      <c r="BE841" s="1" t="s">
        <v>104</v>
      </c>
      <c r="BG841" s="1" t="s">
        <v>104</v>
      </c>
      <c r="BH841" s="1" t="s">
        <v>104</v>
      </c>
      <c r="BI841" s="1" t="s">
        <v>104</v>
      </c>
      <c r="BJ841" s="1" t="s">
        <v>104</v>
      </c>
      <c r="BK841" s="1" t="s">
        <v>104</v>
      </c>
      <c r="BL841" s="1" t="s">
        <v>104</v>
      </c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N842" s="1" t="s">
        <v>104</v>
      </c>
      <c r="AO842" s="1" t="s">
        <v>104</v>
      </c>
      <c r="AP842" s="1" t="s">
        <v>104</v>
      </c>
      <c r="AQ842" s="1" t="s">
        <v>104</v>
      </c>
      <c r="AR842" s="1" t="s">
        <v>104</v>
      </c>
      <c r="AS842" s="1" t="s">
        <v>104</v>
      </c>
      <c r="AU842" s="1" t="s">
        <v>104</v>
      </c>
      <c r="AV842" s="1" t="s">
        <v>104</v>
      </c>
      <c r="AX842" s="1" t="str">
        <f>IFERROR(__xludf.DUMMYFUNCTION("""COMPUTED_VALUE"""),"")</f>
        <v/>
      </c>
      <c r="AZ842" s="1" t="str">
        <f>IFERROR(__xludf.DUMMYFUNCTION("""COMPUTED_VALUE"""),"")</f>
        <v/>
      </c>
      <c r="BB842" s="1" t="s">
        <v>104</v>
      </c>
      <c r="BC842" s="1" t="s">
        <v>104</v>
      </c>
      <c r="BE842" s="1" t="s">
        <v>104</v>
      </c>
      <c r="BG842" s="1" t="s">
        <v>104</v>
      </c>
      <c r="BH842" s="1" t="s">
        <v>104</v>
      </c>
      <c r="BI842" s="1" t="s">
        <v>104</v>
      </c>
      <c r="BJ842" s="1" t="s">
        <v>104</v>
      </c>
      <c r="BK842" s="1" t="s">
        <v>104</v>
      </c>
      <c r="BL842" s="1" t="s">
        <v>104</v>
      </c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N843" s="1" t="s">
        <v>104</v>
      </c>
      <c r="AO843" s="1" t="s">
        <v>104</v>
      </c>
      <c r="AP843" s="1" t="s">
        <v>104</v>
      </c>
      <c r="AQ843" s="1" t="s">
        <v>104</v>
      </c>
      <c r="AR843" s="1" t="s">
        <v>104</v>
      </c>
      <c r="AS843" s="1" t="s">
        <v>104</v>
      </c>
      <c r="AU843" s="1" t="s">
        <v>104</v>
      </c>
      <c r="AV843" s="1" t="s">
        <v>104</v>
      </c>
      <c r="AX843" s="1" t="str">
        <f>IFERROR(__xludf.DUMMYFUNCTION("""COMPUTED_VALUE"""),"")</f>
        <v/>
      </c>
      <c r="AZ843" s="1" t="str">
        <f>IFERROR(__xludf.DUMMYFUNCTION("""COMPUTED_VALUE"""),"")</f>
        <v/>
      </c>
      <c r="BB843" s="1" t="s">
        <v>104</v>
      </c>
      <c r="BC843" s="1" t="s">
        <v>104</v>
      </c>
      <c r="BE843" s="1" t="s">
        <v>104</v>
      </c>
      <c r="BG843" s="1" t="s">
        <v>104</v>
      </c>
      <c r="BH843" s="1" t="s">
        <v>104</v>
      </c>
      <c r="BI843" s="1" t="s">
        <v>104</v>
      </c>
      <c r="BJ843" s="1" t="s">
        <v>104</v>
      </c>
      <c r="BK843" s="1" t="s">
        <v>104</v>
      </c>
      <c r="BL843" s="1" t="s">
        <v>104</v>
      </c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N844" s="1" t="s">
        <v>104</v>
      </c>
      <c r="AO844" s="1" t="s">
        <v>104</v>
      </c>
      <c r="AP844" s="1" t="s">
        <v>104</v>
      </c>
      <c r="AQ844" s="1" t="s">
        <v>104</v>
      </c>
      <c r="AR844" s="1" t="s">
        <v>104</v>
      </c>
      <c r="AS844" s="1" t="s">
        <v>104</v>
      </c>
      <c r="AU844" s="1" t="s">
        <v>104</v>
      </c>
      <c r="AV844" s="1" t="s">
        <v>104</v>
      </c>
      <c r="AX844" s="1" t="str">
        <f>IFERROR(__xludf.DUMMYFUNCTION("""COMPUTED_VALUE"""),"")</f>
        <v/>
      </c>
      <c r="AZ844" s="1" t="str">
        <f>IFERROR(__xludf.DUMMYFUNCTION("""COMPUTED_VALUE"""),"")</f>
        <v/>
      </c>
      <c r="BB844" s="1" t="s">
        <v>104</v>
      </c>
      <c r="BC844" s="1" t="s">
        <v>104</v>
      </c>
      <c r="BE844" s="1" t="s">
        <v>104</v>
      </c>
      <c r="BG844" s="1" t="s">
        <v>104</v>
      </c>
      <c r="BH844" s="1" t="s">
        <v>104</v>
      </c>
      <c r="BI844" s="1" t="s">
        <v>104</v>
      </c>
      <c r="BJ844" s="1" t="s">
        <v>104</v>
      </c>
      <c r="BK844" s="1" t="s">
        <v>104</v>
      </c>
      <c r="BL844" s="1" t="s">
        <v>104</v>
      </c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N845" s="1" t="s">
        <v>104</v>
      </c>
      <c r="AO845" s="1" t="s">
        <v>104</v>
      </c>
      <c r="AP845" s="1" t="s">
        <v>104</v>
      </c>
      <c r="AQ845" s="1" t="s">
        <v>104</v>
      </c>
      <c r="AR845" s="1" t="s">
        <v>104</v>
      </c>
      <c r="AS845" s="1" t="s">
        <v>104</v>
      </c>
      <c r="AU845" s="1" t="s">
        <v>104</v>
      </c>
      <c r="AV845" s="1" t="s">
        <v>104</v>
      </c>
      <c r="AX845" s="1" t="str">
        <f>IFERROR(__xludf.DUMMYFUNCTION("""COMPUTED_VALUE"""),"")</f>
        <v/>
      </c>
      <c r="AZ845" s="1" t="str">
        <f>IFERROR(__xludf.DUMMYFUNCTION("""COMPUTED_VALUE"""),"")</f>
        <v/>
      </c>
      <c r="BB845" s="1" t="s">
        <v>104</v>
      </c>
      <c r="BC845" s="1" t="s">
        <v>104</v>
      </c>
      <c r="BE845" s="1" t="s">
        <v>104</v>
      </c>
      <c r="BG845" s="1" t="s">
        <v>104</v>
      </c>
      <c r="BH845" s="1" t="s">
        <v>104</v>
      </c>
      <c r="BI845" s="1" t="s">
        <v>104</v>
      </c>
      <c r="BJ845" s="1" t="s">
        <v>104</v>
      </c>
      <c r="BK845" s="1" t="s">
        <v>104</v>
      </c>
      <c r="BL845" s="1" t="s">
        <v>104</v>
      </c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N846" s="1" t="s">
        <v>104</v>
      </c>
      <c r="AO846" s="1" t="s">
        <v>104</v>
      </c>
      <c r="AP846" s="1" t="s">
        <v>104</v>
      </c>
      <c r="AQ846" s="1" t="s">
        <v>104</v>
      </c>
      <c r="AR846" s="1" t="s">
        <v>104</v>
      </c>
      <c r="AS846" s="1" t="s">
        <v>104</v>
      </c>
      <c r="AU846" s="1" t="s">
        <v>104</v>
      </c>
      <c r="AV846" s="1" t="s">
        <v>104</v>
      </c>
      <c r="AX846" s="1" t="str">
        <f>IFERROR(__xludf.DUMMYFUNCTION("""COMPUTED_VALUE"""),"")</f>
        <v/>
      </c>
      <c r="AZ846" s="1" t="str">
        <f>IFERROR(__xludf.DUMMYFUNCTION("""COMPUTED_VALUE"""),"")</f>
        <v/>
      </c>
      <c r="BB846" s="1" t="s">
        <v>104</v>
      </c>
      <c r="BC846" s="1" t="s">
        <v>104</v>
      </c>
      <c r="BE846" s="1" t="s">
        <v>104</v>
      </c>
      <c r="BG846" s="1" t="s">
        <v>104</v>
      </c>
      <c r="BH846" s="1" t="s">
        <v>104</v>
      </c>
      <c r="BI846" s="1" t="s">
        <v>104</v>
      </c>
      <c r="BJ846" s="1" t="s">
        <v>104</v>
      </c>
      <c r="BK846" s="1" t="s">
        <v>104</v>
      </c>
      <c r="BL846" s="1" t="s">
        <v>104</v>
      </c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N847" s="1" t="s">
        <v>104</v>
      </c>
      <c r="AO847" s="1" t="s">
        <v>104</v>
      </c>
      <c r="AP847" s="1" t="s">
        <v>104</v>
      </c>
      <c r="AQ847" s="1" t="s">
        <v>104</v>
      </c>
      <c r="AR847" s="1" t="s">
        <v>104</v>
      </c>
      <c r="AS847" s="1" t="s">
        <v>104</v>
      </c>
      <c r="AU847" s="1" t="s">
        <v>104</v>
      </c>
      <c r="AV847" s="1" t="s">
        <v>104</v>
      </c>
      <c r="AX847" s="1" t="str">
        <f>IFERROR(__xludf.DUMMYFUNCTION("""COMPUTED_VALUE"""),"")</f>
        <v/>
      </c>
      <c r="AZ847" s="1" t="str">
        <f>IFERROR(__xludf.DUMMYFUNCTION("""COMPUTED_VALUE"""),"")</f>
        <v/>
      </c>
      <c r="BB847" s="1" t="s">
        <v>104</v>
      </c>
      <c r="BC847" s="1" t="s">
        <v>104</v>
      </c>
      <c r="BE847" s="1" t="s">
        <v>104</v>
      </c>
      <c r="BG847" s="1" t="s">
        <v>104</v>
      </c>
      <c r="BH847" s="1" t="s">
        <v>104</v>
      </c>
      <c r="BI847" s="1" t="s">
        <v>104</v>
      </c>
      <c r="BJ847" s="1" t="s">
        <v>104</v>
      </c>
      <c r="BK847" s="1" t="s">
        <v>104</v>
      </c>
      <c r="BL847" s="1" t="s">
        <v>104</v>
      </c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N848" s="1" t="s">
        <v>104</v>
      </c>
      <c r="AO848" s="1" t="s">
        <v>104</v>
      </c>
      <c r="AP848" s="1" t="s">
        <v>104</v>
      </c>
      <c r="AQ848" s="1" t="s">
        <v>104</v>
      </c>
      <c r="AR848" s="1" t="s">
        <v>104</v>
      </c>
      <c r="AS848" s="1" t="s">
        <v>104</v>
      </c>
      <c r="AU848" s="1" t="s">
        <v>104</v>
      </c>
      <c r="AV848" s="1" t="s">
        <v>104</v>
      </c>
      <c r="AX848" s="1" t="str">
        <f>IFERROR(__xludf.DUMMYFUNCTION("""COMPUTED_VALUE"""),"")</f>
        <v/>
      </c>
      <c r="AZ848" s="1" t="str">
        <f>IFERROR(__xludf.DUMMYFUNCTION("""COMPUTED_VALUE"""),"")</f>
        <v/>
      </c>
      <c r="BB848" s="1" t="s">
        <v>104</v>
      </c>
      <c r="BC848" s="1" t="s">
        <v>104</v>
      </c>
      <c r="BE848" s="1" t="s">
        <v>104</v>
      </c>
      <c r="BG848" s="1" t="s">
        <v>104</v>
      </c>
      <c r="BH848" s="1" t="s">
        <v>104</v>
      </c>
      <c r="BI848" s="1" t="s">
        <v>104</v>
      </c>
      <c r="BJ848" s="1" t="s">
        <v>104</v>
      </c>
      <c r="BK848" s="1" t="s">
        <v>104</v>
      </c>
      <c r="BL848" s="1" t="s">
        <v>104</v>
      </c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N849" s="1" t="s">
        <v>104</v>
      </c>
      <c r="AO849" s="1" t="s">
        <v>104</v>
      </c>
      <c r="AP849" s="1" t="s">
        <v>104</v>
      </c>
      <c r="AQ849" s="1" t="s">
        <v>104</v>
      </c>
      <c r="AR849" s="1" t="s">
        <v>104</v>
      </c>
      <c r="AS849" s="1" t="s">
        <v>104</v>
      </c>
      <c r="AU849" s="1" t="s">
        <v>104</v>
      </c>
      <c r="AV849" s="1" t="s">
        <v>104</v>
      </c>
      <c r="AX849" s="1" t="str">
        <f>IFERROR(__xludf.DUMMYFUNCTION("""COMPUTED_VALUE"""),"")</f>
        <v/>
      </c>
      <c r="AZ849" s="1" t="str">
        <f>IFERROR(__xludf.DUMMYFUNCTION("""COMPUTED_VALUE"""),"")</f>
        <v/>
      </c>
      <c r="BB849" s="1" t="s">
        <v>104</v>
      </c>
      <c r="BC849" s="1" t="s">
        <v>104</v>
      </c>
      <c r="BE849" s="1" t="s">
        <v>104</v>
      </c>
      <c r="BG849" s="1" t="s">
        <v>104</v>
      </c>
      <c r="BH849" s="1" t="s">
        <v>104</v>
      </c>
      <c r="BI849" s="1" t="s">
        <v>104</v>
      </c>
      <c r="BJ849" s="1" t="s">
        <v>104</v>
      </c>
      <c r="BK849" s="1" t="s">
        <v>104</v>
      </c>
      <c r="BL849" s="1" t="s">
        <v>104</v>
      </c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N850" s="1" t="s">
        <v>104</v>
      </c>
      <c r="AO850" s="1" t="s">
        <v>104</v>
      </c>
      <c r="AP850" s="1" t="s">
        <v>104</v>
      </c>
      <c r="AQ850" s="1" t="s">
        <v>104</v>
      </c>
      <c r="AR850" s="1" t="s">
        <v>104</v>
      </c>
      <c r="AS850" s="1" t="s">
        <v>104</v>
      </c>
      <c r="AU850" s="1" t="s">
        <v>104</v>
      </c>
      <c r="AV850" s="1" t="s">
        <v>104</v>
      </c>
      <c r="AX850" s="1" t="str">
        <f>IFERROR(__xludf.DUMMYFUNCTION("""COMPUTED_VALUE"""),"")</f>
        <v/>
      </c>
      <c r="AZ850" s="1" t="str">
        <f>IFERROR(__xludf.DUMMYFUNCTION("""COMPUTED_VALUE"""),"")</f>
        <v/>
      </c>
      <c r="BB850" s="1" t="s">
        <v>104</v>
      </c>
      <c r="BC850" s="1" t="s">
        <v>104</v>
      </c>
      <c r="BE850" s="1" t="s">
        <v>104</v>
      </c>
      <c r="BG850" s="1" t="s">
        <v>104</v>
      </c>
      <c r="BH850" s="1" t="s">
        <v>104</v>
      </c>
      <c r="BI850" s="1" t="s">
        <v>104</v>
      </c>
      <c r="BJ850" s="1" t="s">
        <v>104</v>
      </c>
      <c r="BK850" s="1" t="s">
        <v>104</v>
      </c>
      <c r="BL850" s="1" t="s">
        <v>104</v>
      </c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N851" s="1" t="s">
        <v>104</v>
      </c>
      <c r="AO851" s="1" t="s">
        <v>104</v>
      </c>
      <c r="AP851" s="1" t="s">
        <v>104</v>
      </c>
      <c r="AQ851" s="1" t="s">
        <v>104</v>
      </c>
      <c r="AR851" s="1" t="s">
        <v>104</v>
      </c>
      <c r="AS851" s="1" t="s">
        <v>104</v>
      </c>
      <c r="AU851" s="1" t="s">
        <v>104</v>
      </c>
      <c r="AV851" s="1" t="s">
        <v>104</v>
      </c>
      <c r="AX851" s="1" t="str">
        <f>IFERROR(__xludf.DUMMYFUNCTION("""COMPUTED_VALUE"""),"")</f>
        <v/>
      </c>
      <c r="AZ851" s="1" t="str">
        <f>IFERROR(__xludf.DUMMYFUNCTION("""COMPUTED_VALUE"""),"")</f>
        <v/>
      </c>
      <c r="BB851" s="1" t="s">
        <v>104</v>
      </c>
      <c r="BC851" s="1" t="s">
        <v>104</v>
      </c>
      <c r="BE851" s="1" t="s">
        <v>104</v>
      </c>
      <c r="BG851" s="1" t="s">
        <v>104</v>
      </c>
      <c r="BH851" s="1" t="s">
        <v>104</v>
      </c>
      <c r="BI851" s="1" t="s">
        <v>104</v>
      </c>
      <c r="BJ851" s="1" t="s">
        <v>104</v>
      </c>
      <c r="BK851" s="1" t="s">
        <v>104</v>
      </c>
      <c r="BL851" s="1" t="s">
        <v>104</v>
      </c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N852" s="1" t="s">
        <v>104</v>
      </c>
      <c r="AO852" s="1" t="s">
        <v>104</v>
      </c>
      <c r="AP852" s="1" t="s">
        <v>104</v>
      </c>
      <c r="AQ852" s="1" t="s">
        <v>104</v>
      </c>
      <c r="AR852" s="1" t="s">
        <v>104</v>
      </c>
      <c r="AS852" s="1" t="s">
        <v>104</v>
      </c>
      <c r="AU852" s="1" t="s">
        <v>104</v>
      </c>
      <c r="AV852" s="1" t="s">
        <v>104</v>
      </c>
      <c r="AX852" s="1" t="str">
        <f>IFERROR(__xludf.DUMMYFUNCTION("""COMPUTED_VALUE"""),"")</f>
        <v/>
      </c>
      <c r="AZ852" s="1" t="str">
        <f>IFERROR(__xludf.DUMMYFUNCTION("""COMPUTED_VALUE"""),"")</f>
        <v/>
      </c>
      <c r="BB852" s="1" t="s">
        <v>104</v>
      </c>
      <c r="BC852" s="1" t="s">
        <v>104</v>
      </c>
      <c r="BE852" s="1" t="s">
        <v>104</v>
      </c>
      <c r="BG852" s="1" t="s">
        <v>104</v>
      </c>
      <c r="BH852" s="1" t="s">
        <v>104</v>
      </c>
      <c r="BI852" s="1" t="s">
        <v>104</v>
      </c>
      <c r="BJ852" s="1" t="s">
        <v>104</v>
      </c>
      <c r="BK852" s="1" t="s">
        <v>104</v>
      </c>
      <c r="BL852" s="1" t="s">
        <v>104</v>
      </c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N853" s="1" t="s">
        <v>104</v>
      </c>
      <c r="AO853" s="1" t="s">
        <v>104</v>
      </c>
      <c r="AP853" s="1" t="s">
        <v>104</v>
      </c>
      <c r="AQ853" s="1" t="s">
        <v>104</v>
      </c>
      <c r="AR853" s="1" t="s">
        <v>104</v>
      </c>
      <c r="AS853" s="1" t="s">
        <v>104</v>
      </c>
      <c r="AU853" s="1" t="s">
        <v>104</v>
      </c>
      <c r="AV853" s="1" t="s">
        <v>104</v>
      </c>
      <c r="AX853" s="1" t="str">
        <f>IFERROR(__xludf.DUMMYFUNCTION("""COMPUTED_VALUE"""),"")</f>
        <v/>
      </c>
      <c r="AZ853" s="1" t="str">
        <f>IFERROR(__xludf.DUMMYFUNCTION("""COMPUTED_VALUE"""),"")</f>
        <v/>
      </c>
      <c r="BB853" s="1" t="s">
        <v>104</v>
      </c>
      <c r="BC853" s="1" t="s">
        <v>104</v>
      </c>
      <c r="BE853" s="1" t="s">
        <v>104</v>
      </c>
      <c r="BG853" s="1" t="s">
        <v>104</v>
      </c>
      <c r="BH853" s="1" t="s">
        <v>104</v>
      </c>
      <c r="BI853" s="1" t="s">
        <v>104</v>
      </c>
      <c r="BJ853" s="1" t="s">
        <v>104</v>
      </c>
      <c r="BK853" s="1" t="s">
        <v>104</v>
      </c>
      <c r="BL853" s="1" t="s">
        <v>104</v>
      </c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N854" s="1" t="s">
        <v>104</v>
      </c>
      <c r="AO854" s="1" t="s">
        <v>104</v>
      </c>
      <c r="AP854" s="1" t="s">
        <v>104</v>
      </c>
      <c r="AQ854" s="1" t="s">
        <v>104</v>
      </c>
      <c r="AR854" s="1" t="s">
        <v>104</v>
      </c>
      <c r="AS854" s="1" t="s">
        <v>104</v>
      </c>
      <c r="AU854" s="1" t="s">
        <v>104</v>
      </c>
      <c r="AV854" s="1" t="s">
        <v>104</v>
      </c>
      <c r="AX854" s="1" t="str">
        <f>IFERROR(__xludf.DUMMYFUNCTION("""COMPUTED_VALUE"""),"")</f>
        <v/>
      </c>
      <c r="AZ854" s="1" t="str">
        <f>IFERROR(__xludf.DUMMYFUNCTION("""COMPUTED_VALUE"""),"")</f>
        <v/>
      </c>
      <c r="BB854" s="1" t="s">
        <v>104</v>
      </c>
      <c r="BC854" s="1" t="s">
        <v>104</v>
      </c>
      <c r="BE854" s="1" t="s">
        <v>104</v>
      </c>
      <c r="BG854" s="1" t="s">
        <v>104</v>
      </c>
      <c r="BH854" s="1" t="s">
        <v>104</v>
      </c>
      <c r="BI854" s="1" t="s">
        <v>104</v>
      </c>
      <c r="BJ854" s="1" t="s">
        <v>104</v>
      </c>
      <c r="BK854" s="1" t="s">
        <v>104</v>
      </c>
      <c r="BL854" s="1" t="s">
        <v>104</v>
      </c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N855" s="1" t="s">
        <v>104</v>
      </c>
      <c r="AO855" s="1" t="s">
        <v>104</v>
      </c>
      <c r="AP855" s="1" t="s">
        <v>104</v>
      </c>
      <c r="AQ855" s="1" t="s">
        <v>104</v>
      </c>
      <c r="AR855" s="1" t="s">
        <v>104</v>
      </c>
      <c r="AS855" s="1" t="s">
        <v>104</v>
      </c>
      <c r="AU855" s="1" t="s">
        <v>104</v>
      </c>
      <c r="AV855" s="1" t="s">
        <v>104</v>
      </c>
      <c r="AX855" s="1" t="str">
        <f>IFERROR(__xludf.DUMMYFUNCTION("""COMPUTED_VALUE"""),"")</f>
        <v/>
      </c>
      <c r="AZ855" s="1" t="str">
        <f>IFERROR(__xludf.DUMMYFUNCTION("""COMPUTED_VALUE"""),"")</f>
        <v/>
      </c>
      <c r="BB855" s="1" t="s">
        <v>104</v>
      </c>
      <c r="BC855" s="1" t="s">
        <v>104</v>
      </c>
      <c r="BE855" s="1" t="s">
        <v>104</v>
      </c>
      <c r="BG855" s="1" t="s">
        <v>104</v>
      </c>
      <c r="BH855" s="1" t="s">
        <v>104</v>
      </c>
      <c r="BI855" s="1" t="s">
        <v>104</v>
      </c>
      <c r="BJ855" s="1" t="s">
        <v>104</v>
      </c>
      <c r="BK855" s="1" t="s">
        <v>104</v>
      </c>
      <c r="BL855" s="1" t="s">
        <v>104</v>
      </c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N856" s="1" t="s">
        <v>104</v>
      </c>
      <c r="AO856" s="1" t="s">
        <v>104</v>
      </c>
      <c r="AP856" s="1" t="s">
        <v>104</v>
      </c>
      <c r="AQ856" s="1" t="s">
        <v>104</v>
      </c>
      <c r="AR856" s="1" t="s">
        <v>104</v>
      </c>
      <c r="AS856" s="1" t="s">
        <v>104</v>
      </c>
      <c r="AU856" s="1" t="s">
        <v>104</v>
      </c>
      <c r="AV856" s="1" t="s">
        <v>104</v>
      </c>
      <c r="AX856" s="1" t="str">
        <f>IFERROR(__xludf.DUMMYFUNCTION("""COMPUTED_VALUE"""),"")</f>
        <v/>
      </c>
      <c r="AZ856" s="1" t="str">
        <f>IFERROR(__xludf.DUMMYFUNCTION("""COMPUTED_VALUE"""),"")</f>
        <v/>
      </c>
      <c r="BB856" s="1" t="s">
        <v>104</v>
      </c>
      <c r="BC856" s="1" t="s">
        <v>104</v>
      </c>
      <c r="BE856" s="1" t="s">
        <v>104</v>
      </c>
      <c r="BG856" s="1" t="s">
        <v>104</v>
      </c>
      <c r="BH856" s="1" t="s">
        <v>104</v>
      </c>
      <c r="BI856" s="1" t="s">
        <v>104</v>
      </c>
      <c r="BJ856" s="1" t="s">
        <v>104</v>
      </c>
      <c r="BK856" s="1" t="s">
        <v>104</v>
      </c>
      <c r="BL856" s="1" t="s">
        <v>104</v>
      </c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N857" s="1" t="s">
        <v>104</v>
      </c>
      <c r="AO857" s="1" t="s">
        <v>104</v>
      </c>
      <c r="AP857" s="1" t="s">
        <v>104</v>
      </c>
      <c r="AQ857" s="1" t="s">
        <v>104</v>
      </c>
      <c r="AR857" s="1" t="s">
        <v>104</v>
      </c>
      <c r="AS857" s="1" t="s">
        <v>104</v>
      </c>
      <c r="AU857" s="1" t="s">
        <v>104</v>
      </c>
      <c r="AV857" s="1" t="s">
        <v>104</v>
      </c>
      <c r="AX857" s="1" t="str">
        <f>IFERROR(__xludf.DUMMYFUNCTION("""COMPUTED_VALUE"""),"")</f>
        <v/>
      </c>
      <c r="AZ857" s="1" t="str">
        <f>IFERROR(__xludf.DUMMYFUNCTION("""COMPUTED_VALUE"""),"")</f>
        <v/>
      </c>
      <c r="BB857" s="1" t="s">
        <v>104</v>
      </c>
      <c r="BC857" s="1" t="s">
        <v>104</v>
      </c>
      <c r="BE857" s="1" t="s">
        <v>104</v>
      </c>
      <c r="BG857" s="1" t="s">
        <v>104</v>
      </c>
      <c r="BH857" s="1" t="s">
        <v>104</v>
      </c>
      <c r="BI857" s="1" t="s">
        <v>104</v>
      </c>
      <c r="BJ857" s="1" t="s">
        <v>104</v>
      </c>
      <c r="BK857" s="1" t="s">
        <v>104</v>
      </c>
      <c r="BL857" s="1" t="s">
        <v>104</v>
      </c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N858" s="1" t="s">
        <v>104</v>
      </c>
      <c r="AO858" s="1" t="s">
        <v>104</v>
      </c>
      <c r="AP858" s="1" t="s">
        <v>104</v>
      </c>
      <c r="AQ858" s="1" t="s">
        <v>104</v>
      </c>
      <c r="AR858" s="1" t="s">
        <v>104</v>
      </c>
      <c r="AS858" s="1" t="s">
        <v>104</v>
      </c>
      <c r="AU858" s="1" t="s">
        <v>104</v>
      </c>
      <c r="AV858" s="1" t="s">
        <v>104</v>
      </c>
      <c r="AX858" s="1" t="str">
        <f>IFERROR(__xludf.DUMMYFUNCTION("""COMPUTED_VALUE"""),"")</f>
        <v/>
      </c>
      <c r="AZ858" s="1" t="str">
        <f>IFERROR(__xludf.DUMMYFUNCTION("""COMPUTED_VALUE"""),"")</f>
        <v/>
      </c>
      <c r="BB858" s="1" t="s">
        <v>104</v>
      </c>
      <c r="BC858" s="1" t="s">
        <v>104</v>
      </c>
      <c r="BE858" s="1" t="s">
        <v>104</v>
      </c>
      <c r="BG858" s="1" t="s">
        <v>104</v>
      </c>
      <c r="BH858" s="1" t="s">
        <v>104</v>
      </c>
      <c r="BI858" s="1" t="s">
        <v>104</v>
      </c>
      <c r="BJ858" s="1" t="s">
        <v>104</v>
      </c>
      <c r="BK858" s="1" t="s">
        <v>104</v>
      </c>
      <c r="BL858" s="1" t="s">
        <v>104</v>
      </c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N859" s="1" t="s">
        <v>104</v>
      </c>
      <c r="AO859" s="1" t="s">
        <v>104</v>
      </c>
      <c r="AP859" s="1" t="s">
        <v>104</v>
      </c>
      <c r="AQ859" s="1" t="s">
        <v>104</v>
      </c>
      <c r="AR859" s="1" t="s">
        <v>104</v>
      </c>
      <c r="AS859" s="1" t="s">
        <v>104</v>
      </c>
      <c r="AU859" s="1" t="s">
        <v>104</v>
      </c>
      <c r="AV859" s="1" t="s">
        <v>104</v>
      </c>
      <c r="AX859" s="1" t="str">
        <f>IFERROR(__xludf.DUMMYFUNCTION("""COMPUTED_VALUE"""),"")</f>
        <v/>
      </c>
      <c r="AZ859" s="1" t="str">
        <f>IFERROR(__xludf.DUMMYFUNCTION("""COMPUTED_VALUE"""),"")</f>
        <v/>
      </c>
      <c r="BB859" s="1" t="s">
        <v>104</v>
      </c>
      <c r="BC859" s="1" t="s">
        <v>104</v>
      </c>
      <c r="BE859" s="1" t="s">
        <v>104</v>
      </c>
      <c r="BG859" s="1" t="s">
        <v>104</v>
      </c>
      <c r="BH859" s="1" t="s">
        <v>104</v>
      </c>
      <c r="BI859" s="1" t="s">
        <v>104</v>
      </c>
      <c r="BJ859" s="1" t="s">
        <v>104</v>
      </c>
      <c r="BK859" s="1" t="s">
        <v>104</v>
      </c>
      <c r="BL859" s="1" t="s">
        <v>104</v>
      </c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N860" s="1" t="s">
        <v>104</v>
      </c>
      <c r="AO860" s="1" t="s">
        <v>104</v>
      </c>
      <c r="AP860" s="1" t="s">
        <v>104</v>
      </c>
      <c r="AQ860" s="1" t="s">
        <v>104</v>
      </c>
      <c r="AR860" s="1" t="s">
        <v>104</v>
      </c>
      <c r="AS860" s="1" t="s">
        <v>104</v>
      </c>
      <c r="AU860" s="1" t="s">
        <v>104</v>
      </c>
      <c r="AV860" s="1" t="s">
        <v>104</v>
      </c>
      <c r="AX860" s="1" t="str">
        <f>IFERROR(__xludf.DUMMYFUNCTION("""COMPUTED_VALUE"""),"")</f>
        <v/>
      </c>
      <c r="AZ860" s="1" t="str">
        <f>IFERROR(__xludf.DUMMYFUNCTION("""COMPUTED_VALUE"""),"")</f>
        <v/>
      </c>
      <c r="BB860" s="1" t="s">
        <v>104</v>
      </c>
      <c r="BC860" s="1" t="s">
        <v>104</v>
      </c>
      <c r="BE860" s="1" t="s">
        <v>104</v>
      </c>
      <c r="BG860" s="1" t="s">
        <v>104</v>
      </c>
      <c r="BH860" s="1" t="s">
        <v>104</v>
      </c>
      <c r="BI860" s="1" t="s">
        <v>104</v>
      </c>
      <c r="BJ860" s="1" t="s">
        <v>104</v>
      </c>
      <c r="BK860" s="1" t="s">
        <v>104</v>
      </c>
      <c r="BL860" s="1" t="s">
        <v>104</v>
      </c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N861" s="1" t="s">
        <v>104</v>
      </c>
      <c r="AO861" s="1" t="s">
        <v>104</v>
      </c>
      <c r="AP861" s="1" t="s">
        <v>104</v>
      </c>
      <c r="AQ861" s="1" t="s">
        <v>104</v>
      </c>
      <c r="AR861" s="1" t="s">
        <v>104</v>
      </c>
      <c r="AS861" s="1" t="s">
        <v>104</v>
      </c>
      <c r="AU861" s="1" t="s">
        <v>104</v>
      </c>
      <c r="AV861" s="1" t="s">
        <v>104</v>
      </c>
      <c r="AX861" s="1" t="str">
        <f>IFERROR(__xludf.DUMMYFUNCTION("""COMPUTED_VALUE"""),"")</f>
        <v/>
      </c>
      <c r="AZ861" s="1" t="str">
        <f>IFERROR(__xludf.DUMMYFUNCTION("""COMPUTED_VALUE"""),"")</f>
        <v/>
      </c>
      <c r="BB861" s="1" t="s">
        <v>104</v>
      </c>
      <c r="BC861" s="1" t="s">
        <v>104</v>
      </c>
      <c r="BE861" s="1" t="s">
        <v>104</v>
      </c>
      <c r="BG861" s="1" t="s">
        <v>104</v>
      </c>
      <c r="BH861" s="1" t="s">
        <v>104</v>
      </c>
      <c r="BI861" s="1" t="s">
        <v>104</v>
      </c>
      <c r="BJ861" s="1" t="s">
        <v>104</v>
      </c>
      <c r="BK861" s="1" t="s">
        <v>104</v>
      </c>
      <c r="BL861" s="1" t="s">
        <v>104</v>
      </c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N862" s="1" t="s">
        <v>104</v>
      </c>
      <c r="AO862" s="1" t="s">
        <v>104</v>
      </c>
      <c r="AP862" s="1" t="s">
        <v>104</v>
      </c>
      <c r="AQ862" s="1" t="s">
        <v>104</v>
      </c>
      <c r="AR862" s="1" t="s">
        <v>104</v>
      </c>
      <c r="AS862" s="1" t="s">
        <v>104</v>
      </c>
      <c r="AU862" s="1" t="s">
        <v>104</v>
      </c>
      <c r="AV862" s="1" t="s">
        <v>104</v>
      </c>
      <c r="AX862" s="1" t="str">
        <f>IFERROR(__xludf.DUMMYFUNCTION("""COMPUTED_VALUE"""),"")</f>
        <v/>
      </c>
      <c r="AZ862" s="1" t="str">
        <f>IFERROR(__xludf.DUMMYFUNCTION("""COMPUTED_VALUE"""),"")</f>
        <v/>
      </c>
      <c r="BB862" s="1" t="s">
        <v>104</v>
      </c>
      <c r="BC862" s="1" t="s">
        <v>104</v>
      </c>
      <c r="BE862" s="1" t="s">
        <v>104</v>
      </c>
      <c r="BG862" s="1" t="s">
        <v>104</v>
      </c>
      <c r="BH862" s="1" t="s">
        <v>104</v>
      </c>
      <c r="BI862" s="1" t="s">
        <v>104</v>
      </c>
      <c r="BJ862" s="1" t="s">
        <v>104</v>
      </c>
      <c r="BK862" s="1" t="s">
        <v>104</v>
      </c>
      <c r="BL862" s="1" t="s">
        <v>104</v>
      </c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N863" s="1" t="s">
        <v>104</v>
      </c>
      <c r="AO863" s="1" t="s">
        <v>104</v>
      </c>
      <c r="AP863" s="1" t="s">
        <v>104</v>
      </c>
      <c r="AQ863" s="1" t="s">
        <v>104</v>
      </c>
      <c r="AR863" s="1" t="s">
        <v>104</v>
      </c>
      <c r="AS863" s="1" t="s">
        <v>104</v>
      </c>
      <c r="AU863" s="1" t="s">
        <v>104</v>
      </c>
      <c r="AV863" s="1" t="s">
        <v>104</v>
      </c>
      <c r="AX863" s="1" t="str">
        <f>IFERROR(__xludf.DUMMYFUNCTION("""COMPUTED_VALUE"""),"")</f>
        <v/>
      </c>
      <c r="AZ863" s="1" t="str">
        <f>IFERROR(__xludf.DUMMYFUNCTION("""COMPUTED_VALUE"""),"")</f>
        <v/>
      </c>
      <c r="BB863" s="1" t="s">
        <v>104</v>
      </c>
      <c r="BC863" s="1" t="s">
        <v>104</v>
      </c>
      <c r="BE863" s="1" t="s">
        <v>104</v>
      </c>
      <c r="BG863" s="1" t="s">
        <v>104</v>
      </c>
      <c r="BH863" s="1" t="s">
        <v>104</v>
      </c>
      <c r="BI863" s="1" t="s">
        <v>104</v>
      </c>
      <c r="BJ863" s="1" t="s">
        <v>104</v>
      </c>
      <c r="BK863" s="1" t="s">
        <v>104</v>
      </c>
      <c r="BL863" s="1" t="s">
        <v>104</v>
      </c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N864" s="1" t="s">
        <v>104</v>
      </c>
      <c r="AO864" s="1" t="s">
        <v>104</v>
      </c>
      <c r="AP864" s="1" t="s">
        <v>104</v>
      </c>
      <c r="AQ864" s="1" t="s">
        <v>104</v>
      </c>
      <c r="AR864" s="1" t="s">
        <v>104</v>
      </c>
      <c r="AS864" s="1" t="s">
        <v>104</v>
      </c>
      <c r="AU864" s="1" t="s">
        <v>104</v>
      </c>
      <c r="AV864" s="1" t="s">
        <v>104</v>
      </c>
      <c r="AX864" s="1" t="str">
        <f>IFERROR(__xludf.DUMMYFUNCTION("""COMPUTED_VALUE"""),"")</f>
        <v/>
      </c>
      <c r="AZ864" s="1" t="str">
        <f>IFERROR(__xludf.DUMMYFUNCTION("""COMPUTED_VALUE"""),"")</f>
        <v/>
      </c>
      <c r="BB864" s="1" t="s">
        <v>104</v>
      </c>
      <c r="BC864" s="1" t="s">
        <v>104</v>
      </c>
      <c r="BE864" s="1" t="s">
        <v>104</v>
      </c>
      <c r="BG864" s="1" t="s">
        <v>104</v>
      </c>
      <c r="BH864" s="1" t="s">
        <v>104</v>
      </c>
      <c r="BI864" s="1" t="s">
        <v>104</v>
      </c>
      <c r="BJ864" s="1" t="s">
        <v>104</v>
      </c>
      <c r="BK864" s="1" t="s">
        <v>104</v>
      </c>
      <c r="BL864" s="1" t="s">
        <v>104</v>
      </c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N865" s="1" t="s">
        <v>104</v>
      </c>
      <c r="AO865" s="1" t="s">
        <v>104</v>
      </c>
      <c r="AP865" s="1" t="s">
        <v>104</v>
      </c>
      <c r="AQ865" s="1" t="s">
        <v>104</v>
      </c>
      <c r="AR865" s="1" t="s">
        <v>104</v>
      </c>
      <c r="AS865" s="1" t="s">
        <v>104</v>
      </c>
      <c r="AU865" s="1" t="s">
        <v>104</v>
      </c>
      <c r="AV865" s="1" t="s">
        <v>104</v>
      </c>
      <c r="AX865" s="1" t="str">
        <f>IFERROR(__xludf.DUMMYFUNCTION("""COMPUTED_VALUE"""),"")</f>
        <v/>
      </c>
      <c r="AZ865" s="1" t="str">
        <f>IFERROR(__xludf.DUMMYFUNCTION("""COMPUTED_VALUE"""),"")</f>
        <v/>
      </c>
      <c r="BB865" s="1" t="s">
        <v>104</v>
      </c>
      <c r="BC865" s="1" t="s">
        <v>104</v>
      </c>
      <c r="BE865" s="1" t="s">
        <v>104</v>
      </c>
      <c r="BG865" s="1" t="s">
        <v>104</v>
      </c>
      <c r="BH865" s="1" t="s">
        <v>104</v>
      </c>
      <c r="BI865" s="1" t="s">
        <v>104</v>
      </c>
      <c r="BJ865" s="1" t="s">
        <v>104</v>
      </c>
      <c r="BK865" s="1" t="s">
        <v>104</v>
      </c>
      <c r="BL865" s="1" t="s">
        <v>104</v>
      </c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N866" s="1" t="s">
        <v>104</v>
      </c>
      <c r="AO866" s="1" t="s">
        <v>104</v>
      </c>
      <c r="AP866" s="1" t="s">
        <v>104</v>
      </c>
      <c r="AQ866" s="1" t="s">
        <v>104</v>
      </c>
      <c r="AR866" s="1" t="s">
        <v>104</v>
      </c>
      <c r="AS866" s="1" t="s">
        <v>104</v>
      </c>
      <c r="AU866" s="1" t="s">
        <v>104</v>
      </c>
      <c r="AV866" s="1" t="s">
        <v>104</v>
      </c>
      <c r="AX866" s="1" t="str">
        <f>IFERROR(__xludf.DUMMYFUNCTION("""COMPUTED_VALUE"""),"")</f>
        <v/>
      </c>
      <c r="AZ866" s="1" t="str">
        <f>IFERROR(__xludf.DUMMYFUNCTION("""COMPUTED_VALUE"""),"")</f>
        <v/>
      </c>
      <c r="BB866" s="1" t="s">
        <v>104</v>
      </c>
      <c r="BC866" s="1" t="s">
        <v>104</v>
      </c>
      <c r="BE866" s="1" t="s">
        <v>104</v>
      </c>
      <c r="BG866" s="1" t="s">
        <v>104</v>
      </c>
      <c r="BH866" s="1" t="s">
        <v>104</v>
      </c>
      <c r="BI866" s="1" t="s">
        <v>104</v>
      </c>
      <c r="BJ866" s="1" t="s">
        <v>104</v>
      </c>
      <c r="BK866" s="1" t="s">
        <v>104</v>
      </c>
      <c r="BL866" s="1" t="s">
        <v>104</v>
      </c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N867" s="1" t="s">
        <v>104</v>
      </c>
      <c r="AO867" s="1" t="s">
        <v>104</v>
      </c>
      <c r="AP867" s="1" t="s">
        <v>104</v>
      </c>
      <c r="AQ867" s="1" t="s">
        <v>104</v>
      </c>
      <c r="AR867" s="1" t="s">
        <v>104</v>
      </c>
      <c r="AS867" s="1" t="s">
        <v>104</v>
      </c>
      <c r="AU867" s="1" t="s">
        <v>104</v>
      </c>
      <c r="AV867" s="1" t="s">
        <v>104</v>
      </c>
      <c r="AX867" s="1" t="str">
        <f>IFERROR(__xludf.DUMMYFUNCTION("""COMPUTED_VALUE"""),"")</f>
        <v/>
      </c>
      <c r="AZ867" s="1" t="str">
        <f>IFERROR(__xludf.DUMMYFUNCTION("""COMPUTED_VALUE"""),"")</f>
        <v/>
      </c>
      <c r="BB867" s="1" t="s">
        <v>104</v>
      </c>
      <c r="BC867" s="1" t="s">
        <v>104</v>
      </c>
      <c r="BE867" s="1" t="s">
        <v>104</v>
      </c>
      <c r="BG867" s="1" t="s">
        <v>104</v>
      </c>
      <c r="BH867" s="1" t="s">
        <v>104</v>
      </c>
      <c r="BI867" s="1" t="s">
        <v>104</v>
      </c>
      <c r="BJ867" s="1" t="s">
        <v>104</v>
      </c>
      <c r="BK867" s="1" t="s">
        <v>104</v>
      </c>
      <c r="BL867" s="1" t="s">
        <v>104</v>
      </c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N868" s="1" t="s">
        <v>104</v>
      </c>
      <c r="AO868" s="1" t="s">
        <v>104</v>
      </c>
      <c r="AP868" s="1" t="s">
        <v>104</v>
      </c>
      <c r="AQ868" s="1" t="s">
        <v>104</v>
      </c>
      <c r="AR868" s="1" t="s">
        <v>104</v>
      </c>
      <c r="AS868" s="1" t="s">
        <v>104</v>
      </c>
      <c r="AU868" s="1" t="s">
        <v>104</v>
      </c>
      <c r="AV868" s="1" t="s">
        <v>104</v>
      </c>
      <c r="AX868" s="1" t="str">
        <f>IFERROR(__xludf.DUMMYFUNCTION("""COMPUTED_VALUE"""),"")</f>
        <v/>
      </c>
      <c r="AZ868" s="1" t="str">
        <f>IFERROR(__xludf.DUMMYFUNCTION("""COMPUTED_VALUE"""),"")</f>
        <v/>
      </c>
      <c r="BB868" s="1" t="s">
        <v>104</v>
      </c>
      <c r="BC868" s="1" t="s">
        <v>104</v>
      </c>
      <c r="BE868" s="1" t="s">
        <v>104</v>
      </c>
      <c r="BG868" s="1" t="s">
        <v>104</v>
      </c>
      <c r="BH868" s="1" t="s">
        <v>104</v>
      </c>
      <c r="BI868" s="1" t="s">
        <v>104</v>
      </c>
      <c r="BJ868" s="1" t="s">
        <v>104</v>
      </c>
      <c r="BK868" s="1" t="s">
        <v>104</v>
      </c>
      <c r="BL868" s="1" t="s">
        <v>104</v>
      </c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N869" s="1" t="s">
        <v>104</v>
      </c>
      <c r="AO869" s="1" t="s">
        <v>104</v>
      </c>
      <c r="AP869" s="1" t="s">
        <v>104</v>
      </c>
      <c r="AQ869" s="1" t="s">
        <v>104</v>
      </c>
      <c r="AR869" s="1" t="s">
        <v>104</v>
      </c>
      <c r="AS869" s="1" t="s">
        <v>104</v>
      </c>
      <c r="AU869" s="1" t="s">
        <v>104</v>
      </c>
      <c r="AV869" s="1" t="s">
        <v>104</v>
      </c>
      <c r="AX869" s="1" t="str">
        <f>IFERROR(__xludf.DUMMYFUNCTION("""COMPUTED_VALUE"""),"")</f>
        <v/>
      </c>
      <c r="AZ869" s="1" t="str">
        <f>IFERROR(__xludf.DUMMYFUNCTION("""COMPUTED_VALUE"""),"")</f>
        <v/>
      </c>
      <c r="BB869" s="1" t="s">
        <v>104</v>
      </c>
      <c r="BC869" s="1" t="s">
        <v>104</v>
      </c>
      <c r="BE869" s="1" t="s">
        <v>104</v>
      </c>
      <c r="BG869" s="1" t="s">
        <v>104</v>
      </c>
      <c r="BH869" s="1" t="s">
        <v>104</v>
      </c>
      <c r="BI869" s="1" t="s">
        <v>104</v>
      </c>
      <c r="BJ869" s="1" t="s">
        <v>104</v>
      </c>
      <c r="BK869" s="1" t="s">
        <v>104</v>
      </c>
      <c r="BL869" s="1" t="s">
        <v>104</v>
      </c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N870" s="1" t="s">
        <v>104</v>
      </c>
      <c r="AO870" s="1" t="s">
        <v>104</v>
      </c>
      <c r="AP870" s="1" t="s">
        <v>104</v>
      </c>
      <c r="AQ870" s="1" t="s">
        <v>104</v>
      </c>
      <c r="AR870" s="1" t="s">
        <v>104</v>
      </c>
      <c r="AS870" s="1" t="s">
        <v>104</v>
      </c>
      <c r="AU870" s="1" t="s">
        <v>104</v>
      </c>
      <c r="AV870" s="1" t="s">
        <v>104</v>
      </c>
      <c r="AX870" s="1" t="str">
        <f>IFERROR(__xludf.DUMMYFUNCTION("""COMPUTED_VALUE"""),"")</f>
        <v/>
      </c>
      <c r="AZ870" s="1" t="str">
        <f>IFERROR(__xludf.DUMMYFUNCTION("""COMPUTED_VALUE"""),"")</f>
        <v/>
      </c>
      <c r="BB870" s="1" t="s">
        <v>104</v>
      </c>
      <c r="BC870" s="1" t="s">
        <v>104</v>
      </c>
      <c r="BE870" s="1" t="s">
        <v>104</v>
      </c>
      <c r="BG870" s="1" t="s">
        <v>104</v>
      </c>
      <c r="BH870" s="1" t="s">
        <v>104</v>
      </c>
      <c r="BI870" s="1" t="s">
        <v>104</v>
      </c>
      <c r="BJ870" s="1" t="s">
        <v>104</v>
      </c>
      <c r="BK870" s="1" t="s">
        <v>104</v>
      </c>
      <c r="BL870" s="1" t="s">
        <v>104</v>
      </c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N871" s="1" t="s">
        <v>104</v>
      </c>
      <c r="AO871" s="1" t="s">
        <v>104</v>
      </c>
      <c r="AP871" s="1" t="s">
        <v>104</v>
      </c>
      <c r="AQ871" s="1" t="s">
        <v>104</v>
      </c>
      <c r="AR871" s="1" t="s">
        <v>104</v>
      </c>
      <c r="AS871" s="1" t="s">
        <v>104</v>
      </c>
      <c r="AU871" s="1" t="s">
        <v>104</v>
      </c>
      <c r="AV871" s="1" t="s">
        <v>104</v>
      </c>
      <c r="AX871" s="1" t="str">
        <f>IFERROR(__xludf.DUMMYFUNCTION("""COMPUTED_VALUE"""),"")</f>
        <v/>
      </c>
      <c r="AZ871" s="1" t="str">
        <f>IFERROR(__xludf.DUMMYFUNCTION("""COMPUTED_VALUE"""),"")</f>
        <v/>
      </c>
      <c r="BB871" s="1" t="s">
        <v>104</v>
      </c>
      <c r="BC871" s="1" t="s">
        <v>104</v>
      </c>
      <c r="BE871" s="1" t="s">
        <v>104</v>
      </c>
      <c r="BG871" s="1" t="s">
        <v>104</v>
      </c>
      <c r="BH871" s="1" t="s">
        <v>104</v>
      </c>
      <c r="BI871" s="1" t="s">
        <v>104</v>
      </c>
      <c r="BJ871" s="1" t="s">
        <v>104</v>
      </c>
      <c r="BK871" s="1" t="s">
        <v>104</v>
      </c>
      <c r="BL871" s="1" t="s">
        <v>104</v>
      </c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N872" s="1" t="s">
        <v>104</v>
      </c>
      <c r="AO872" s="1" t="s">
        <v>104</v>
      </c>
      <c r="AP872" s="1" t="s">
        <v>104</v>
      </c>
      <c r="AQ872" s="1" t="s">
        <v>104</v>
      </c>
      <c r="AR872" s="1" t="s">
        <v>104</v>
      </c>
      <c r="AS872" s="1" t="s">
        <v>104</v>
      </c>
      <c r="AU872" s="1" t="s">
        <v>104</v>
      </c>
      <c r="AV872" s="1" t="s">
        <v>104</v>
      </c>
      <c r="AX872" s="1" t="str">
        <f>IFERROR(__xludf.DUMMYFUNCTION("""COMPUTED_VALUE"""),"")</f>
        <v/>
      </c>
      <c r="AZ872" s="1" t="str">
        <f>IFERROR(__xludf.DUMMYFUNCTION("""COMPUTED_VALUE"""),"")</f>
        <v/>
      </c>
      <c r="BB872" s="1" t="s">
        <v>104</v>
      </c>
      <c r="BC872" s="1" t="s">
        <v>104</v>
      </c>
      <c r="BE872" s="1" t="s">
        <v>104</v>
      </c>
      <c r="BG872" s="1" t="s">
        <v>104</v>
      </c>
      <c r="BH872" s="1" t="s">
        <v>104</v>
      </c>
      <c r="BI872" s="1" t="s">
        <v>104</v>
      </c>
      <c r="BJ872" s="1" t="s">
        <v>104</v>
      </c>
      <c r="BK872" s="1" t="s">
        <v>104</v>
      </c>
      <c r="BL872" s="1" t="s">
        <v>104</v>
      </c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N873" s="1" t="s">
        <v>104</v>
      </c>
      <c r="AO873" s="1" t="s">
        <v>104</v>
      </c>
      <c r="AP873" s="1" t="s">
        <v>104</v>
      </c>
      <c r="AQ873" s="1" t="s">
        <v>104</v>
      </c>
      <c r="AR873" s="1" t="s">
        <v>104</v>
      </c>
      <c r="AS873" s="1" t="s">
        <v>104</v>
      </c>
      <c r="AU873" s="1" t="s">
        <v>104</v>
      </c>
      <c r="AV873" s="1" t="s">
        <v>104</v>
      </c>
      <c r="AX873" s="1" t="str">
        <f>IFERROR(__xludf.DUMMYFUNCTION("""COMPUTED_VALUE"""),"")</f>
        <v/>
      </c>
      <c r="AZ873" s="1" t="str">
        <f>IFERROR(__xludf.DUMMYFUNCTION("""COMPUTED_VALUE"""),"")</f>
        <v/>
      </c>
      <c r="BB873" s="1" t="s">
        <v>104</v>
      </c>
      <c r="BC873" s="1" t="s">
        <v>104</v>
      </c>
      <c r="BE873" s="1" t="s">
        <v>104</v>
      </c>
      <c r="BG873" s="1" t="s">
        <v>104</v>
      </c>
      <c r="BH873" s="1" t="s">
        <v>104</v>
      </c>
      <c r="BI873" s="1" t="s">
        <v>104</v>
      </c>
      <c r="BJ873" s="1" t="s">
        <v>104</v>
      </c>
      <c r="BK873" s="1" t="s">
        <v>104</v>
      </c>
      <c r="BL873" s="1" t="s">
        <v>104</v>
      </c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N874" s="1" t="s">
        <v>104</v>
      </c>
      <c r="AO874" s="1" t="s">
        <v>104</v>
      </c>
      <c r="AP874" s="1" t="s">
        <v>104</v>
      </c>
      <c r="AQ874" s="1" t="s">
        <v>104</v>
      </c>
      <c r="AR874" s="1" t="s">
        <v>104</v>
      </c>
      <c r="AS874" s="1" t="s">
        <v>104</v>
      </c>
      <c r="AU874" s="1" t="s">
        <v>104</v>
      </c>
      <c r="AV874" s="1" t="s">
        <v>104</v>
      </c>
      <c r="AX874" s="1" t="str">
        <f>IFERROR(__xludf.DUMMYFUNCTION("""COMPUTED_VALUE"""),"")</f>
        <v/>
      </c>
      <c r="AZ874" s="1" t="str">
        <f>IFERROR(__xludf.DUMMYFUNCTION("""COMPUTED_VALUE"""),"")</f>
        <v/>
      </c>
      <c r="BB874" s="1" t="s">
        <v>104</v>
      </c>
      <c r="BC874" s="1" t="s">
        <v>104</v>
      </c>
      <c r="BE874" s="1" t="s">
        <v>104</v>
      </c>
      <c r="BG874" s="1" t="s">
        <v>104</v>
      </c>
      <c r="BH874" s="1" t="s">
        <v>104</v>
      </c>
      <c r="BI874" s="1" t="s">
        <v>104</v>
      </c>
      <c r="BJ874" s="1" t="s">
        <v>104</v>
      </c>
      <c r="BK874" s="1" t="s">
        <v>104</v>
      </c>
      <c r="BL874" s="1" t="s">
        <v>104</v>
      </c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N875" s="1" t="s">
        <v>104</v>
      </c>
      <c r="AO875" s="1" t="s">
        <v>104</v>
      </c>
      <c r="AP875" s="1" t="s">
        <v>104</v>
      </c>
      <c r="AQ875" s="1" t="s">
        <v>104</v>
      </c>
      <c r="AR875" s="1" t="s">
        <v>104</v>
      </c>
      <c r="AS875" s="1" t="s">
        <v>104</v>
      </c>
      <c r="AU875" s="1" t="s">
        <v>104</v>
      </c>
      <c r="AV875" s="1" t="s">
        <v>104</v>
      </c>
      <c r="AX875" s="1" t="str">
        <f>IFERROR(__xludf.DUMMYFUNCTION("""COMPUTED_VALUE"""),"")</f>
        <v/>
      </c>
      <c r="AZ875" s="1" t="str">
        <f>IFERROR(__xludf.DUMMYFUNCTION("""COMPUTED_VALUE"""),"")</f>
        <v/>
      </c>
      <c r="BB875" s="1" t="s">
        <v>104</v>
      </c>
      <c r="BC875" s="1" t="s">
        <v>104</v>
      </c>
      <c r="BE875" s="1" t="s">
        <v>104</v>
      </c>
      <c r="BG875" s="1" t="s">
        <v>104</v>
      </c>
      <c r="BH875" s="1" t="s">
        <v>104</v>
      </c>
      <c r="BI875" s="1" t="s">
        <v>104</v>
      </c>
      <c r="BJ875" s="1" t="s">
        <v>104</v>
      </c>
      <c r="BK875" s="1" t="s">
        <v>104</v>
      </c>
      <c r="BL875" s="1" t="s">
        <v>104</v>
      </c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N876" s="1" t="s">
        <v>104</v>
      </c>
      <c r="AO876" s="1" t="s">
        <v>104</v>
      </c>
      <c r="AP876" s="1" t="s">
        <v>104</v>
      </c>
      <c r="AQ876" s="1" t="s">
        <v>104</v>
      </c>
      <c r="AR876" s="1" t="s">
        <v>104</v>
      </c>
      <c r="AS876" s="1" t="s">
        <v>104</v>
      </c>
      <c r="AU876" s="1" t="s">
        <v>104</v>
      </c>
      <c r="AV876" s="1" t="s">
        <v>104</v>
      </c>
      <c r="AX876" s="1" t="str">
        <f>IFERROR(__xludf.DUMMYFUNCTION("""COMPUTED_VALUE"""),"")</f>
        <v/>
      </c>
      <c r="AZ876" s="1" t="str">
        <f>IFERROR(__xludf.DUMMYFUNCTION("""COMPUTED_VALUE"""),"")</f>
        <v/>
      </c>
      <c r="BB876" s="1" t="s">
        <v>104</v>
      </c>
      <c r="BC876" s="1" t="s">
        <v>104</v>
      </c>
      <c r="BE876" s="1" t="s">
        <v>104</v>
      </c>
      <c r="BG876" s="1" t="s">
        <v>104</v>
      </c>
      <c r="BH876" s="1" t="s">
        <v>104</v>
      </c>
      <c r="BI876" s="1" t="s">
        <v>104</v>
      </c>
      <c r="BJ876" s="1" t="s">
        <v>104</v>
      </c>
      <c r="BK876" s="1" t="s">
        <v>104</v>
      </c>
      <c r="BL876" s="1" t="s">
        <v>104</v>
      </c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N877" s="1" t="s">
        <v>104</v>
      </c>
      <c r="AO877" s="1" t="s">
        <v>104</v>
      </c>
      <c r="AP877" s="1" t="s">
        <v>104</v>
      </c>
      <c r="AQ877" s="1" t="s">
        <v>104</v>
      </c>
      <c r="AR877" s="1" t="s">
        <v>104</v>
      </c>
      <c r="AS877" s="1" t="s">
        <v>104</v>
      </c>
      <c r="AU877" s="1" t="s">
        <v>104</v>
      </c>
      <c r="AV877" s="1" t="s">
        <v>104</v>
      </c>
      <c r="AX877" s="1" t="str">
        <f>IFERROR(__xludf.DUMMYFUNCTION("""COMPUTED_VALUE"""),"")</f>
        <v/>
      </c>
      <c r="AZ877" s="1" t="str">
        <f>IFERROR(__xludf.DUMMYFUNCTION("""COMPUTED_VALUE"""),"")</f>
        <v/>
      </c>
      <c r="BB877" s="1" t="s">
        <v>104</v>
      </c>
      <c r="BC877" s="1" t="s">
        <v>104</v>
      </c>
      <c r="BE877" s="1" t="s">
        <v>104</v>
      </c>
      <c r="BG877" s="1" t="s">
        <v>104</v>
      </c>
      <c r="BH877" s="1" t="s">
        <v>104</v>
      </c>
      <c r="BI877" s="1" t="s">
        <v>104</v>
      </c>
      <c r="BJ877" s="1" t="s">
        <v>104</v>
      </c>
      <c r="BK877" s="1" t="s">
        <v>104</v>
      </c>
      <c r="BL877" s="1" t="s">
        <v>104</v>
      </c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N878" s="1" t="s">
        <v>104</v>
      </c>
      <c r="AO878" s="1" t="s">
        <v>104</v>
      </c>
      <c r="AP878" s="1" t="s">
        <v>104</v>
      </c>
      <c r="AQ878" s="1" t="s">
        <v>104</v>
      </c>
      <c r="AR878" s="1" t="s">
        <v>104</v>
      </c>
      <c r="AS878" s="1" t="s">
        <v>104</v>
      </c>
      <c r="AU878" s="1" t="s">
        <v>104</v>
      </c>
      <c r="AV878" s="1" t="s">
        <v>104</v>
      </c>
      <c r="AX878" s="1" t="str">
        <f>IFERROR(__xludf.DUMMYFUNCTION("""COMPUTED_VALUE"""),"")</f>
        <v/>
      </c>
      <c r="AZ878" s="1" t="str">
        <f>IFERROR(__xludf.DUMMYFUNCTION("""COMPUTED_VALUE"""),"")</f>
        <v/>
      </c>
      <c r="BB878" s="1" t="s">
        <v>104</v>
      </c>
      <c r="BC878" s="1" t="s">
        <v>104</v>
      </c>
      <c r="BE878" s="1" t="s">
        <v>104</v>
      </c>
      <c r="BG878" s="1" t="s">
        <v>104</v>
      </c>
      <c r="BH878" s="1" t="s">
        <v>104</v>
      </c>
      <c r="BI878" s="1" t="s">
        <v>104</v>
      </c>
      <c r="BJ878" s="1" t="s">
        <v>104</v>
      </c>
      <c r="BK878" s="1" t="s">
        <v>104</v>
      </c>
      <c r="BL878" s="1" t="s">
        <v>104</v>
      </c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N879" s="1" t="s">
        <v>104</v>
      </c>
      <c r="AO879" s="1" t="s">
        <v>104</v>
      </c>
      <c r="AP879" s="1" t="s">
        <v>104</v>
      </c>
      <c r="AQ879" s="1" t="s">
        <v>104</v>
      </c>
      <c r="AR879" s="1" t="s">
        <v>104</v>
      </c>
      <c r="AS879" s="1" t="s">
        <v>104</v>
      </c>
      <c r="AU879" s="1" t="s">
        <v>104</v>
      </c>
      <c r="AV879" s="1" t="s">
        <v>104</v>
      </c>
      <c r="AX879" s="1" t="str">
        <f>IFERROR(__xludf.DUMMYFUNCTION("""COMPUTED_VALUE"""),"")</f>
        <v/>
      </c>
      <c r="AZ879" s="1" t="str">
        <f>IFERROR(__xludf.DUMMYFUNCTION("""COMPUTED_VALUE"""),"")</f>
        <v/>
      </c>
      <c r="BB879" s="1" t="s">
        <v>104</v>
      </c>
      <c r="BC879" s="1" t="s">
        <v>104</v>
      </c>
      <c r="BE879" s="1" t="s">
        <v>104</v>
      </c>
      <c r="BG879" s="1" t="s">
        <v>104</v>
      </c>
      <c r="BH879" s="1" t="s">
        <v>104</v>
      </c>
      <c r="BI879" s="1" t="s">
        <v>104</v>
      </c>
      <c r="BJ879" s="1" t="s">
        <v>104</v>
      </c>
      <c r="BK879" s="1" t="s">
        <v>104</v>
      </c>
      <c r="BL879" s="1" t="s">
        <v>104</v>
      </c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N880" s="1" t="s">
        <v>104</v>
      </c>
      <c r="AO880" s="1" t="s">
        <v>104</v>
      </c>
      <c r="AP880" s="1" t="s">
        <v>104</v>
      </c>
      <c r="AQ880" s="1" t="s">
        <v>104</v>
      </c>
      <c r="AR880" s="1" t="s">
        <v>104</v>
      </c>
      <c r="AS880" s="1" t="s">
        <v>104</v>
      </c>
      <c r="AU880" s="1" t="s">
        <v>104</v>
      </c>
      <c r="AV880" s="1" t="s">
        <v>104</v>
      </c>
      <c r="AX880" s="1" t="str">
        <f>IFERROR(__xludf.DUMMYFUNCTION("""COMPUTED_VALUE"""),"")</f>
        <v/>
      </c>
      <c r="AZ880" s="1" t="str">
        <f>IFERROR(__xludf.DUMMYFUNCTION("""COMPUTED_VALUE"""),"")</f>
        <v/>
      </c>
      <c r="BB880" s="1" t="s">
        <v>104</v>
      </c>
      <c r="BC880" s="1" t="s">
        <v>104</v>
      </c>
      <c r="BE880" s="1" t="s">
        <v>104</v>
      </c>
      <c r="BG880" s="1" t="s">
        <v>104</v>
      </c>
      <c r="BH880" s="1" t="s">
        <v>104</v>
      </c>
      <c r="BI880" s="1" t="s">
        <v>104</v>
      </c>
      <c r="BJ880" s="1" t="s">
        <v>104</v>
      </c>
      <c r="BK880" s="1" t="s">
        <v>104</v>
      </c>
      <c r="BL880" s="1" t="s">
        <v>104</v>
      </c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N881" s="1" t="s">
        <v>104</v>
      </c>
      <c r="AO881" s="1" t="s">
        <v>104</v>
      </c>
      <c r="AP881" s="1" t="s">
        <v>104</v>
      </c>
      <c r="AQ881" s="1" t="s">
        <v>104</v>
      </c>
      <c r="AR881" s="1" t="s">
        <v>104</v>
      </c>
      <c r="AS881" s="1" t="s">
        <v>104</v>
      </c>
      <c r="AU881" s="1" t="s">
        <v>104</v>
      </c>
      <c r="AV881" s="1" t="s">
        <v>104</v>
      </c>
      <c r="AX881" s="1" t="str">
        <f>IFERROR(__xludf.DUMMYFUNCTION("""COMPUTED_VALUE"""),"")</f>
        <v/>
      </c>
      <c r="AZ881" s="1" t="str">
        <f>IFERROR(__xludf.DUMMYFUNCTION("""COMPUTED_VALUE"""),"")</f>
        <v/>
      </c>
      <c r="BB881" s="1" t="s">
        <v>104</v>
      </c>
      <c r="BC881" s="1" t="s">
        <v>104</v>
      </c>
      <c r="BE881" s="1" t="s">
        <v>104</v>
      </c>
      <c r="BG881" s="1" t="s">
        <v>104</v>
      </c>
      <c r="BH881" s="1" t="s">
        <v>104</v>
      </c>
      <c r="BI881" s="1" t="s">
        <v>104</v>
      </c>
      <c r="BJ881" s="1" t="s">
        <v>104</v>
      </c>
      <c r="BK881" s="1" t="s">
        <v>104</v>
      </c>
      <c r="BL881" s="1" t="s">
        <v>104</v>
      </c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N882" s="1" t="s">
        <v>104</v>
      </c>
      <c r="AO882" s="1" t="s">
        <v>104</v>
      </c>
      <c r="AP882" s="1" t="s">
        <v>104</v>
      </c>
      <c r="AQ882" s="1" t="s">
        <v>104</v>
      </c>
      <c r="AR882" s="1" t="s">
        <v>104</v>
      </c>
      <c r="AS882" s="1" t="s">
        <v>104</v>
      </c>
      <c r="AU882" s="1" t="s">
        <v>104</v>
      </c>
      <c r="AV882" s="1" t="s">
        <v>104</v>
      </c>
      <c r="AX882" s="1" t="str">
        <f>IFERROR(__xludf.DUMMYFUNCTION("""COMPUTED_VALUE"""),"")</f>
        <v/>
      </c>
      <c r="AZ882" s="1" t="str">
        <f>IFERROR(__xludf.DUMMYFUNCTION("""COMPUTED_VALUE"""),"")</f>
        <v/>
      </c>
      <c r="BB882" s="1" t="s">
        <v>104</v>
      </c>
      <c r="BC882" s="1" t="s">
        <v>104</v>
      </c>
      <c r="BE882" s="1" t="s">
        <v>104</v>
      </c>
      <c r="BG882" s="1" t="s">
        <v>104</v>
      </c>
      <c r="BH882" s="1" t="s">
        <v>104</v>
      </c>
      <c r="BI882" s="1" t="s">
        <v>104</v>
      </c>
      <c r="BJ882" s="1" t="s">
        <v>104</v>
      </c>
      <c r="BK882" s="1" t="s">
        <v>104</v>
      </c>
      <c r="BL882" s="1" t="s">
        <v>104</v>
      </c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N883" s="1" t="s">
        <v>104</v>
      </c>
      <c r="AO883" s="1" t="s">
        <v>104</v>
      </c>
      <c r="AP883" s="1" t="s">
        <v>104</v>
      </c>
      <c r="AQ883" s="1" t="s">
        <v>104</v>
      </c>
      <c r="AR883" s="1" t="s">
        <v>104</v>
      </c>
      <c r="AS883" s="1" t="s">
        <v>104</v>
      </c>
      <c r="AU883" s="1" t="s">
        <v>104</v>
      </c>
      <c r="AV883" s="1" t="s">
        <v>104</v>
      </c>
      <c r="AX883" s="1" t="str">
        <f>IFERROR(__xludf.DUMMYFUNCTION("""COMPUTED_VALUE"""),"")</f>
        <v/>
      </c>
      <c r="AZ883" s="1" t="str">
        <f>IFERROR(__xludf.DUMMYFUNCTION("""COMPUTED_VALUE"""),"")</f>
        <v/>
      </c>
      <c r="BB883" s="1" t="s">
        <v>104</v>
      </c>
      <c r="BC883" s="1" t="s">
        <v>104</v>
      </c>
      <c r="BE883" s="1" t="s">
        <v>104</v>
      </c>
      <c r="BG883" s="1" t="s">
        <v>104</v>
      </c>
      <c r="BH883" s="1" t="s">
        <v>104</v>
      </c>
      <c r="BI883" s="1" t="s">
        <v>104</v>
      </c>
      <c r="BJ883" s="1" t="s">
        <v>104</v>
      </c>
      <c r="BK883" s="1" t="s">
        <v>104</v>
      </c>
      <c r="BL883" s="1" t="s">
        <v>104</v>
      </c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N884" s="1" t="s">
        <v>104</v>
      </c>
      <c r="AO884" s="1" t="s">
        <v>104</v>
      </c>
      <c r="AP884" s="1" t="s">
        <v>104</v>
      </c>
      <c r="AQ884" s="1" t="s">
        <v>104</v>
      </c>
      <c r="AR884" s="1" t="s">
        <v>104</v>
      </c>
      <c r="AS884" s="1" t="s">
        <v>104</v>
      </c>
      <c r="AU884" s="1" t="s">
        <v>104</v>
      </c>
      <c r="AV884" s="1" t="s">
        <v>104</v>
      </c>
      <c r="AX884" s="1" t="str">
        <f>IFERROR(__xludf.DUMMYFUNCTION("""COMPUTED_VALUE"""),"")</f>
        <v/>
      </c>
      <c r="AZ884" s="1" t="str">
        <f>IFERROR(__xludf.DUMMYFUNCTION("""COMPUTED_VALUE"""),"")</f>
        <v/>
      </c>
      <c r="BB884" s="1" t="s">
        <v>104</v>
      </c>
      <c r="BC884" s="1" t="s">
        <v>104</v>
      </c>
      <c r="BE884" s="1" t="s">
        <v>104</v>
      </c>
      <c r="BG884" s="1" t="s">
        <v>104</v>
      </c>
      <c r="BH884" s="1" t="s">
        <v>104</v>
      </c>
      <c r="BI884" s="1" t="s">
        <v>104</v>
      </c>
      <c r="BJ884" s="1" t="s">
        <v>104</v>
      </c>
      <c r="BK884" s="1" t="s">
        <v>104</v>
      </c>
      <c r="BL884" s="1" t="s">
        <v>104</v>
      </c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N885" s="1" t="s">
        <v>104</v>
      </c>
      <c r="AO885" s="1" t="s">
        <v>104</v>
      </c>
      <c r="AP885" s="1" t="s">
        <v>104</v>
      </c>
      <c r="AQ885" s="1" t="s">
        <v>104</v>
      </c>
      <c r="AR885" s="1" t="s">
        <v>104</v>
      </c>
      <c r="AS885" s="1" t="s">
        <v>104</v>
      </c>
      <c r="AU885" s="1" t="s">
        <v>104</v>
      </c>
      <c r="AV885" s="1" t="s">
        <v>104</v>
      </c>
      <c r="AX885" s="1" t="str">
        <f>IFERROR(__xludf.DUMMYFUNCTION("""COMPUTED_VALUE"""),"")</f>
        <v/>
      </c>
      <c r="AZ885" s="1" t="str">
        <f>IFERROR(__xludf.DUMMYFUNCTION("""COMPUTED_VALUE"""),"")</f>
        <v/>
      </c>
      <c r="BB885" s="1" t="s">
        <v>104</v>
      </c>
      <c r="BC885" s="1" t="s">
        <v>104</v>
      </c>
      <c r="BE885" s="1" t="s">
        <v>104</v>
      </c>
      <c r="BG885" s="1" t="s">
        <v>104</v>
      </c>
      <c r="BH885" s="1" t="s">
        <v>104</v>
      </c>
      <c r="BI885" s="1" t="s">
        <v>104</v>
      </c>
      <c r="BJ885" s="1" t="s">
        <v>104</v>
      </c>
      <c r="BK885" s="1" t="s">
        <v>104</v>
      </c>
      <c r="BL885" s="1" t="s">
        <v>104</v>
      </c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N886" s="1" t="s">
        <v>104</v>
      </c>
      <c r="AO886" s="1" t="s">
        <v>104</v>
      </c>
      <c r="AP886" s="1" t="s">
        <v>104</v>
      </c>
      <c r="AQ886" s="1" t="s">
        <v>104</v>
      </c>
      <c r="AR886" s="1" t="s">
        <v>104</v>
      </c>
      <c r="AS886" s="1" t="s">
        <v>104</v>
      </c>
      <c r="AU886" s="1" t="s">
        <v>104</v>
      </c>
      <c r="AV886" s="1" t="s">
        <v>104</v>
      </c>
      <c r="AX886" s="1" t="str">
        <f>IFERROR(__xludf.DUMMYFUNCTION("""COMPUTED_VALUE"""),"")</f>
        <v/>
      </c>
      <c r="AZ886" s="1" t="str">
        <f>IFERROR(__xludf.DUMMYFUNCTION("""COMPUTED_VALUE"""),"")</f>
        <v/>
      </c>
      <c r="BB886" s="1" t="s">
        <v>104</v>
      </c>
      <c r="BC886" s="1" t="s">
        <v>104</v>
      </c>
      <c r="BE886" s="1" t="s">
        <v>104</v>
      </c>
      <c r="BG886" s="1" t="s">
        <v>104</v>
      </c>
      <c r="BH886" s="1" t="s">
        <v>104</v>
      </c>
      <c r="BI886" s="1" t="s">
        <v>104</v>
      </c>
      <c r="BJ886" s="1" t="s">
        <v>104</v>
      </c>
      <c r="BK886" s="1" t="s">
        <v>104</v>
      </c>
      <c r="BL886" s="1" t="s">
        <v>104</v>
      </c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N887" s="1" t="s">
        <v>104</v>
      </c>
      <c r="AO887" s="1" t="s">
        <v>104</v>
      </c>
      <c r="AP887" s="1" t="s">
        <v>104</v>
      </c>
      <c r="AQ887" s="1" t="s">
        <v>104</v>
      </c>
      <c r="AR887" s="1" t="s">
        <v>104</v>
      </c>
      <c r="AS887" s="1" t="s">
        <v>104</v>
      </c>
      <c r="AU887" s="1" t="s">
        <v>104</v>
      </c>
      <c r="AV887" s="1" t="s">
        <v>104</v>
      </c>
      <c r="AX887" s="1" t="str">
        <f>IFERROR(__xludf.DUMMYFUNCTION("""COMPUTED_VALUE"""),"")</f>
        <v/>
      </c>
      <c r="AZ887" s="1" t="str">
        <f>IFERROR(__xludf.DUMMYFUNCTION("""COMPUTED_VALUE"""),"")</f>
        <v/>
      </c>
      <c r="BB887" s="1" t="s">
        <v>104</v>
      </c>
      <c r="BC887" s="1" t="s">
        <v>104</v>
      </c>
      <c r="BE887" s="1" t="s">
        <v>104</v>
      </c>
      <c r="BG887" s="1" t="s">
        <v>104</v>
      </c>
      <c r="BH887" s="1" t="s">
        <v>104</v>
      </c>
      <c r="BI887" s="1" t="s">
        <v>104</v>
      </c>
      <c r="BJ887" s="1" t="s">
        <v>104</v>
      </c>
      <c r="BK887" s="1" t="s">
        <v>104</v>
      </c>
      <c r="BL887" s="1" t="s">
        <v>104</v>
      </c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N888" s="1" t="s">
        <v>104</v>
      </c>
      <c r="AO888" s="1" t="s">
        <v>104</v>
      </c>
      <c r="AP888" s="1" t="s">
        <v>104</v>
      </c>
      <c r="AQ888" s="1" t="s">
        <v>104</v>
      </c>
      <c r="AR888" s="1" t="s">
        <v>104</v>
      </c>
      <c r="AS888" s="1" t="s">
        <v>104</v>
      </c>
      <c r="AU888" s="1" t="s">
        <v>104</v>
      </c>
      <c r="AV888" s="1" t="s">
        <v>104</v>
      </c>
      <c r="AX888" s="1" t="str">
        <f>IFERROR(__xludf.DUMMYFUNCTION("""COMPUTED_VALUE"""),"")</f>
        <v/>
      </c>
      <c r="AZ888" s="1" t="str">
        <f>IFERROR(__xludf.DUMMYFUNCTION("""COMPUTED_VALUE"""),"")</f>
        <v/>
      </c>
      <c r="BB888" s="1" t="s">
        <v>104</v>
      </c>
      <c r="BC888" s="1" t="s">
        <v>104</v>
      </c>
      <c r="BE888" s="1" t="s">
        <v>104</v>
      </c>
      <c r="BG888" s="1" t="s">
        <v>104</v>
      </c>
      <c r="BH888" s="1" t="s">
        <v>104</v>
      </c>
      <c r="BI888" s="1" t="s">
        <v>104</v>
      </c>
      <c r="BJ888" s="1" t="s">
        <v>104</v>
      </c>
      <c r="BK888" s="1" t="s">
        <v>104</v>
      </c>
      <c r="BL888" s="1" t="s">
        <v>104</v>
      </c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N889" s="1" t="s">
        <v>104</v>
      </c>
      <c r="AO889" s="1" t="s">
        <v>104</v>
      </c>
      <c r="AP889" s="1" t="s">
        <v>104</v>
      </c>
      <c r="AQ889" s="1" t="s">
        <v>104</v>
      </c>
      <c r="AR889" s="1" t="s">
        <v>104</v>
      </c>
      <c r="AS889" s="1" t="s">
        <v>104</v>
      </c>
      <c r="AU889" s="1" t="s">
        <v>104</v>
      </c>
      <c r="AV889" s="1" t="s">
        <v>104</v>
      </c>
      <c r="AX889" s="1" t="str">
        <f>IFERROR(__xludf.DUMMYFUNCTION("""COMPUTED_VALUE"""),"")</f>
        <v/>
      </c>
      <c r="AZ889" s="1" t="str">
        <f>IFERROR(__xludf.DUMMYFUNCTION("""COMPUTED_VALUE"""),"")</f>
        <v/>
      </c>
      <c r="BB889" s="1" t="s">
        <v>104</v>
      </c>
      <c r="BC889" s="1" t="s">
        <v>104</v>
      </c>
      <c r="BE889" s="1" t="s">
        <v>104</v>
      </c>
      <c r="BG889" s="1" t="s">
        <v>104</v>
      </c>
      <c r="BH889" s="1" t="s">
        <v>104</v>
      </c>
      <c r="BI889" s="1" t="s">
        <v>104</v>
      </c>
      <c r="BJ889" s="1" t="s">
        <v>104</v>
      </c>
      <c r="BK889" s="1" t="s">
        <v>104</v>
      </c>
      <c r="BL889" s="1" t="s">
        <v>104</v>
      </c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N890" s="1" t="s">
        <v>104</v>
      </c>
      <c r="AO890" s="1" t="s">
        <v>104</v>
      </c>
      <c r="AP890" s="1" t="s">
        <v>104</v>
      </c>
      <c r="AQ890" s="1" t="s">
        <v>104</v>
      </c>
      <c r="AR890" s="1" t="s">
        <v>104</v>
      </c>
      <c r="AS890" s="1" t="s">
        <v>104</v>
      </c>
      <c r="AU890" s="1" t="s">
        <v>104</v>
      </c>
      <c r="AV890" s="1" t="s">
        <v>104</v>
      </c>
      <c r="AX890" s="1" t="str">
        <f>IFERROR(__xludf.DUMMYFUNCTION("""COMPUTED_VALUE"""),"")</f>
        <v/>
      </c>
      <c r="AZ890" s="1" t="str">
        <f>IFERROR(__xludf.DUMMYFUNCTION("""COMPUTED_VALUE"""),"")</f>
        <v/>
      </c>
      <c r="BB890" s="1" t="s">
        <v>104</v>
      </c>
      <c r="BC890" s="1" t="s">
        <v>104</v>
      </c>
      <c r="BE890" s="1" t="s">
        <v>104</v>
      </c>
      <c r="BG890" s="1" t="s">
        <v>104</v>
      </c>
      <c r="BH890" s="1" t="s">
        <v>104</v>
      </c>
      <c r="BI890" s="1" t="s">
        <v>104</v>
      </c>
      <c r="BJ890" s="1" t="s">
        <v>104</v>
      </c>
      <c r="BK890" s="1" t="s">
        <v>104</v>
      </c>
      <c r="BL890" s="1" t="s">
        <v>104</v>
      </c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N891" s="1" t="s">
        <v>104</v>
      </c>
      <c r="AO891" s="1" t="s">
        <v>104</v>
      </c>
      <c r="AP891" s="1" t="s">
        <v>104</v>
      </c>
      <c r="AQ891" s="1" t="s">
        <v>104</v>
      </c>
      <c r="AR891" s="1" t="s">
        <v>104</v>
      </c>
      <c r="AS891" s="1" t="s">
        <v>104</v>
      </c>
      <c r="AU891" s="1" t="s">
        <v>104</v>
      </c>
      <c r="AV891" s="1" t="s">
        <v>104</v>
      </c>
      <c r="AX891" s="1" t="str">
        <f>IFERROR(__xludf.DUMMYFUNCTION("""COMPUTED_VALUE"""),"")</f>
        <v/>
      </c>
      <c r="AZ891" s="1" t="str">
        <f>IFERROR(__xludf.DUMMYFUNCTION("""COMPUTED_VALUE"""),"")</f>
        <v/>
      </c>
      <c r="BB891" s="1" t="s">
        <v>104</v>
      </c>
      <c r="BC891" s="1" t="s">
        <v>104</v>
      </c>
      <c r="BE891" s="1" t="s">
        <v>104</v>
      </c>
      <c r="BG891" s="1" t="s">
        <v>104</v>
      </c>
      <c r="BH891" s="1" t="s">
        <v>104</v>
      </c>
      <c r="BI891" s="1" t="s">
        <v>104</v>
      </c>
      <c r="BJ891" s="1" t="s">
        <v>104</v>
      </c>
      <c r="BK891" s="1" t="s">
        <v>104</v>
      </c>
      <c r="BL891" s="1" t="s">
        <v>104</v>
      </c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N892" s="1" t="s">
        <v>104</v>
      </c>
      <c r="AO892" s="1" t="s">
        <v>104</v>
      </c>
      <c r="AP892" s="1" t="s">
        <v>104</v>
      </c>
      <c r="AQ892" s="1" t="s">
        <v>104</v>
      </c>
      <c r="AR892" s="1" t="s">
        <v>104</v>
      </c>
      <c r="AS892" s="1" t="s">
        <v>104</v>
      </c>
      <c r="AU892" s="1" t="s">
        <v>104</v>
      </c>
      <c r="AV892" s="1" t="s">
        <v>104</v>
      </c>
      <c r="AX892" s="1" t="str">
        <f>IFERROR(__xludf.DUMMYFUNCTION("""COMPUTED_VALUE"""),"")</f>
        <v/>
      </c>
      <c r="AZ892" s="1" t="str">
        <f>IFERROR(__xludf.DUMMYFUNCTION("""COMPUTED_VALUE"""),"")</f>
        <v/>
      </c>
      <c r="BB892" s="1" t="s">
        <v>104</v>
      </c>
      <c r="BC892" s="1" t="s">
        <v>104</v>
      </c>
      <c r="BE892" s="1" t="s">
        <v>104</v>
      </c>
      <c r="BG892" s="1" t="s">
        <v>104</v>
      </c>
      <c r="BH892" s="1" t="s">
        <v>104</v>
      </c>
      <c r="BI892" s="1" t="s">
        <v>104</v>
      </c>
      <c r="BJ892" s="1" t="s">
        <v>104</v>
      </c>
      <c r="BK892" s="1" t="s">
        <v>104</v>
      </c>
      <c r="BL892" s="1" t="s">
        <v>104</v>
      </c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N893" s="1" t="s">
        <v>104</v>
      </c>
      <c r="AO893" s="1" t="s">
        <v>104</v>
      </c>
      <c r="AP893" s="1" t="s">
        <v>104</v>
      </c>
      <c r="AQ893" s="1" t="s">
        <v>104</v>
      </c>
      <c r="AR893" s="1" t="s">
        <v>104</v>
      </c>
      <c r="AS893" s="1" t="s">
        <v>104</v>
      </c>
      <c r="AU893" s="1" t="s">
        <v>104</v>
      </c>
      <c r="AV893" s="1" t="s">
        <v>104</v>
      </c>
      <c r="AX893" s="1" t="str">
        <f>IFERROR(__xludf.DUMMYFUNCTION("""COMPUTED_VALUE"""),"")</f>
        <v/>
      </c>
      <c r="AZ893" s="1" t="str">
        <f>IFERROR(__xludf.DUMMYFUNCTION("""COMPUTED_VALUE"""),"")</f>
        <v/>
      </c>
      <c r="BB893" s="1" t="s">
        <v>104</v>
      </c>
      <c r="BC893" s="1" t="s">
        <v>104</v>
      </c>
      <c r="BE893" s="1" t="s">
        <v>104</v>
      </c>
      <c r="BG893" s="1" t="s">
        <v>104</v>
      </c>
      <c r="BH893" s="1" t="s">
        <v>104</v>
      </c>
      <c r="BI893" s="1" t="s">
        <v>104</v>
      </c>
      <c r="BJ893" s="1" t="s">
        <v>104</v>
      </c>
      <c r="BK893" s="1" t="s">
        <v>104</v>
      </c>
      <c r="BL893" s="1" t="s">
        <v>104</v>
      </c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N894" s="1" t="s">
        <v>104</v>
      </c>
      <c r="AO894" s="1" t="s">
        <v>104</v>
      </c>
      <c r="AP894" s="1" t="s">
        <v>104</v>
      </c>
      <c r="AQ894" s="1" t="s">
        <v>104</v>
      </c>
      <c r="AR894" s="1" t="s">
        <v>104</v>
      </c>
      <c r="AS894" s="1" t="s">
        <v>104</v>
      </c>
      <c r="AU894" s="1" t="s">
        <v>104</v>
      </c>
      <c r="AV894" s="1" t="s">
        <v>104</v>
      </c>
      <c r="AX894" s="1" t="str">
        <f>IFERROR(__xludf.DUMMYFUNCTION("""COMPUTED_VALUE"""),"")</f>
        <v/>
      </c>
      <c r="AZ894" s="1" t="str">
        <f>IFERROR(__xludf.DUMMYFUNCTION("""COMPUTED_VALUE"""),"")</f>
        <v/>
      </c>
      <c r="BB894" s="1" t="s">
        <v>104</v>
      </c>
      <c r="BC894" s="1" t="s">
        <v>104</v>
      </c>
      <c r="BE894" s="1" t="s">
        <v>104</v>
      </c>
      <c r="BG894" s="1" t="s">
        <v>104</v>
      </c>
      <c r="BH894" s="1" t="s">
        <v>104</v>
      </c>
      <c r="BI894" s="1" t="s">
        <v>104</v>
      </c>
      <c r="BJ894" s="1" t="s">
        <v>104</v>
      </c>
      <c r="BK894" s="1" t="s">
        <v>104</v>
      </c>
      <c r="BL894" s="1" t="s">
        <v>104</v>
      </c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N895" s="1" t="s">
        <v>104</v>
      </c>
      <c r="AO895" s="1" t="s">
        <v>104</v>
      </c>
      <c r="AP895" s="1" t="s">
        <v>104</v>
      </c>
      <c r="AQ895" s="1" t="s">
        <v>104</v>
      </c>
      <c r="AR895" s="1" t="s">
        <v>104</v>
      </c>
      <c r="AS895" s="1" t="s">
        <v>104</v>
      </c>
      <c r="AU895" s="1" t="s">
        <v>104</v>
      </c>
      <c r="AV895" s="1" t="s">
        <v>104</v>
      </c>
      <c r="AX895" s="1" t="str">
        <f>IFERROR(__xludf.DUMMYFUNCTION("""COMPUTED_VALUE"""),"")</f>
        <v/>
      </c>
      <c r="AZ895" s="1" t="str">
        <f>IFERROR(__xludf.DUMMYFUNCTION("""COMPUTED_VALUE"""),"")</f>
        <v/>
      </c>
      <c r="BB895" s="1" t="s">
        <v>104</v>
      </c>
      <c r="BC895" s="1" t="s">
        <v>104</v>
      </c>
      <c r="BE895" s="1" t="s">
        <v>104</v>
      </c>
      <c r="BG895" s="1" t="s">
        <v>104</v>
      </c>
      <c r="BH895" s="1" t="s">
        <v>104</v>
      </c>
      <c r="BI895" s="1" t="s">
        <v>104</v>
      </c>
      <c r="BJ895" s="1" t="s">
        <v>104</v>
      </c>
      <c r="BK895" s="1" t="s">
        <v>104</v>
      </c>
      <c r="BL895" s="1" t="s">
        <v>104</v>
      </c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N896" s="1" t="s">
        <v>104</v>
      </c>
      <c r="AO896" s="1" t="s">
        <v>104</v>
      </c>
      <c r="AP896" s="1" t="s">
        <v>104</v>
      </c>
      <c r="AQ896" s="1" t="s">
        <v>104</v>
      </c>
      <c r="AR896" s="1" t="s">
        <v>104</v>
      </c>
      <c r="AS896" s="1" t="s">
        <v>104</v>
      </c>
      <c r="AU896" s="1" t="s">
        <v>104</v>
      </c>
      <c r="AV896" s="1" t="s">
        <v>104</v>
      </c>
      <c r="AX896" s="1" t="str">
        <f>IFERROR(__xludf.DUMMYFUNCTION("""COMPUTED_VALUE"""),"")</f>
        <v/>
      </c>
      <c r="AZ896" s="1" t="str">
        <f>IFERROR(__xludf.DUMMYFUNCTION("""COMPUTED_VALUE"""),"")</f>
        <v/>
      </c>
      <c r="BB896" s="1" t="s">
        <v>104</v>
      </c>
      <c r="BC896" s="1" t="s">
        <v>104</v>
      </c>
      <c r="BE896" s="1" t="s">
        <v>104</v>
      </c>
      <c r="BG896" s="1" t="s">
        <v>104</v>
      </c>
      <c r="BH896" s="1" t="s">
        <v>104</v>
      </c>
      <c r="BI896" s="1" t="s">
        <v>104</v>
      </c>
      <c r="BJ896" s="1" t="s">
        <v>104</v>
      </c>
      <c r="BK896" s="1" t="s">
        <v>104</v>
      </c>
      <c r="BL896" s="1" t="s">
        <v>104</v>
      </c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N897" s="1" t="s">
        <v>104</v>
      </c>
      <c r="AO897" s="1" t="s">
        <v>104</v>
      </c>
      <c r="AP897" s="1" t="s">
        <v>104</v>
      </c>
      <c r="AQ897" s="1" t="s">
        <v>104</v>
      </c>
      <c r="AR897" s="1" t="s">
        <v>104</v>
      </c>
      <c r="AS897" s="1" t="s">
        <v>104</v>
      </c>
      <c r="AU897" s="1" t="s">
        <v>104</v>
      </c>
      <c r="AV897" s="1" t="s">
        <v>104</v>
      </c>
      <c r="AX897" s="1" t="str">
        <f>IFERROR(__xludf.DUMMYFUNCTION("""COMPUTED_VALUE"""),"")</f>
        <v/>
      </c>
      <c r="AZ897" s="1" t="str">
        <f>IFERROR(__xludf.DUMMYFUNCTION("""COMPUTED_VALUE"""),"")</f>
        <v/>
      </c>
      <c r="BB897" s="1" t="s">
        <v>104</v>
      </c>
      <c r="BC897" s="1" t="s">
        <v>104</v>
      </c>
      <c r="BE897" s="1" t="s">
        <v>104</v>
      </c>
      <c r="BG897" s="1" t="s">
        <v>104</v>
      </c>
      <c r="BH897" s="1" t="s">
        <v>104</v>
      </c>
      <c r="BI897" s="1" t="s">
        <v>104</v>
      </c>
      <c r="BJ897" s="1" t="s">
        <v>104</v>
      </c>
      <c r="BK897" s="1" t="s">
        <v>104</v>
      </c>
      <c r="BL897" s="1" t="s">
        <v>104</v>
      </c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N898" s="1" t="s">
        <v>104</v>
      </c>
      <c r="AO898" s="1" t="s">
        <v>104</v>
      </c>
      <c r="AP898" s="1" t="s">
        <v>104</v>
      </c>
      <c r="AQ898" s="1" t="s">
        <v>104</v>
      </c>
      <c r="AR898" s="1" t="s">
        <v>104</v>
      </c>
      <c r="AS898" s="1" t="s">
        <v>104</v>
      </c>
      <c r="AU898" s="1" t="s">
        <v>104</v>
      </c>
      <c r="AV898" s="1" t="s">
        <v>104</v>
      </c>
      <c r="AX898" s="1" t="str">
        <f>IFERROR(__xludf.DUMMYFUNCTION("""COMPUTED_VALUE"""),"")</f>
        <v/>
      </c>
      <c r="AZ898" s="1" t="str">
        <f>IFERROR(__xludf.DUMMYFUNCTION("""COMPUTED_VALUE"""),"")</f>
        <v/>
      </c>
      <c r="BB898" s="1" t="s">
        <v>104</v>
      </c>
      <c r="BC898" s="1" t="s">
        <v>104</v>
      </c>
      <c r="BE898" s="1" t="s">
        <v>104</v>
      </c>
      <c r="BG898" s="1" t="s">
        <v>104</v>
      </c>
      <c r="BH898" s="1" t="s">
        <v>104</v>
      </c>
      <c r="BI898" s="1" t="s">
        <v>104</v>
      </c>
      <c r="BJ898" s="1" t="s">
        <v>104</v>
      </c>
      <c r="BK898" s="1" t="s">
        <v>104</v>
      </c>
      <c r="BL898" s="1" t="s">
        <v>104</v>
      </c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N899" s="1" t="s">
        <v>104</v>
      </c>
      <c r="AO899" s="1" t="s">
        <v>104</v>
      </c>
      <c r="AP899" s="1" t="s">
        <v>104</v>
      </c>
      <c r="AQ899" s="1" t="s">
        <v>104</v>
      </c>
      <c r="AR899" s="1" t="s">
        <v>104</v>
      </c>
      <c r="AS899" s="1" t="s">
        <v>104</v>
      </c>
      <c r="AU899" s="1" t="s">
        <v>104</v>
      </c>
      <c r="AV899" s="1" t="s">
        <v>104</v>
      </c>
      <c r="AX899" s="1" t="str">
        <f>IFERROR(__xludf.DUMMYFUNCTION("""COMPUTED_VALUE"""),"")</f>
        <v/>
      </c>
      <c r="AZ899" s="1" t="str">
        <f>IFERROR(__xludf.DUMMYFUNCTION("""COMPUTED_VALUE"""),"")</f>
        <v/>
      </c>
      <c r="BB899" s="1" t="s">
        <v>104</v>
      </c>
      <c r="BC899" s="1" t="s">
        <v>104</v>
      </c>
      <c r="BE899" s="1" t="s">
        <v>104</v>
      </c>
      <c r="BG899" s="1" t="s">
        <v>104</v>
      </c>
      <c r="BH899" s="1" t="s">
        <v>104</v>
      </c>
      <c r="BI899" s="1" t="s">
        <v>104</v>
      </c>
      <c r="BJ899" s="1" t="s">
        <v>104</v>
      </c>
      <c r="BK899" s="1" t="s">
        <v>104</v>
      </c>
      <c r="BL899" s="1" t="s">
        <v>104</v>
      </c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N900" s="1" t="s">
        <v>104</v>
      </c>
      <c r="AO900" s="1" t="s">
        <v>104</v>
      </c>
      <c r="AP900" s="1" t="s">
        <v>104</v>
      </c>
      <c r="AQ900" s="1" t="s">
        <v>104</v>
      </c>
      <c r="AR900" s="1" t="s">
        <v>104</v>
      </c>
      <c r="AS900" s="1" t="s">
        <v>104</v>
      </c>
      <c r="AU900" s="1" t="s">
        <v>104</v>
      </c>
      <c r="AV900" s="1" t="s">
        <v>104</v>
      </c>
      <c r="AX900" s="1" t="str">
        <f>IFERROR(__xludf.DUMMYFUNCTION("""COMPUTED_VALUE"""),"")</f>
        <v/>
      </c>
      <c r="AZ900" s="1" t="str">
        <f>IFERROR(__xludf.DUMMYFUNCTION("""COMPUTED_VALUE"""),"")</f>
        <v/>
      </c>
      <c r="BB900" s="1" t="s">
        <v>104</v>
      </c>
      <c r="BC900" s="1" t="s">
        <v>104</v>
      </c>
      <c r="BE900" s="1" t="s">
        <v>104</v>
      </c>
      <c r="BG900" s="1" t="s">
        <v>104</v>
      </c>
      <c r="BH900" s="1" t="s">
        <v>104</v>
      </c>
      <c r="BI900" s="1" t="s">
        <v>104</v>
      </c>
      <c r="BJ900" s="1" t="s">
        <v>104</v>
      </c>
      <c r="BK900" s="1" t="s">
        <v>104</v>
      </c>
      <c r="BL900" s="1" t="s">
        <v>104</v>
      </c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N901" s="1" t="s">
        <v>104</v>
      </c>
      <c r="AO901" s="1" t="s">
        <v>104</v>
      </c>
      <c r="AP901" s="1" t="s">
        <v>104</v>
      </c>
      <c r="AQ901" s="1" t="s">
        <v>104</v>
      </c>
      <c r="AR901" s="1" t="s">
        <v>104</v>
      </c>
      <c r="AS901" s="1" t="s">
        <v>104</v>
      </c>
      <c r="AU901" s="1" t="s">
        <v>104</v>
      </c>
      <c r="AV901" s="1" t="s">
        <v>104</v>
      </c>
      <c r="AX901" s="1" t="str">
        <f>IFERROR(__xludf.DUMMYFUNCTION("""COMPUTED_VALUE"""),"")</f>
        <v/>
      </c>
      <c r="AZ901" s="1" t="str">
        <f>IFERROR(__xludf.DUMMYFUNCTION("""COMPUTED_VALUE"""),"")</f>
        <v/>
      </c>
      <c r="BB901" s="1" t="s">
        <v>104</v>
      </c>
      <c r="BC901" s="1" t="s">
        <v>104</v>
      </c>
      <c r="BE901" s="1" t="s">
        <v>104</v>
      </c>
      <c r="BG901" s="1" t="s">
        <v>104</v>
      </c>
      <c r="BH901" s="1" t="s">
        <v>104</v>
      </c>
      <c r="BI901" s="1" t="s">
        <v>104</v>
      </c>
      <c r="BJ901" s="1" t="s">
        <v>104</v>
      </c>
      <c r="BK901" s="1" t="s">
        <v>104</v>
      </c>
      <c r="BL901" s="1" t="s">
        <v>104</v>
      </c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N902" s="1" t="s">
        <v>104</v>
      </c>
      <c r="AO902" s="1" t="s">
        <v>104</v>
      </c>
      <c r="AP902" s="1" t="s">
        <v>104</v>
      </c>
      <c r="AQ902" s="1" t="s">
        <v>104</v>
      </c>
      <c r="AR902" s="1" t="s">
        <v>104</v>
      </c>
      <c r="AS902" s="1" t="s">
        <v>104</v>
      </c>
      <c r="AU902" s="1" t="s">
        <v>104</v>
      </c>
      <c r="AV902" s="1" t="s">
        <v>104</v>
      </c>
      <c r="AX902" s="1" t="str">
        <f>IFERROR(__xludf.DUMMYFUNCTION("""COMPUTED_VALUE"""),"")</f>
        <v/>
      </c>
      <c r="AZ902" s="1" t="str">
        <f>IFERROR(__xludf.DUMMYFUNCTION("""COMPUTED_VALUE"""),"")</f>
        <v/>
      </c>
      <c r="BB902" s="1" t="s">
        <v>104</v>
      </c>
      <c r="BC902" s="1" t="s">
        <v>104</v>
      </c>
      <c r="BE902" s="1" t="s">
        <v>104</v>
      </c>
      <c r="BG902" s="1" t="s">
        <v>104</v>
      </c>
      <c r="BH902" s="1" t="s">
        <v>104</v>
      </c>
      <c r="BI902" s="1" t="s">
        <v>104</v>
      </c>
      <c r="BJ902" s="1" t="s">
        <v>104</v>
      </c>
      <c r="BK902" s="1" t="s">
        <v>104</v>
      </c>
      <c r="BL902" s="1" t="s">
        <v>104</v>
      </c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N903" s="1" t="s">
        <v>104</v>
      </c>
      <c r="AO903" s="1" t="s">
        <v>104</v>
      </c>
      <c r="AP903" s="1" t="s">
        <v>104</v>
      </c>
      <c r="AQ903" s="1" t="s">
        <v>104</v>
      </c>
      <c r="AR903" s="1" t="s">
        <v>104</v>
      </c>
      <c r="AS903" s="1" t="s">
        <v>104</v>
      </c>
      <c r="AU903" s="1" t="s">
        <v>104</v>
      </c>
      <c r="AV903" s="1" t="s">
        <v>104</v>
      </c>
      <c r="AX903" s="1" t="str">
        <f>IFERROR(__xludf.DUMMYFUNCTION("""COMPUTED_VALUE"""),"")</f>
        <v/>
      </c>
      <c r="AZ903" s="1" t="str">
        <f>IFERROR(__xludf.DUMMYFUNCTION("""COMPUTED_VALUE"""),"")</f>
        <v/>
      </c>
      <c r="BB903" s="1" t="s">
        <v>104</v>
      </c>
      <c r="BC903" s="1" t="s">
        <v>104</v>
      </c>
      <c r="BE903" s="1" t="s">
        <v>104</v>
      </c>
      <c r="BG903" s="1" t="s">
        <v>104</v>
      </c>
      <c r="BH903" s="1" t="s">
        <v>104</v>
      </c>
      <c r="BI903" s="1" t="s">
        <v>104</v>
      </c>
      <c r="BJ903" s="1" t="s">
        <v>104</v>
      </c>
      <c r="BK903" s="1" t="s">
        <v>104</v>
      </c>
      <c r="BL903" s="1" t="s">
        <v>104</v>
      </c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N904" s="1" t="s">
        <v>104</v>
      </c>
      <c r="AO904" s="1" t="s">
        <v>104</v>
      </c>
      <c r="AP904" s="1" t="s">
        <v>104</v>
      </c>
      <c r="AQ904" s="1" t="s">
        <v>104</v>
      </c>
      <c r="AR904" s="1" t="s">
        <v>104</v>
      </c>
      <c r="AS904" s="1" t="s">
        <v>104</v>
      </c>
      <c r="AU904" s="1" t="s">
        <v>104</v>
      </c>
      <c r="AV904" s="1" t="s">
        <v>104</v>
      </c>
      <c r="AX904" s="1" t="str">
        <f>IFERROR(__xludf.DUMMYFUNCTION("""COMPUTED_VALUE"""),"")</f>
        <v/>
      </c>
      <c r="AZ904" s="1" t="str">
        <f>IFERROR(__xludf.DUMMYFUNCTION("""COMPUTED_VALUE"""),"")</f>
        <v/>
      </c>
      <c r="BB904" s="1" t="s">
        <v>104</v>
      </c>
      <c r="BC904" s="1" t="s">
        <v>104</v>
      </c>
      <c r="BE904" s="1" t="s">
        <v>104</v>
      </c>
      <c r="BG904" s="1" t="s">
        <v>104</v>
      </c>
      <c r="BH904" s="1" t="s">
        <v>104</v>
      </c>
      <c r="BI904" s="1" t="s">
        <v>104</v>
      </c>
      <c r="BJ904" s="1" t="s">
        <v>104</v>
      </c>
      <c r="BK904" s="1" t="s">
        <v>104</v>
      </c>
      <c r="BL904" s="1" t="s">
        <v>104</v>
      </c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N905" s="1" t="s">
        <v>104</v>
      </c>
      <c r="AO905" s="1" t="s">
        <v>104</v>
      </c>
      <c r="AP905" s="1" t="s">
        <v>104</v>
      </c>
      <c r="AQ905" s="1" t="s">
        <v>104</v>
      </c>
      <c r="AR905" s="1" t="s">
        <v>104</v>
      </c>
      <c r="AS905" s="1" t="s">
        <v>104</v>
      </c>
      <c r="AU905" s="1" t="s">
        <v>104</v>
      </c>
      <c r="AV905" s="1" t="s">
        <v>104</v>
      </c>
      <c r="AX905" s="1" t="str">
        <f>IFERROR(__xludf.DUMMYFUNCTION("""COMPUTED_VALUE"""),"")</f>
        <v/>
      </c>
      <c r="AZ905" s="1" t="str">
        <f>IFERROR(__xludf.DUMMYFUNCTION("""COMPUTED_VALUE"""),"")</f>
        <v/>
      </c>
      <c r="BB905" s="1" t="s">
        <v>104</v>
      </c>
      <c r="BC905" s="1" t="s">
        <v>104</v>
      </c>
      <c r="BE905" s="1" t="s">
        <v>104</v>
      </c>
      <c r="BG905" s="1" t="s">
        <v>104</v>
      </c>
      <c r="BH905" s="1" t="s">
        <v>104</v>
      </c>
      <c r="BI905" s="1" t="s">
        <v>104</v>
      </c>
      <c r="BJ905" s="1" t="s">
        <v>104</v>
      </c>
      <c r="BK905" s="1" t="s">
        <v>104</v>
      </c>
      <c r="BL905" s="1" t="s">
        <v>104</v>
      </c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N906" s="1" t="s">
        <v>104</v>
      </c>
      <c r="AO906" s="1" t="s">
        <v>104</v>
      </c>
      <c r="AP906" s="1" t="s">
        <v>104</v>
      </c>
      <c r="AQ906" s="1" t="s">
        <v>104</v>
      </c>
      <c r="AR906" s="1" t="s">
        <v>104</v>
      </c>
      <c r="AS906" s="1" t="s">
        <v>104</v>
      </c>
      <c r="AU906" s="1" t="s">
        <v>104</v>
      </c>
      <c r="AV906" s="1" t="s">
        <v>104</v>
      </c>
      <c r="AX906" s="1" t="str">
        <f>IFERROR(__xludf.DUMMYFUNCTION("""COMPUTED_VALUE"""),"")</f>
        <v/>
      </c>
      <c r="AZ906" s="1" t="str">
        <f>IFERROR(__xludf.DUMMYFUNCTION("""COMPUTED_VALUE"""),"")</f>
        <v/>
      </c>
      <c r="BB906" s="1" t="s">
        <v>104</v>
      </c>
      <c r="BC906" s="1" t="s">
        <v>104</v>
      </c>
      <c r="BE906" s="1" t="s">
        <v>104</v>
      </c>
      <c r="BG906" s="1" t="s">
        <v>104</v>
      </c>
      <c r="BH906" s="1" t="s">
        <v>104</v>
      </c>
      <c r="BI906" s="1" t="s">
        <v>104</v>
      </c>
      <c r="BJ906" s="1" t="s">
        <v>104</v>
      </c>
      <c r="BK906" s="1" t="s">
        <v>104</v>
      </c>
      <c r="BL906" s="1" t="s">
        <v>104</v>
      </c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N907" s="1" t="s">
        <v>104</v>
      </c>
      <c r="AO907" s="1" t="s">
        <v>104</v>
      </c>
      <c r="AP907" s="1" t="s">
        <v>104</v>
      </c>
      <c r="AQ907" s="1" t="s">
        <v>104</v>
      </c>
      <c r="AR907" s="1" t="s">
        <v>104</v>
      </c>
      <c r="AS907" s="1" t="s">
        <v>104</v>
      </c>
      <c r="AU907" s="1" t="s">
        <v>104</v>
      </c>
      <c r="AV907" s="1" t="s">
        <v>104</v>
      </c>
      <c r="AX907" s="1" t="str">
        <f>IFERROR(__xludf.DUMMYFUNCTION("""COMPUTED_VALUE"""),"")</f>
        <v/>
      </c>
      <c r="AZ907" s="1" t="str">
        <f>IFERROR(__xludf.DUMMYFUNCTION("""COMPUTED_VALUE"""),"")</f>
        <v/>
      </c>
      <c r="BB907" s="1" t="s">
        <v>104</v>
      </c>
      <c r="BC907" s="1" t="s">
        <v>104</v>
      </c>
      <c r="BE907" s="1" t="s">
        <v>104</v>
      </c>
      <c r="BG907" s="1" t="s">
        <v>104</v>
      </c>
      <c r="BH907" s="1" t="s">
        <v>104</v>
      </c>
      <c r="BI907" s="1" t="s">
        <v>104</v>
      </c>
      <c r="BJ907" s="1" t="s">
        <v>104</v>
      </c>
      <c r="BK907" s="1" t="s">
        <v>104</v>
      </c>
      <c r="BL907" s="1" t="s">
        <v>104</v>
      </c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N908" s="1" t="s">
        <v>104</v>
      </c>
      <c r="AO908" s="1" t="s">
        <v>104</v>
      </c>
      <c r="AP908" s="1" t="s">
        <v>104</v>
      </c>
      <c r="AQ908" s="1" t="s">
        <v>104</v>
      </c>
      <c r="AR908" s="1" t="s">
        <v>104</v>
      </c>
      <c r="AS908" s="1" t="s">
        <v>104</v>
      </c>
      <c r="AU908" s="1" t="s">
        <v>104</v>
      </c>
      <c r="AV908" s="1" t="s">
        <v>104</v>
      </c>
      <c r="AX908" s="1" t="str">
        <f>IFERROR(__xludf.DUMMYFUNCTION("""COMPUTED_VALUE"""),"")</f>
        <v/>
      </c>
      <c r="AZ908" s="1" t="str">
        <f>IFERROR(__xludf.DUMMYFUNCTION("""COMPUTED_VALUE"""),"")</f>
        <v/>
      </c>
      <c r="BB908" s="1" t="s">
        <v>104</v>
      </c>
      <c r="BC908" s="1" t="s">
        <v>104</v>
      </c>
      <c r="BE908" s="1" t="s">
        <v>104</v>
      </c>
      <c r="BG908" s="1" t="s">
        <v>104</v>
      </c>
      <c r="BH908" s="1" t="s">
        <v>104</v>
      </c>
      <c r="BI908" s="1" t="s">
        <v>104</v>
      </c>
      <c r="BJ908" s="1" t="s">
        <v>104</v>
      </c>
      <c r="BK908" s="1" t="s">
        <v>104</v>
      </c>
      <c r="BL908" s="1" t="s">
        <v>104</v>
      </c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N909" s="1" t="s">
        <v>104</v>
      </c>
      <c r="AO909" s="1" t="s">
        <v>104</v>
      </c>
      <c r="AP909" s="1" t="s">
        <v>104</v>
      </c>
      <c r="AQ909" s="1" t="s">
        <v>104</v>
      </c>
      <c r="AR909" s="1" t="s">
        <v>104</v>
      </c>
      <c r="AS909" s="1" t="s">
        <v>104</v>
      </c>
      <c r="AU909" s="1" t="s">
        <v>104</v>
      </c>
      <c r="AV909" s="1" t="s">
        <v>104</v>
      </c>
      <c r="AX909" s="1" t="str">
        <f>IFERROR(__xludf.DUMMYFUNCTION("""COMPUTED_VALUE"""),"")</f>
        <v/>
      </c>
      <c r="AZ909" s="1" t="str">
        <f>IFERROR(__xludf.DUMMYFUNCTION("""COMPUTED_VALUE"""),"")</f>
        <v/>
      </c>
      <c r="BB909" s="1" t="s">
        <v>104</v>
      </c>
      <c r="BC909" s="1" t="s">
        <v>104</v>
      </c>
      <c r="BE909" s="1" t="s">
        <v>104</v>
      </c>
      <c r="BG909" s="1" t="s">
        <v>104</v>
      </c>
      <c r="BH909" s="1" t="s">
        <v>104</v>
      </c>
      <c r="BI909" s="1" t="s">
        <v>104</v>
      </c>
      <c r="BJ909" s="1" t="s">
        <v>104</v>
      </c>
      <c r="BK909" s="1" t="s">
        <v>104</v>
      </c>
      <c r="BL909" s="1" t="s">
        <v>104</v>
      </c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N910" s="1" t="s">
        <v>104</v>
      </c>
      <c r="AO910" s="1" t="s">
        <v>104</v>
      </c>
      <c r="AP910" s="1" t="s">
        <v>104</v>
      </c>
      <c r="AQ910" s="1" t="s">
        <v>104</v>
      </c>
      <c r="AR910" s="1" t="s">
        <v>104</v>
      </c>
      <c r="AS910" s="1" t="s">
        <v>104</v>
      </c>
      <c r="AU910" s="1" t="s">
        <v>104</v>
      </c>
      <c r="AV910" s="1" t="s">
        <v>104</v>
      </c>
      <c r="AX910" s="1" t="str">
        <f>IFERROR(__xludf.DUMMYFUNCTION("""COMPUTED_VALUE"""),"")</f>
        <v/>
      </c>
      <c r="AZ910" s="1" t="str">
        <f>IFERROR(__xludf.DUMMYFUNCTION("""COMPUTED_VALUE"""),"")</f>
        <v/>
      </c>
      <c r="BB910" s="1" t="s">
        <v>104</v>
      </c>
      <c r="BC910" s="1" t="s">
        <v>104</v>
      </c>
      <c r="BE910" s="1" t="s">
        <v>104</v>
      </c>
      <c r="BG910" s="1" t="s">
        <v>104</v>
      </c>
      <c r="BH910" s="1" t="s">
        <v>104</v>
      </c>
      <c r="BI910" s="1" t="s">
        <v>104</v>
      </c>
      <c r="BJ910" s="1" t="s">
        <v>104</v>
      </c>
      <c r="BK910" s="1" t="s">
        <v>104</v>
      </c>
      <c r="BL910" s="1" t="s">
        <v>104</v>
      </c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N911" s="1" t="s">
        <v>104</v>
      </c>
      <c r="AO911" s="1" t="s">
        <v>104</v>
      </c>
      <c r="AP911" s="1" t="s">
        <v>104</v>
      </c>
      <c r="AQ911" s="1" t="s">
        <v>104</v>
      </c>
      <c r="AR911" s="1" t="s">
        <v>104</v>
      </c>
      <c r="AS911" s="1" t="s">
        <v>104</v>
      </c>
      <c r="AU911" s="1" t="s">
        <v>104</v>
      </c>
      <c r="AV911" s="1" t="s">
        <v>104</v>
      </c>
      <c r="AX911" s="1" t="str">
        <f>IFERROR(__xludf.DUMMYFUNCTION("""COMPUTED_VALUE"""),"")</f>
        <v/>
      </c>
      <c r="AZ911" s="1" t="str">
        <f>IFERROR(__xludf.DUMMYFUNCTION("""COMPUTED_VALUE"""),"")</f>
        <v/>
      </c>
      <c r="BB911" s="1" t="s">
        <v>104</v>
      </c>
      <c r="BC911" s="1" t="s">
        <v>104</v>
      </c>
      <c r="BE911" s="1" t="s">
        <v>104</v>
      </c>
      <c r="BG911" s="1" t="s">
        <v>104</v>
      </c>
      <c r="BH911" s="1" t="s">
        <v>104</v>
      </c>
      <c r="BI911" s="1" t="s">
        <v>104</v>
      </c>
      <c r="BJ911" s="1" t="s">
        <v>104</v>
      </c>
      <c r="BK911" s="1" t="s">
        <v>104</v>
      </c>
      <c r="BL911" s="1" t="s">
        <v>104</v>
      </c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N912" s="1" t="s">
        <v>104</v>
      </c>
      <c r="AO912" s="1" t="s">
        <v>104</v>
      </c>
      <c r="AP912" s="1" t="s">
        <v>104</v>
      </c>
      <c r="AQ912" s="1" t="s">
        <v>104</v>
      </c>
      <c r="AR912" s="1" t="s">
        <v>104</v>
      </c>
      <c r="AS912" s="1" t="s">
        <v>104</v>
      </c>
      <c r="AU912" s="1" t="s">
        <v>104</v>
      </c>
      <c r="AV912" s="1" t="s">
        <v>104</v>
      </c>
      <c r="AX912" s="1" t="str">
        <f>IFERROR(__xludf.DUMMYFUNCTION("""COMPUTED_VALUE"""),"")</f>
        <v/>
      </c>
      <c r="AZ912" s="1" t="str">
        <f>IFERROR(__xludf.DUMMYFUNCTION("""COMPUTED_VALUE"""),"")</f>
        <v/>
      </c>
      <c r="BB912" s="1" t="s">
        <v>104</v>
      </c>
      <c r="BC912" s="1" t="s">
        <v>104</v>
      </c>
      <c r="BE912" s="1" t="s">
        <v>104</v>
      </c>
      <c r="BG912" s="1" t="s">
        <v>104</v>
      </c>
      <c r="BH912" s="1" t="s">
        <v>104</v>
      </c>
      <c r="BI912" s="1" t="s">
        <v>104</v>
      </c>
      <c r="BJ912" s="1" t="s">
        <v>104</v>
      </c>
      <c r="BK912" s="1" t="s">
        <v>104</v>
      </c>
      <c r="BL912" s="1" t="s">
        <v>104</v>
      </c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N913" s="1" t="s">
        <v>104</v>
      </c>
      <c r="AO913" s="1" t="s">
        <v>104</v>
      </c>
      <c r="AP913" s="1" t="s">
        <v>104</v>
      </c>
      <c r="AQ913" s="1" t="s">
        <v>104</v>
      </c>
      <c r="AR913" s="1" t="s">
        <v>104</v>
      </c>
      <c r="AS913" s="1" t="s">
        <v>104</v>
      </c>
      <c r="AU913" s="1" t="s">
        <v>104</v>
      </c>
      <c r="AV913" s="1" t="s">
        <v>104</v>
      </c>
      <c r="AX913" s="1" t="str">
        <f>IFERROR(__xludf.DUMMYFUNCTION("""COMPUTED_VALUE"""),"")</f>
        <v/>
      </c>
      <c r="AZ913" s="1" t="str">
        <f>IFERROR(__xludf.DUMMYFUNCTION("""COMPUTED_VALUE"""),"")</f>
        <v/>
      </c>
      <c r="BB913" s="1" t="s">
        <v>104</v>
      </c>
      <c r="BC913" s="1" t="s">
        <v>104</v>
      </c>
      <c r="BE913" s="1" t="s">
        <v>104</v>
      </c>
      <c r="BG913" s="1" t="s">
        <v>104</v>
      </c>
      <c r="BH913" s="1" t="s">
        <v>104</v>
      </c>
      <c r="BI913" s="1" t="s">
        <v>104</v>
      </c>
      <c r="BJ913" s="1" t="s">
        <v>104</v>
      </c>
      <c r="BK913" s="1" t="s">
        <v>104</v>
      </c>
      <c r="BL913" s="1" t="s">
        <v>104</v>
      </c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N914" s="1" t="s">
        <v>104</v>
      </c>
      <c r="AO914" s="1" t="s">
        <v>104</v>
      </c>
      <c r="AP914" s="1" t="s">
        <v>104</v>
      </c>
      <c r="AQ914" s="1" t="s">
        <v>104</v>
      </c>
      <c r="AR914" s="1" t="s">
        <v>104</v>
      </c>
      <c r="AS914" s="1" t="s">
        <v>104</v>
      </c>
      <c r="AU914" s="1" t="s">
        <v>104</v>
      </c>
      <c r="AV914" s="1" t="s">
        <v>104</v>
      </c>
      <c r="AX914" s="1" t="str">
        <f>IFERROR(__xludf.DUMMYFUNCTION("""COMPUTED_VALUE"""),"")</f>
        <v/>
      </c>
      <c r="AZ914" s="1" t="str">
        <f>IFERROR(__xludf.DUMMYFUNCTION("""COMPUTED_VALUE"""),"")</f>
        <v/>
      </c>
      <c r="BB914" s="1" t="s">
        <v>104</v>
      </c>
      <c r="BC914" s="1" t="s">
        <v>104</v>
      </c>
      <c r="BE914" s="1" t="s">
        <v>104</v>
      </c>
      <c r="BG914" s="1" t="s">
        <v>104</v>
      </c>
      <c r="BH914" s="1" t="s">
        <v>104</v>
      </c>
      <c r="BI914" s="1" t="s">
        <v>104</v>
      </c>
      <c r="BJ914" s="1" t="s">
        <v>104</v>
      </c>
      <c r="BK914" s="1" t="s">
        <v>104</v>
      </c>
      <c r="BL914" s="1" t="s">
        <v>104</v>
      </c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N915" s="1" t="s">
        <v>104</v>
      </c>
      <c r="AO915" s="1" t="s">
        <v>104</v>
      </c>
      <c r="AP915" s="1" t="s">
        <v>104</v>
      </c>
      <c r="AQ915" s="1" t="s">
        <v>104</v>
      </c>
      <c r="AR915" s="1" t="s">
        <v>104</v>
      </c>
      <c r="AS915" s="1" t="s">
        <v>104</v>
      </c>
      <c r="AU915" s="1" t="s">
        <v>104</v>
      </c>
      <c r="AV915" s="1" t="s">
        <v>104</v>
      </c>
      <c r="AX915" s="1" t="str">
        <f>IFERROR(__xludf.DUMMYFUNCTION("""COMPUTED_VALUE"""),"")</f>
        <v/>
      </c>
      <c r="AZ915" s="1" t="str">
        <f>IFERROR(__xludf.DUMMYFUNCTION("""COMPUTED_VALUE"""),"")</f>
        <v/>
      </c>
      <c r="BB915" s="1" t="s">
        <v>104</v>
      </c>
      <c r="BC915" s="1" t="s">
        <v>104</v>
      </c>
      <c r="BE915" s="1" t="s">
        <v>104</v>
      </c>
      <c r="BG915" s="1" t="s">
        <v>104</v>
      </c>
      <c r="BH915" s="1" t="s">
        <v>104</v>
      </c>
      <c r="BI915" s="1" t="s">
        <v>104</v>
      </c>
      <c r="BJ915" s="1" t="s">
        <v>104</v>
      </c>
      <c r="BK915" s="1" t="s">
        <v>104</v>
      </c>
      <c r="BL915" s="1" t="s">
        <v>104</v>
      </c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N916" s="1" t="s">
        <v>104</v>
      </c>
      <c r="AO916" s="1" t="s">
        <v>104</v>
      </c>
      <c r="AP916" s="1" t="s">
        <v>104</v>
      </c>
      <c r="AQ916" s="1" t="s">
        <v>104</v>
      </c>
      <c r="AR916" s="1" t="s">
        <v>104</v>
      </c>
      <c r="AS916" s="1" t="s">
        <v>104</v>
      </c>
      <c r="AU916" s="1" t="s">
        <v>104</v>
      </c>
      <c r="AV916" s="1" t="s">
        <v>104</v>
      </c>
      <c r="AX916" s="1" t="str">
        <f>IFERROR(__xludf.DUMMYFUNCTION("""COMPUTED_VALUE"""),"")</f>
        <v/>
      </c>
      <c r="AZ916" s="1" t="str">
        <f>IFERROR(__xludf.DUMMYFUNCTION("""COMPUTED_VALUE"""),"")</f>
        <v/>
      </c>
      <c r="BB916" s="1" t="s">
        <v>104</v>
      </c>
      <c r="BC916" s="1" t="s">
        <v>104</v>
      </c>
      <c r="BE916" s="1" t="s">
        <v>104</v>
      </c>
      <c r="BG916" s="1" t="s">
        <v>104</v>
      </c>
      <c r="BH916" s="1" t="s">
        <v>104</v>
      </c>
      <c r="BI916" s="1" t="s">
        <v>104</v>
      </c>
      <c r="BJ916" s="1" t="s">
        <v>104</v>
      </c>
      <c r="BK916" s="1" t="s">
        <v>104</v>
      </c>
      <c r="BL916" s="1" t="s">
        <v>104</v>
      </c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N917" s="1" t="s">
        <v>104</v>
      </c>
      <c r="AO917" s="1" t="s">
        <v>104</v>
      </c>
      <c r="AP917" s="1" t="s">
        <v>104</v>
      </c>
      <c r="AQ917" s="1" t="s">
        <v>104</v>
      </c>
      <c r="AR917" s="1" t="s">
        <v>104</v>
      </c>
      <c r="AS917" s="1" t="s">
        <v>104</v>
      </c>
      <c r="AU917" s="1" t="s">
        <v>104</v>
      </c>
      <c r="AV917" s="1" t="s">
        <v>104</v>
      </c>
      <c r="AX917" s="1" t="str">
        <f>IFERROR(__xludf.DUMMYFUNCTION("""COMPUTED_VALUE"""),"")</f>
        <v/>
      </c>
      <c r="AZ917" s="1" t="str">
        <f>IFERROR(__xludf.DUMMYFUNCTION("""COMPUTED_VALUE"""),"")</f>
        <v/>
      </c>
      <c r="BB917" s="1" t="s">
        <v>104</v>
      </c>
      <c r="BC917" s="1" t="s">
        <v>104</v>
      </c>
      <c r="BE917" s="1" t="s">
        <v>104</v>
      </c>
      <c r="BG917" s="1" t="s">
        <v>104</v>
      </c>
      <c r="BH917" s="1" t="s">
        <v>104</v>
      </c>
      <c r="BI917" s="1" t="s">
        <v>104</v>
      </c>
      <c r="BJ917" s="1" t="s">
        <v>104</v>
      </c>
      <c r="BK917" s="1" t="s">
        <v>104</v>
      </c>
      <c r="BL917" s="1" t="s">
        <v>104</v>
      </c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N918" s="1" t="s">
        <v>104</v>
      </c>
      <c r="AO918" s="1" t="s">
        <v>104</v>
      </c>
      <c r="AP918" s="1" t="s">
        <v>104</v>
      </c>
      <c r="AQ918" s="1" t="s">
        <v>104</v>
      </c>
      <c r="AR918" s="1" t="s">
        <v>104</v>
      </c>
      <c r="AS918" s="1" t="s">
        <v>104</v>
      </c>
      <c r="AU918" s="1" t="s">
        <v>104</v>
      </c>
      <c r="AV918" s="1" t="s">
        <v>104</v>
      </c>
      <c r="AX918" s="1" t="str">
        <f>IFERROR(__xludf.DUMMYFUNCTION("""COMPUTED_VALUE"""),"")</f>
        <v/>
      </c>
      <c r="AZ918" s="1" t="str">
        <f>IFERROR(__xludf.DUMMYFUNCTION("""COMPUTED_VALUE"""),"")</f>
        <v/>
      </c>
      <c r="BB918" s="1" t="s">
        <v>104</v>
      </c>
      <c r="BC918" s="1" t="s">
        <v>104</v>
      </c>
      <c r="BE918" s="1" t="s">
        <v>104</v>
      </c>
      <c r="BG918" s="1" t="s">
        <v>104</v>
      </c>
      <c r="BH918" s="1" t="s">
        <v>104</v>
      </c>
      <c r="BI918" s="1" t="s">
        <v>104</v>
      </c>
      <c r="BJ918" s="1" t="s">
        <v>104</v>
      </c>
      <c r="BK918" s="1" t="s">
        <v>104</v>
      </c>
      <c r="BL918" s="1" t="s">
        <v>104</v>
      </c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N919" s="1" t="s">
        <v>104</v>
      </c>
      <c r="AO919" s="1" t="s">
        <v>104</v>
      </c>
      <c r="AP919" s="1" t="s">
        <v>104</v>
      </c>
      <c r="AQ919" s="1" t="s">
        <v>104</v>
      </c>
      <c r="AR919" s="1" t="s">
        <v>104</v>
      </c>
      <c r="AS919" s="1" t="s">
        <v>104</v>
      </c>
      <c r="AU919" s="1" t="s">
        <v>104</v>
      </c>
      <c r="AV919" s="1" t="s">
        <v>104</v>
      </c>
      <c r="AX919" s="1" t="str">
        <f>IFERROR(__xludf.DUMMYFUNCTION("""COMPUTED_VALUE"""),"")</f>
        <v/>
      </c>
      <c r="AZ919" s="1" t="str">
        <f>IFERROR(__xludf.DUMMYFUNCTION("""COMPUTED_VALUE"""),"")</f>
        <v/>
      </c>
      <c r="BB919" s="1" t="s">
        <v>104</v>
      </c>
      <c r="BC919" s="1" t="s">
        <v>104</v>
      </c>
      <c r="BE919" s="1" t="s">
        <v>104</v>
      </c>
      <c r="BG919" s="1" t="s">
        <v>104</v>
      </c>
      <c r="BH919" s="1" t="s">
        <v>104</v>
      </c>
      <c r="BI919" s="1" t="s">
        <v>104</v>
      </c>
      <c r="BJ919" s="1" t="s">
        <v>104</v>
      </c>
      <c r="BK919" s="1" t="s">
        <v>104</v>
      </c>
      <c r="BL919" s="1" t="s">
        <v>104</v>
      </c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N920" s="1" t="s">
        <v>104</v>
      </c>
      <c r="AO920" s="1" t="s">
        <v>104</v>
      </c>
      <c r="AP920" s="1" t="s">
        <v>104</v>
      </c>
      <c r="AQ920" s="1" t="s">
        <v>104</v>
      </c>
      <c r="AR920" s="1" t="s">
        <v>104</v>
      </c>
      <c r="AS920" s="1" t="s">
        <v>104</v>
      </c>
      <c r="AU920" s="1" t="s">
        <v>104</v>
      </c>
      <c r="AV920" s="1" t="s">
        <v>104</v>
      </c>
      <c r="AX920" s="1" t="str">
        <f>IFERROR(__xludf.DUMMYFUNCTION("""COMPUTED_VALUE"""),"")</f>
        <v/>
      </c>
      <c r="AZ920" s="1" t="str">
        <f>IFERROR(__xludf.DUMMYFUNCTION("""COMPUTED_VALUE"""),"")</f>
        <v/>
      </c>
      <c r="BB920" s="1" t="s">
        <v>104</v>
      </c>
      <c r="BC920" s="1" t="s">
        <v>104</v>
      </c>
      <c r="BE920" s="1" t="s">
        <v>104</v>
      </c>
      <c r="BG920" s="1" t="s">
        <v>104</v>
      </c>
      <c r="BH920" s="1" t="s">
        <v>104</v>
      </c>
      <c r="BI920" s="1" t="s">
        <v>104</v>
      </c>
      <c r="BJ920" s="1" t="s">
        <v>104</v>
      </c>
      <c r="BK920" s="1" t="s">
        <v>104</v>
      </c>
      <c r="BL920" s="1" t="s">
        <v>104</v>
      </c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N921" s="1" t="s">
        <v>104</v>
      </c>
      <c r="AO921" s="1" t="s">
        <v>104</v>
      </c>
      <c r="AP921" s="1" t="s">
        <v>104</v>
      </c>
      <c r="AQ921" s="1" t="s">
        <v>104</v>
      </c>
      <c r="AR921" s="1" t="s">
        <v>104</v>
      </c>
      <c r="AS921" s="1" t="s">
        <v>104</v>
      </c>
      <c r="AU921" s="1" t="s">
        <v>104</v>
      </c>
      <c r="AV921" s="1" t="s">
        <v>104</v>
      </c>
      <c r="AX921" s="1" t="str">
        <f>IFERROR(__xludf.DUMMYFUNCTION("""COMPUTED_VALUE"""),"")</f>
        <v/>
      </c>
      <c r="AZ921" s="1" t="str">
        <f>IFERROR(__xludf.DUMMYFUNCTION("""COMPUTED_VALUE"""),"")</f>
        <v/>
      </c>
      <c r="BB921" s="1" t="s">
        <v>104</v>
      </c>
      <c r="BC921" s="1" t="s">
        <v>104</v>
      </c>
      <c r="BE921" s="1" t="s">
        <v>104</v>
      </c>
      <c r="BG921" s="1" t="s">
        <v>104</v>
      </c>
      <c r="BH921" s="1" t="s">
        <v>104</v>
      </c>
      <c r="BI921" s="1" t="s">
        <v>104</v>
      </c>
      <c r="BJ921" s="1" t="s">
        <v>104</v>
      </c>
      <c r="BK921" s="1" t="s">
        <v>104</v>
      </c>
      <c r="BL921" s="1" t="s">
        <v>104</v>
      </c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N922" s="1" t="s">
        <v>104</v>
      </c>
      <c r="AO922" s="1" t="s">
        <v>104</v>
      </c>
      <c r="AP922" s="1" t="s">
        <v>104</v>
      </c>
      <c r="AQ922" s="1" t="s">
        <v>104</v>
      </c>
      <c r="AR922" s="1" t="s">
        <v>104</v>
      </c>
      <c r="AS922" s="1" t="s">
        <v>104</v>
      </c>
      <c r="AU922" s="1" t="s">
        <v>104</v>
      </c>
      <c r="AV922" s="1" t="s">
        <v>104</v>
      </c>
      <c r="AX922" s="1" t="str">
        <f>IFERROR(__xludf.DUMMYFUNCTION("""COMPUTED_VALUE"""),"")</f>
        <v/>
      </c>
      <c r="AZ922" s="1" t="str">
        <f>IFERROR(__xludf.DUMMYFUNCTION("""COMPUTED_VALUE"""),"")</f>
        <v/>
      </c>
      <c r="BB922" s="1" t="s">
        <v>104</v>
      </c>
      <c r="BC922" s="1" t="s">
        <v>104</v>
      </c>
      <c r="BE922" s="1" t="s">
        <v>104</v>
      </c>
      <c r="BG922" s="1" t="s">
        <v>104</v>
      </c>
      <c r="BH922" s="1" t="s">
        <v>104</v>
      </c>
      <c r="BI922" s="1" t="s">
        <v>104</v>
      </c>
      <c r="BJ922" s="1" t="s">
        <v>104</v>
      </c>
      <c r="BK922" s="1" t="s">
        <v>104</v>
      </c>
      <c r="BL922" s="1" t="s">
        <v>104</v>
      </c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N923" s="1" t="s">
        <v>104</v>
      </c>
      <c r="AO923" s="1" t="s">
        <v>104</v>
      </c>
      <c r="AP923" s="1" t="s">
        <v>104</v>
      </c>
      <c r="AQ923" s="1" t="s">
        <v>104</v>
      </c>
      <c r="AR923" s="1" t="s">
        <v>104</v>
      </c>
      <c r="AS923" s="1" t="s">
        <v>104</v>
      </c>
      <c r="AU923" s="1" t="s">
        <v>104</v>
      </c>
      <c r="AV923" s="1" t="s">
        <v>104</v>
      </c>
      <c r="AX923" s="1" t="str">
        <f>IFERROR(__xludf.DUMMYFUNCTION("""COMPUTED_VALUE"""),"")</f>
        <v/>
      </c>
      <c r="AZ923" s="1" t="str">
        <f>IFERROR(__xludf.DUMMYFUNCTION("""COMPUTED_VALUE"""),"")</f>
        <v/>
      </c>
      <c r="BB923" s="1" t="s">
        <v>104</v>
      </c>
      <c r="BC923" s="1" t="s">
        <v>104</v>
      </c>
      <c r="BE923" s="1" t="s">
        <v>104</v>
      </c>
      <c r="BG923" s="1" t="s">
        <v>104</v>
      </c>
      <c r="BH923" s="1" t="s">
        <v>104</v>
      </c>
      <c r="BI923" s="1" t="s">
        <v>104</v>
      </c>
      <c r="BJ923" s="1" t="s">
        <v>104</v>
      </c>
      <c r="BK923" s="1" t="s">
        <v>104</v>
      </c>
      <c r="BL923" s="1" t="s">
        <v>104</v>
      </c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N924" s="1" t="s">
        <v>104</v>
      </c>
      <c r="AO924" s="1" t="s">
        <v>104</v>
      </c>
      <c r="AP924" s="1" t="s">
        <v>104</v>
      </c>
      <c r="AQ924" s="1" t="s">
        <v>104</v>
      </c>
      <c r="AR924" s="1" t="s">
        <v>104</v>
      </c>
      <c r="AS924" s="1" t="s">
        <v>104</v>
      </c>
      <c r="AU924" s="1" t="s">
        <v>104</v>
      </c>
      <c r="AV924" s="1" t="s">
        <v>104</v>
      </c>
      <c r="AX924" s="1" t="str">
        <f>IFERROR(__xludf.DUMMYFUNCTION("""COMPUTED_VALUE"""),"")</f>
        <v/>
      </c>
      <c r="AZ924" s="1" t="str">
        <f>IFERROR(__xludf.DUMMYFUNCTION("""COMPUTED_VALUE"""),"")</f>
        <v/>
      </c>
      <c r="BB924" s="1" t="s">
        <v>104</v>
      </c>
      <c r="BC924" s="1" t="s">
        <v>104</v>
      </c>
      <c r="BE924" s="1" t="s">
        <v>104</v>
      </c>
      <c r="BG924" s="1" t="s">
        <v>104</v>
      </c>
      <c r="BH924" s="1" t="s">
        <v>104</v>
      </c>
      <c r="BI924" s="1" t="s">
        <v>104</v>
      </c>
      <c r="BJ924" s="1" t="s">
        <v>104</v>
      </c>
      <c r="BK924" s="1" t="s">
        <v>104</v>
      </c>
      <c r="BL924" s="1" t="s">
        <v>104</v>
      </c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N925" s="1" t="s">
        <v>104</v>
      </c>
      <c r="AO925" s="1" t="s">
        <v>104</v>
      </c>
      <c r="AP925" s="1" t="s">
        <v>104</v>
      </c>
      <c r="AQ925" s="1" t="s">
        <v>104</v>
      </c>
      <c r="AR925" s="1" t="s">
        <v>104</v>
      </c>
      <c r="AS925" s="1" t="s">
        <v>104</v>
      </c>
      <c r="AU925" s="1" t="s">
        <v>104</v>
      </c>
      <c r="AV925" s="1" t="s">
        <v>104</v>
      </c>
      <c r="AX925" s="1" t="str">
        <f>IFERROR(__xludf.DUMMYFUNCTION("""COMPUTED_VALUE"""),"")</f>
        <v/>
      </c>
      <c r="AZ925" s="1" t="str">
        <f>IFERROR(__xludf.DUMMYFUNCTION("""COMPUTED_VALUE"""),"")</f>
        <v/>
      </c>
      <c r="BB925" s="1" t="s">
        <v>104</v>
      </c>
      <c r="BC925" s="1" t="s">
        <v>104</v>
      </c>
      <c r="BE925" s="1" t="s">
        <v>104</v>
      </c>
      <c r="BG925" s="1" t="s">
        <v>104</v>
      </c>
      <c r="BH925" s="1" t="s">
        <v>104</v>
      </c>
      <c r="BI925" s="1" t="s">
        <v>104</v>
      </c>
      <c r="BJ925" s="1" t="s">
        <v>104</v>
      </c>
      <c r="BK925" s="1" t="s">
        <v>104</v>
      </c>
      <c r="BL925" s="1" t="s">
        <v>104</v>
      </c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N926" s="1" t="s">
        <v>104</v>
      </c>
      <c r="AO926" s="1" t="s">
        <v>104</v>
      </c>
      <c r="AP926" s="1" t="s">
        <v>104</v>
      </c>
      <c r="AQ926" s="1" t="s">
        <v>104</v>
      </c>
      <c r="AR926" s="1" t="s">
        <v>104</v>
      </c>
      <c r="AS926" s="1" t="s">
        <v>104</v>
      </c>
      <c r="AU926" s="1" t="s">
        <v>104</v>
      </c>
      <c r="AV926" s="1" t="s">
        <v>104</v>
      </c>
      <c r="AX926" s="1" t="str">
        <f>IFERROR(__xludf.DUMMYFUNCTION("""COMPUTED_VALUE"""),"")</f>
        <v/>
      </c>
      <c r="AZ926" s="1" t="str">
        <f>IFERROR(__xludf.DUMMYFUNCTION("""COMPUTED_VALUE"""),"")</f>
        <v/>
      </c>
      <c r="BB926" s="1" t="s">
        <v>104</v>
      </c>
      <c r="BC926" s="1" t="s">
        <v>104</v>
      </c>
      <c r="BE926" s="1" t="s">
        <v>104</v>
      </c>
      <c r="BG926" s="1" t="s">
        <v>104</v>
      </c>
      <c r="BH926" s="1" t="s">
        <v>104</v>
      </c>
      <c r="BI926" s="1" t="s">
        <v>104</v>
      </c>
      <c r="BJ926" s="1" t="s">
        <v>104</v>
      </c>
      <c r="BK926" s="1" t="s">
        <v>104</v>
      </c>
      <c r="BL926" s="1" t="s">
        <v>104</v>
      </c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N927" s="1" t="s">
        <v>104</v>
      </c>
      <c r="AO927" s="1" t="s">
        <v>104</v>
      </c>
      <c r="AP927" s="1" t="s">
        <v>104</v>
      </c>
      <c r="AQ927" s="1" t="s">
        <v>104</v>
      </c>
      <c r="AR927" s="1" t="s">
        <v>104</v>
      </c>
      <c r="AS927" s="1" t="s">
        <v>104</v>
      </c>
      <c r="AU927" s="1" t="s">
        <v>104</v>
      </c>
      <c r="AV927" s="1" t="s">
        <v>104</v>
      </c>
      <c r="AX927" s="1" t="str">
        <f>IFERROR(__xludf.DUMMYFUNCTION("""COMPUTED_VALUE"""),"")</f>
        <v/>
      </c>
      <c r="AZ927" s="1" t="str">
        <f>IFERROR(__xludf.DUMMYFUNCTION("""COMPUTED_VALUE"""),"")</f>
        <v/>
      </c>
      <c r="BB927" s="1" t="s">
        <v>104</v>
      </c>
      <c r="BC927" s="1" t="s">
        <v>104</v>
      </c>
      <c r="BE927" s="1" t="s">
        <v>104</v>
      </c>
      <c r="BG927" s="1" t="s">
        <v>104</v>
      </c>
      <c r="BH927" s="1" t="s">
        <v>104</v>
      </c>
      <c r="BI927" s="1" t="s">
        <v>104</v>
      </c>
      <c r="BJ927" s="1" t="s">
        <v>104</v>
      </c>
      <c r="BK927" s="1" t="s">
        <v>104</v>
      </c>
      <c r="BL927" s="1" t="s">
        <v>104</v>
      </c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N928" s="1" t="s">
        <v>104</v>
      </c>
      <c r="AO928" s="1" t="s">
        <v>104</v>
      </c>
      <c r="AP928" s="1" t="s">
        <v>104</v>
      </c>
      <c r="AQ928" s="1" t="s">
        <v>104</v>
      </c>
      <c r="AR928" s="1" t="s">
        <v>104</v>
      </c>
      <c r="AS928" s="1" t="s">
        <v>104</v>
      </c>
      <c r="AU928" s="1" t="s">
        <v>104</v>
      </c>
      <c r="AV928" s="1" t="s">
        <v>104</v>
      </c>
      <c r="AX928" s="1" t="str">
        <f>IFERROR(__xludf.DUMMYFUNCTION("""COMPUTED_VALUE"""),"")</f>
        <v/>
      </c>
      <c r="AZ928" s="1" t="str">
        <f>IFERROR(__xludf.DUMMYFUNCTION("""COMPUTED_VALUE"""),"")</f>
        <v/>
      </c>
      <c r="BB928" s="1" t="s">
        <v>104</v>
      </c>
      <c r="BC928" s="1" t="s">
        <v>104</v>
      </c>
      <c r="BE928" s="1" t="s">
        <v>104</v>
      </c>
      <c r="BG928" s="1" t="s">
        <v>104</v>
      </c>
      <c r="BH928" s="1" t="s">
        <v>104</v>
      </c>
      <c r="BI928" s="1" t="s">
        <v>104</v>
      </c>
      <c r="BJ928" s="1" t="s">
        <v>104</v>
      </c>
      <c r="BK928" s="1" t="s">
        <v>104</v>
      </c>
      <c r="BL928" s="1" t="s">
        <v>104</v>
      </c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N929" s="1" t="s">
        <v>104</v>
      </c>
      <c r="AO929" s="1" t="s">
        <v>104</v>
      </c>
      <c r="AP929" s="1" t="s">
        <v>104</v>
      </c>
      <c r="AQ929" s="1" t="s">
        <v>104</v>
      </c>
      <c r="AR929" s="1" t="s">
        <v>104</v>
      </c>
      <c r="AS929" s="1" t="s">
        <v>104</v>
      </c>
      <c r="AU929" s="1" t="s">
        <v>104</v>
      </c>
      <c r="AV929" s="1" t="s">
        <v>104</v>
      </c>
      <c r="AX929" s="1" t="str">
        <f>IFERROR(__xludf.DUMMYFUNCTION("""COMPUTED_VALUE"""),"")</f>
        <v/>
      </c>
      <c r="AZ929" s="1" t="str">
        <f>IFERROR(__xludf.DUMMYFUNCTION("""COMPUTED_VALUE"""),"")</f>
        <v/>
      </c>
      <c r="BB929" s="1" t="s">
        <v>104</v>
      </c>
      <c r="BC929" s="1" t="s">
        <v>104</v>
      </c>
      <c r="BE929" s="1" t="s">
        <v>104</v>
      </c>
      <c r="BG929" s="1" t="s">
        <v>104</v>
      </c>
      <c r="BH929" s="1" t="s">
        <v>104</v>
      </c>
      <c r="BI929" s="1" t="s">
        <v>104</v>
      </c>
      <c r="BJ929" s="1" t="s">
        <v>104</v>
      </c>
      <c r="BK929" s="1" t="s">
        <v>104</v>
      </c>
      <c r="BL929" s="1" t="s">
        <v>104</v>
      </c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N930" s="1" t="s">
        <v>104</v>
      </c>
      <c r="AO930" s="1" t="s">
        <v>104</v>
      </c>
      <c r="AP930" s="1" t="s">
        <v>104</v>
      </c>
      <c r="AQ930" s="1" t="s">
        <v>104</v>
      </c>
      <c r="AR930" s="1" t="s">
        <v>104</v>
      </c>
      <c r="AS930" s="1" t="s">
        <v>104</v>
      </c>
      <c r="AU930" s="1" t="s">
        <v>104</v>
      </c>
      <c r="AV930" s="1" t="s">
        <v>104</v>
      </c>
      <c r="AX930" s="1" t="str">
        <f>IFERROR(__xludf.DUMMYFUNCTION("""COMPUTED_VALUE"""),"")</f>
        <v/>
      </c>
      <c r="AZ930" s="1" t="str">
        <f>IFERROR(__xludf.DUMMYFUNCTION("""COMPUTED_VALUE"""),"")</f>
        <v/>
      </c>
      <c r="BB930" s="1" t="s">
        <v>104</v>
      </c>
      <c r="BC930" s="1" t="s">
        <v>104</v>
      </c>
      <c r="BE930" s="1" t="s">
        <v>104</v>
      </c>
      <c r="BG930" s="1" t="s">
        <v>104</v>
      </c>
      <c r="BH930" s="1" t="s">
        <v>104</v>
      </c>
      <c r="BI930" s="1" t="s">
        <v>104</v>
      </c>
      <c r="BJ930" s="1" t="s">
        <v>104</v>
      </c>
      <c r="BK930" s="1" t="s">
        <v>104</v>
      </c>
      <c r="BL930" s="1" t="s">
        <v>104</v>
      </c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N931" s="1" t="s">
        <v>104</v>
      </c>
      <c r="AO931" s="1" t="s">
        <v>104</v>
      </c>
      <c r="AP931" s="1" t="s">
        <v>104</v>
      </c>
      <c r="AQ931" s="1" t="s">
        <v>104</v>
      </c>
      <c r="AR931" s="1" t="s">
        <v>104</v>
      </c>
      <c r="AS931" s="1" t="s">
        <v>104</v>
      </c>
      <c r="AU931" s="1" t="s">
        <v>104</v>
      </c>
      <c r="AV931" s="1" t="s">
        <v>104</v>
      </c>
      <c r="AX931" s="1" t="str">
        <f>IFERROR(__xludf.DUMMYFUNCTION("""COMPUTED_VALUE"""),"")</f>
        <v/>
      </c>
      <c r="AZ931" s="1" t="str">
        <f>IFERROR(__xludf.DUMMYFUNCTION("""COMPUTED_VALUE"""),"")</f>
        <v/>
      </c>
      <c r="BB931" s="1" t="s">
        <v>104</v>
      </c>
      <c r="BC931" s="1" t="s">
        <v>104</v>
      </c>
      <c r="BE931" s="1" t="s">
        <v>104</v>
      </c>
      <c r="BG931" s="1" t="s">
        <v>104</v>
      </c>
      <c r="BH931" s="1" t="s">
        <v>104</v>
      </c>
      <c r="BI931" s="1" t="s">
        <v>104</v>
      </c>
      <c r="BJ931" s="1" t="s">
        <v>104</v>
      </c>
      <c r="BK931" s="1" t="s">
        <v>104</v>
      </c>
      <c r="BL931" s="1" t="s">
        <v>104</v>
      </c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N932" s="1" t="s">
        <v>104</v>
      </c>
      <c r="AO932" s="1" t="s">
        <v>104</v>
      </c>
      <c r="AP932" s="1" t="s">
        <v>104</v>
      </c>
      <c r="AQ932" s="1" t="s">
        <v>104</v>
      </c>
      <c r="AR932" s="1" t="s">
        <v>104</v>
      </c>
      <c r="AS932" s="1" t="s">
        <v>104</v>
      </c>
      <c r="AU932" s="1" t="s">
        <v>104</v>
      </c>
      <c r="AV932" s="1" t="s">
        <v>104</v>
      </c>
      <c r="AX932" s="1" t="str">
        <f>IFERROR(__xludf.DUMMYFUNCTION("""COMPUTED_VALUE"""),"")</f>
        <v/>
      </c>
      <c r="AZ932" s="1" t="str">
        <f>IFERROR(__xludf.DUMMYFUNCTION("""COMPUTED_VALUE"""),"")</f>
        <v/>
      </c>
      <c r="BB932" s="1" t="s">
        <v>104</v>
      </c>
      <c r="BC932" s="1" t="s">
        <v>104</v>
      </c>
      <c r="BE932" s="1" t="s">
        <v>104</v>
      </c>
      <c r="BG932" s="1" t="s">
        <v>104</v>
      </c>
      <c r="BH932" s="1" t="s">
        <v>104</v>
      </c>
      <c r="BI932" s="1" t="s">
        <v>104</v>
      </c>
      <c r="BJ932" s="1" t="s">
        <v>104</v>
      </c>
      <c r="BK932" s="1" t="s">
        <v>104</v>
      </c>
      <c r="BL932" s="1" t="s">
        <v>104</v>
      </c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N933" s="1" t="s">
        <v>104</v>
      </c>
      <c r="AO933" s="1" t="s">
        <v>104</v>
      </c>
      <c r="AP933" s="1" t="s">
        <v>104</v>
      </c>
      <c r="AQ933" s="1" t="s">
        <v>104</v>
      </c>
      <c r="AR933" s="1" t="s">
        <v>104</v>
      </c>
      <c r="AS933" s="1" t="s">
        <v>104</v>
      </c>
      <c r="AU933" s="1" t="s">
        <v>104</v>
      </c>
      <c r="AV933" s="1" t="s">
        <v>104</v>
      </c>
      <c r="AX933" s="1" t="str">
        <f>IFERROR(__xludf.DUMMYFUNCTION("""COMPUTED_VALUE"""),"")</f>
        <v/>
      </c>
      <c r="AZ933" s="1" t="str">
        <f>IFERROR(__xludf.DUMMYFUNCTION("""COMPUTED_VALUE"""),"")</f>
        <v/>
      </c>
      <c r="BB933" s="1" t="s">
        <v>104</v>
      </c>
      <c r="BC933" s="1" t="s">
        <v>104</v>
      </c>
      <c r="BE933" s="1" t="s">
        <v>104</v>
      </c>
      <c r="BG933" s="1" t="s">
        <v>104</v>
      </c>
      <c r="BH933" s="1" t="s">
        <v>104</v>
      </c>
      <c r="BI933" s="1" t="s">
        <v>104</v>
      </c>
      <c r="BJ933" s="1" t="s">
        <v>104</v>
      </c>
      <c r="BK933" s="1" t="s">
        <v>104</v>
      </c>
      <c r="BL933" s="1" t="s">
        <v>104</v>
      </c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N934" s="1" t="s">
        <v>104</v>
      </c>
      <c r="AO934" s="1" t="s">
        <v>104</v>
      </c>
      <c r="AP934" s="1" t="s">
        <v>104</v>
      </c>
      <c r="AQ934" s="1" t="s">
        <v>104</v>
      </c>
      <c r="AR934" s="1" t="s">
        <v>104</v>
      </c>
      <c r="AS934" s="1" t="s">
        <v>104</v>
      </c>
      <c r="AU934" s="1" t="s">
        <v>104</v>
      </c>
      <c r="AV934" s="1" t="s">
        <v>104</v>
      </c>
      <c r="AX934" s="1" t="str">
        <f>IFERROR(__xludf.DUMMYFUNCTION("""COMPUTED_VALUE"""),"")</f>
        <v/>
      </c>
      <c r="AZ934" s="1" t="str">
        <f>IFERROR(__xludf.DUMMYFUNCTION("""COMPUTED_VALUE"""),"")</f>
        <v/>
      </c>
      <c r="BB934" s="1" t="s">
        <v>104</v>
      </c>
      <c r="BC934" s="1" t="s">
        <v>104</v>
      </c>
      <c r="BE934" s="1" t="s">
        <v>104</v>
      </c>
      <c r="BG934" s="1" t="s">
        <v>104</v>
      </c>
      <c r="BH934" s="1" t="s">
        <v>104</v>
      </c>
      <c r="BI934" s="1" t="s">
        <v>104</v>
      </c>
      <c r="BJ934" s="1" t="s">
        <v>104</v>
      </c>
      <c r="BK934" s="1" t="s">
        <v>104</v>
      </c>
      <c r="BL934" s="1" t="s">
        <v>104</v>
      </c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N935" s="1" t="s">
        <v>104</v>
      </c>
      <c r="AO935" s="1" t="s">
        <v>104</v>
      </c>
      <c r="AP935" s="1" t="s">
        <v>104</v>
      </c>
      <c r="AQ935" s="1" t="s">
        <v>104</v>
      </c>
      <c r="AR935" s="1" t="s">
        <v>104</v>
      </c>
      <c r="AS935" s="1" t="s">
        <v>104</v>
      </c>
      <c r="AU935" s="1" t="s">
        <v>104</v>
      </c>
      <c r="AV935" s="1" t="s">
        <v>104</v>
      </c>
      <c r="AX935" s="1" t="str">
        <f>IFERROR(__xludf.DUMMYFUNCTION("""COMPUTED_VALUE"""),"")</f>
        <v/>
      </c>
      <c r="AZ935" s="1" t="str">
        <f>IFERROR(__xludf.DUMMYFUNCTION("""COMPUTED_VALUE"""),"")</f>
        <v/>
      </c>
      <c r="BB935" s="1" t="s">
        <v>104</v>
      </c>
      <c r="BC935" s="1" t="s">
        <v>104</v>
      </c>
      <c r="BE935" s="1" t="s">
        <v>104</v>
      </c>
      <c r="BG935" s="1" t="s">
        <v>104</v>
      </c>
      <c r="BH935" s="1" t="s">
        <v>104</v>
      </c>
      <c r="BI935" s="1" t="s">
        <v>104</v>
      </c>
      <c r="BJ935" s="1" t="s">
        <v>104</v>
      </c>
      <c r="BK935" s="1" t="s">
        <v>104</v>
      </c>
      <c r="BL935" s="1" t="s">
        <v>104</v>
      </c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N936" s="1" t="s">
        <v>104</v>
      </c>
      <c r="AO936" s="1" t="s">
        <v>104</v>
      </c>
      <c r="AP936" s="1" t="s">
        <v>104</v>
      </c>
      <c r="AQ936" s="1" t="s">
        <v>104</v>
      </c>
      <c r="AR936" s="1" t="s">
        <v>104</v>
      </c>
      <c r="AS936" s="1" t="s">
        <v>104</v>
      </c>
      <c r="AU936" s="1" t="s">
        <v>104</v>
      </c>
      <c r="AV936" s="1" t="s">
        <v>104</v>
      </c>
      <c r="AX936" s="1" t="str">
        <f>IFERROR(__xludf.DUMMYFUNCTION("""COMPUTED_VALUE"""),"")</f>
        <v/>
      </c>
      <c r="AZ936" s="1" t="str">
        <f>IFERROR(__xludf.DUMMYFUNCTION("""COMPUTED_VALUE"""),"")</f>
        <v/>
      </c>
      <c r="BB936" s="1" t="s">
        <v>104</v>
      </c>
      <c r="BC936" s="1" t="s">
        <v>104</v>
      </c>
      <c r="BE936" s="1" t="s">
        <v>104</v>
      </c>
      <c r="BG936" s="1" t="s">
        <v>104</v>
      </c>
      <c r="BH936" s="1" t="s">
        <v>104</v>
      </c>
      <c r="BI936" s="1" t="s">
        <v>104</v>
      </c>
      <c r="BJ936" s="1" t="s">
        <v>104</v>
      </c>
      <c r="BK936" s="1" t="s">
        <v>104</v>
      </c>
      <c r="BL936" s="1" t="s">
        <v>104</v>
      </c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N937" s="1" t="s">
        <v>104</v>
      </c>
      <c r="AO937" s="1" t="s">
        <v>104</v>
      </c>
      <c r="AP937" s="1" t="s">
        <v>104</v>
      </c>
      <c r="AQ937" s="1" t="s">
        <v>104</v>
      </c>
      <c r="AR937" s="1" t="s">
        <v>104</v>
      </c>
      <c r="AS937" s="1" t="s">
        <v>104</v>
      </c>
      <c r="AU937" s="1" t="s">
        <v>104</v>
      </c>
      <c r="AV937" s="1" t="s">
        <v>104</v>
      </c>
      <c r="AX937" s="1" t="str">
        <f>IFERROR(__xludf.DUMMYFUNCTION("""COMPUTED_VALUE"""),"")</f>
        <v/>
      </c>
      <c r="AZ937" s="1" t="str">
        <f>IFERROR(__xludf.DUMMYFUNCTION("""COMPUTED_VALUE"""),"")</f>
        <v/>
      </c>
      <c r="BB937" s="1" t="s">
        <v>104</v>
      </c>
      <c r="BC937" s="1" t="s">
        <v>104</v>
      </c>
      <c r="BE937" s="1" t="s">
        <v>104</v>
      </c>
      <c r="BG937" s="1" t="s">
        <v>104</v>
      </c>
      <c r="BH937" s="1" t="s">
        <v>104</v>
      </c>
      <c r="BI937" s="1" t="s">
        <v>104</v>
      </c>
      <c r="BJ937" s="1" t="s">
        <v>104</v>
      </c>
      <c r="BK937" s="1" t="s">
        <v>104</v>
      </c>
      <c r="BL937" s="1" t="s">
        <v>104</v>
      </c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N938" s="1" t="s">
        <v>104</v>
      </c>
      <c r="AO938" s="1" t="s">
        <v>104</v>
      </c>
      <c r="AP938" s="1" t="s">
        <v>104</v>
      </c>
      <c r="AQ938" s="1" t="s">
        <v>104</v>
      </c>
      <c r="AR938" s="1" t="s">
        <v>104</v>
      </c>
      <c r="AS938" s="1" t="s">
        <v>104</v>
      </c>
      <c r="AU938" s="1" t="s">
        <v>104</v>
      </c>
      <c r="AV938" s="1" t="s">
        <v>104</v>
      </c>
      <c r="AX938" s="1" t="str">
        <f>IFERROR(__xludf.DUMMYFUNCTION("""COMPUTED_VALUE"""),"")</f>
        <v/>
      </c>
      <c r="AZ938" s="1" t="str">
        <f>IFERROR(__xludf.DUMMYFUNCTION("""COMPUTED_VALUE"""),"")</f>
        <v/>
      </c>
      <c r="BB938" s="1" t="s">
        <v>104</v>
      </c>
      <c r="BC938" s="1" t="s">
        <v>104</v>
      </c>
      <c r="BE938" s="1" t="s">
        <v>104</v>
      </c>
      <c r="BG938" s="1" t="s">
        <v>104</v>
      </c>
      <c r="BH938" s="1" t="s">
        <v>104</v>
      </c>
      <c r="BI938" s="1" t="s">
        <v>104</v>
      </c>
      <c r="BJ938" s="1" t="s">
        <v>104</v>
      </c>
      <c r="BK938" s="1" t="s">
        <v>104</v>
      </c>
      <c r="BL938" s="1" t="s">
        <v>104</v>
      </c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N939" s="1" t="s">
        <v>104</v>
      </c>
      <c r="AO939" s="1" t="s">
        <v>104</v>
      </c>
      <c r="AP939" s="1" t="s">
        <v>104</v>
      </c>
      <c r="AQ939" s="1" t="s">
        <v>104</v>
      </c>
      <c r="AR939" s="1" t="s">
        <v>104</v>
      </c>
      <c r="AS939" s="1" t="s">
        <v>104</v>
      </c>
      <c r="AU939" s="1" t="s">
        <v>104</v>
      </c>
      <c r="AV939" s="1" t="s">
        <v>104</v>
      </c>
      <c r="AX939" s="1" t="str">
        <f>IFERROR(__xludf.DUMMYFUNCTION("""COMPUTED_VALUE"""),"")</f>
        <v/>
      </c>
      <c r="AZ939" s="1" t="str">
        <f>IFERROR(__xludf.DUMMYFUNCTION("""COMPUTED_VALUE"""),"")</f>
        <v/>
      </c>
      <c r="BB939" s="1" t="s">
        <v>104</v>
      </c>
      <c r="BC939" s="1" t="s">
        <v>104</v>
      </c>
      <c r="BE939" s="1" t="s">
        <v>104</v>
      </c>
      <c r="BG939" s="1" t="s">
        <v>104</v>
      </c>
      <c r="BH939" s="1" t="s">
        <v>104</v>
      </c>
      <c r="BI939" s="1" t="s">
        <v>104</v>
      </c>
      <c r="BJ939" s="1" t="s">
        <v>104</v>
      </c>
      <c r="BK939" s="1" t="s">
        <v>104</v>
      </c>
      <c r="BL939" s="1" t="s">
        <v>104</v>
      </c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N940" s="1" t="s">
        <v>104</v>
      </c>
      <c r="AO940" s="1" t="s">
        <v>104</v>
      </c>
      <c r="AP940" s="1" t="s">
        <v>104</v>
      </c>
      <c r="AQ940" s="1" t="s">
        <v>104</v>
      </c>
      <c r="AR940" s="1" t="s">
        <v>104</v>
      </c>
      <c r="AS940" s="1" t="s">
        <v>104</v>
      </c>
      <c r="AU940" s="1" t="s">
        <v>104</v>
      </c>
      <c r="AV940" s="1" t="s">
        <v>104</v>
      </c>
      <c r="AX940" s="1" t="str">
        <f>IFERROR(__xludf.DUMMYFUNCTION("""COMPUTED_VALUE"""),"")</f>
        <v/>
      </c>
      <c r="AZ940" s="1" t="str">
        <f>IFERROR(__xludf.DUMMYFUNCTION("""COMPUTED_VALUE"""),"")</f>
        <v/>
      </c>
      <c r="BB940" s="1" t="s">
        <v>104</v>
      </c>
      <c r="BC940" s="1" t="s">
        <v>104</v>
      </c>
      <c r="BE940" s="1" t="s">
        <v>104</v>
      </c>
      <c r="BG940" s="1" t="s">
        <v>104</v>
      </c>
      <c r="BH940" s="1" t="s">
        <v>104</v>
      </c>
      <c r="BI940" s="1" t="s">
        <v>104</v>
      </c>
      <c r="BJ940" s="1" t="s">
        <v>104</v>
      </c>
      <c r="BK940" s="1" t="s">
        <v>104</v>
      </c>
      <c r="BL940" s="1" t="s">
        <v>104</v>
      </c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N941" s="1" t="s">
        <v>104</v>
      </c>
      <c r="AO941" s="1" t="s">
        <v>104</v>
      </c>
      <c r="AP941" s="1" t="s">
        <v>104</v>
      </c>
      <c r="AQ941" s="1" t="s">
        <v>104</v>
      </c>
      <c r="AR941" s="1" t="s">
        <v>104</v>
      </c>
      <c r="AS941" s="1" t="s">
        <v>104</v>
      </c>
      <c r="AU941" s="1" t="s">
        <v>104</v>
      </c>
      <c r="AV941" s="1" t="s">
        <v>104</v>
      </c>
      <c r="AX941" s="1" t="str">
        <f>IFERROR(__xludf.DUMMYFUNCTION("""COMPUTED_VALUE"""),"")</f>
        <v/>
      </c>
      <c r="AZ941" s="1" t="str">
        <f>IFERROR(__xludf.DUMMYFUNCTION("""COMPUTED_VALUE"""),"")</f>
        <v/>
      </c>
      <c r="BB941" s="1" t="s">
        <v>104</v>
      </c>
      <c r="BC941" s="1" t="s">
        <v>104</v>
      </c>
      <c r="BE941" s="1" t="s">
        <v>104</v>
      </c>
      <c r="BG941" s="1" t="s">
        <v>104</v>
      </c>
      <c r="BH941" s="1" t="s">
        <v>104</v>
      </c>
      <c r="BI941" s="1" t="s">
        <v>104</v>
      </c>
      <c r="BJ941" s="1" t="s">
        <v>104</v>
      </c>
      <c r="BK941" s="1" t="s">
        <v>104</v>
      </c>
      <c r="BL941" s="1" t="s">
        <v>104</v>
      </c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N942" s="1" t="s">
        <v>104</v>
      </c>
      <c r="AO942" s="1" t="s">
        <v>104</v>
      </c>
      <c r="AP942" s="1" t="s">
        <v>104</v>
      </c>
      <c r="AQ942" s="1" t="s">
        <v>104</v>
      </c>
      <c r="AR942" s="1" t="s">
        <v>104</v>
      </c>
      <c r="AS942" s="1" t="s">
        <v>104</v>
      </c>
      <c r="AU942" s="1" t="s">
        <v>104</v>
      </c>
      <c r="AV942" s="1" t="s">
        <v>104</v>
      </c>
      <c r="AX942" s="1" t="str">
        <f>IFERROR(__xludf.DUMMYFUNCTION("""COMPUTED_VALUE"""),"")</f>
        <v/>
      </c>
      <c r="AZ942" s="1" t="str">
        <f>IFERROR(__xludf.DUMMYFUNCTION("""COMPUTED_VALUE"""),"")</f>
        <v/>
      </c>
      <c r="BB942" s="1" t="s">
        <v>104</v>
      </c>
      <c r="BC942" s="1" t="s">
        <v>104</v>
      </c>
      <c r="BE942" s="1" t="s">
        <v>104</v>
      </c>
      <c r="BG942" s="1" t="s">
        <v>104</v>
      </c>
      <c r="BH942" s="1" t="s">
        <v>104</v>
      </c>
      <c r="BI942" s="1" t="s">
        <v>104</v>
      </c>
      <c r="BJ942" s="1" t="s">
        <v>104</v>
      </c>
      <c r="BK942" s="1" t="s">
        <v>104</v>
      </c>
      <c r="BL942" s="1" t="s">
        <v>104</v>
      </c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N943" s="1" t="s">
        <v>104</v>
      </c>
      <c r="AO943" s="1" t="s">
        <v>104</v>
      </c>
      <c r="AP943" s="1" t="s">
        <v>104</v>
      </c>
      <c r="AQ943" s="1" t="s">
        <v>104</v>
      </c>
      <c r="AR943" s="1" t="s">
        <v>104</v>
      </c>
      <c r="AS943" s="1" t="s">
        <v>104</v>
      </c>
      <c r="AU943" s="1" t="s">
        <v>104</v>
      </c>
      <c r="AV943" s="1" t="s">
        <v>104</v>
      </c>
      <c r="AX943" s="1" t="str">
        <f>IFERROR(__xludf.DUMMYFUNCTION("""COMPUTED_VALUE"""),"")</f>
        <v/>
      </c>
      <c r="AZ943" s="1" t="str">
        <f>IFERROR(__xludf.DUMMYFUNCTION("""COMPUTED_VALUE"""),"")</f>
        <v/>
      </c>
      <c r="BB943" s="1" t="s">
        <v>104</v>
      </c>
      <c r="BC943" s="1" t="s">
        <v>104</v>
      </c>
      <c r="BE943" s="1" t="s">
        <v>104</v>
      </c>
      <c r="BG943" s="1" t="s">
        <v>104</v>
      </c>
      <c r="BH943" s="1" t="s">
        <v>104</v>
      </c>
      <c r="BI943" s="1" t="s">
        <v>104</v>
      </c>
      <c r="BJ943" s="1" t="s">
        <v>104</v>
      </c>
      <c r="BK943" s="1" t="s">
        <v>104</v>
      </c>
      <c r="BL943" s="1" t="s">
        <v>104</v>
      </c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N944" s="1" t="s">
        <v>104</v>
      </c>
      <c r="AO944" s="1" t="s">
        <v>104</v>
      </c>
      <c r="AP944" s="1" t="s">
        <v>104</v>
      </c>
      <c r="AQ944" s="1" t="s">
        <v>104</v>
      </c>
      <c r="AR944" s="1" t="s">
        <v>104</v>
      </c>
      <c r="AS944" s="1" t="s">
        <v>104</v>
      </c>
      <c r="AU944" s="1" t="s">
        <v>104</v>
      </c>
      <c r="AV944" s="1" t="s">
        <v>104</v>
      </c>
      <c r="AX944" s="1" t="str">
        <f>IFERROR(__xludf.DUMMYFUNCTION("""COMPUTED_VALUE"""),"")</f>
        <v/>
      </c>
      <c r="AZ944" s="1" t="str">
        <f>IFERROR(__xludf.DUMMYFUNCTION("""COMPUTED_VALUE"""),"")</f>
        <v/>
      </c>
      <c r="BB944" s="1" t="s">
        <v>104</v>
      </c>
      <c r="BC944" s="1" t="s">
        <v>104</v>
      </c>
      <c r="BE944" s="1" t="s">
        <v>104</v>
      </c>
      <c r="BG944" s="1" t="s">
        <v>104</v>
      </c>
      <c r="BH944" s="1" t="s">
        <v>104</v>
      </c>
      <c r="BI944" s="1" t="s">
        <v>104</v>
      </c>
      <c r="BJ944" s="1" t="s">
        <v>104</v>
      </c>
      <c r="BK944" s="1" t="s">
        <v>104</v>
      </c>
      <c r="BL944" s="1" t="s">
        <v>104</v>
      </c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N945" s="1" t="s">
        <v>104</v>
      </c>
      <c r="AO945" s="1" t="s">
        <v>104</v>
      </c>
      <c r="AP945" s="1" t="s">
        <v>104</v>
      </c>
      <c r="AQ945" s="1" t="s">
        <v>104</v>
      </c>
      <c r="AR945" s="1" t="s">
        <v>104</v>
      </c>
      <c r="AS945" s="1" t="s">
        <v>104</v>
      </c>
      <c r="AU945" s="1" t="s">
        <v>104</v>
      </c>
      <c r="AV945" s="1" t="s">
        <v>104</v>
      </c>
      <c r="AX945" s="1" t="str">
        <f>IFERROR(__xludf.DUMMYFUNCTION("""COMPUTED_VALUE"""),"")</f>
        <v/>
      </c>
      <c r="AZ945" s="1" t="str">
        <f>IFERROR(__xludf.DUMMYFUNCTION("""COMPUTED_VALUE"""),"")</f>
        <v/>
      </c>
      <c r="BB945" s="1" t="s">
        <v>104</v>
      </c>
      <c r="BC945" s="1" t="s">
        <v>104</v>
      </c>
      <c r="BE945" s="1" t="s">
        <v>104</v>
      </c>
      <c r="BG945" s="1" t="s">
        <v>104</v>
      </c>
      <c r="BH945" s="1" t="s">
        <v>104</v>
      </c>
      <c r="BI945" s="1" t="s">
        <v>104</v>
      </c>
      <c r="BJ945" s="1" t="s">
        <v>104</v>
      </c>
      <c r="BK945" s="1" t="s">
        <v>104</v>
      </c>
      <c r="BL945" s="1" t="s">
        <v>104</v>
      </c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N946" s="1" t="s">
        <v>104</v>
      </c>
      <c r="AO946" s="1" t="s">
        <v>104</v>
      </c>
      <c r="AP946" s="1" t="s">
        <v>104</v>
      </c>
      <c r="AQ946" s="1" t="s">
        <v>104</v>
      </c>
      <c r="AR946" s="1" t="s">
        <v>104</v>
      </c>
      <c r="AS946" s="1" t="s">
        <v>104</v>
      </c>
      <c r="AU946" s="1" t="s">
        <v>104</v>
      </c>
      <c r="AV946" s="1" t="s">
        <v>104</v>
      </c>
      <c r="AX946" s="1" t="str">
        <f>IFERROR(__xludf.DUMMYFUNCTION("""COMPUTED_VALUE"""),"")</f>
        <v/>
      </c>
      <c r="AZ946" s="1" t="str">
        <f>IFERROR(__xludf.DUMMYFUNCTION("""COMPUTED_VALUE"""),"")</f>
        <v/>
      </c>
      <c r="BB946" s="1" t="s">
        <v>104</v>
      </c>
      <c r="BC946" s="1" t="s">
        <v>104</v>
      </c>
      <c r="BE946" s="1" t="s">
        <v>104</v>
      </c>
      <c r="BG946" s="1" t="s">
        <v>104</v>
      </c>
      <c r="BH946" s="1" t="s">
        <v>104</v>
      </c>
      <c r="BI946" s="1" t="s">
        <v>104</v>
      </c>
      <c r="BJ946" s="1" t="s">
        <v>104</v>
      </c>
      <c r="BK946" s="1" t="s">
        <v>104</v>
      </c>
      <c r="BL946" s="1" t="s">
        <v>104</v>
      </c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N947" s="1" t="s">
        <v>104</v>
      </c>
      <c r="AO947" s="1" t="s">
        <v>104</v>
      </c>
      <c r="AP947" s="1" t="s">
        <v>104</v>
      </c>
      <c r="AQ947" s="1" t="s">
        <v>104</v>
      </c>
      <c r="AR947" s="1" t="s">
        <v>104</v>
      </c>
      <c r="AS947" s="1" t="s">
        <v>104</v>
      </c>
      <c r="AU947" s="1" t="s">
        <v>104</v>
      </c>
      <c r="AV947" s="1" t="s">
        <v>104</v>
      </c>
      <c r="AX947" s="1" t="str">
        <f>IFERROR(__xludf.DUMMYFUNCTION("""COMPUTED_VALUE"""),"")</f>
        <v/>
      </c>
      <c r="AZ947" s="1" t="str">
        <f>IFERROR(__xludf.DUMMYFUNCTION("""COMPUTED_VALUE"""),"")</f>
        <v/>
      </c>
      <c r="BB947" s="1" t="s">
        <v>104</v>
      </c>
      <c r="BC947" s="1" t="s">
        <v>104</v>
      </c>
      <c r="BE947" s="1" t="s">
        <v>104</v>
      </c>
      <c r="BG947" s="1" t="s">
        <v>104</v>
      </c>
      <c r="BH947" s="1" t="s">
        <v>104</v>
      </c>
      <c r="BI947" s="1" t="s">
        <v>104</v>
      </c>
      <c r="BJ947" s="1" t="s">
        <v>104</v>
      </c>
      <c r="BK947" s="1" t="s">
        <v>104</v>
      </c>
      <c r="BL947" s="1" t="s">
        <v>104</v>
      </c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N948" s="1" t="s">
        <v>104</v>
      </c>
      <c r="AO948" s="1" t="s">
        <v>104</v>
      </c>
      <c r="AP948" s="1" t="s">
        <v>104</v>
      </c>
      <c r="AQ948" s="1" t="s">
        <v>104</v>
      </c>
      <c r="AR948" s="1" t="s">
        <v>104</v>
      </c>
      <c r="AS948" s="1" t="s">
        <v>104</v>
      </c>
      <c r="AU948" s="1" t="s">
        <v>104</v>
      </c>
      <c r="AV948" s="1" t="s">
        <v>104</v>
      </c>
      <c r="AX948" s="1" t="str">
        <f>IFERROR(__xludf.DUMMYFUNCTION("""COMPUTED_VALUE"""),"")</f>
        <v/>
      </c>
      <c r="AZ948" s="1" t="str">
        <f>IFERROR(__xludf.DUMMYFUNCTION("""COMPUTED_VALUE"""),"")</f>
        <v/>
      </c>
      <c r="BB948" s="1" t="s">
        <v>104</v>
      </c>
      <c r="BC948" s="1" t="s">
        <v>104</v>
      </c>
      <c r="BE948" s="1" t="s">
        <v>104</v>
      </c>
      <c r="BG948" s="1" t="s">
        <v>104</v>
      </c>
      <c r="BH948" s="1" t="s">
        <v>104</v>
      </c>
      <c r="BI948" s="1" t="s">
        <v>104</v>
      </c>
      <c r="BJ948" s="1" t="s">
        <v>104</v>
      </c>
      <c r="BK948" s="1" t="s">
        <v>104</v>
      </c>
      <c r="BL948" s="1" t="s">
        <v>104</v>
      </c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N949" s="1" t="s">
        <v>104</v>
      </c>
      <c r="AO949" s="1" t="s">
        <v>104</v>
      </c>
      <c r="AP949" s="1" t="s">
        <v>104</v>
      </c>
      <c r="AQ949" s="1" t="s">
        <v>104</v>
      </c>
      <c r="AR949" s="1" t="s">
        <v>104</v>
      </c>
      <c r="AS949" s="1" t="s">
        <v>104</v>
      </c>
      <c r="AU949" s="1" t="s">
        <v>104</v>
      </c>
      <c r="AV949" s="1" t="s">
        <v>104</v>
      </c>
      <c r="AX949" s="1" t="str">
        <f>IFERROR(__xludf.DUMMYFUNCTION("""COMPUTED_VALUE"""),"")</f>
        <v/>
      </c>
      <c r="AZ949" s="1" t="str">
        <f>IFERROR(__xludf.DUMMYFUNCTION("""COMPUTED_VALUE"""),"")</f>
        <v/>
      </c>
      <c r="BB949" s="1" t="s">
        <v>104</v>
      </c>
      <c r="BC949" s="1" t="s">
        <v>104</v>
      </c>
      <c r="BE949" s="1" t="s">
        <v>104</v>
      </c>
      <c r="BG949" s="1" t="s">
        <v>104</v>
      </c>
      <c r="BH949" s="1" t="s">
        <v>104</v>
      </c>
      <c r="BI949" s="1" t="s">
        <v>104</v>
      </c>
      <c r="BJ949" s="1" t="s">
        <v>104</v>
      </c>
      <c r="BK949" s="1" t="s">
        <v>104</v>
      </c>
      <c r="BL949" s="1" t="s">
        <v>104</v>
      </c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N950" s="1" t="s">
        <v>104</v>
      </c>
      <c r="AO950" s="1" t="s">
        <v>104</v>
      </c>
      <c r="AP950" s="1" t="s">
        <v>104</v>
      </c>
      <c r="AQ950" s="1" t="s">
        <v>104</v>
      </c>
      <c r="AR950" s="1" t="s">
        <v>104</v>
      </c>
      <c r="AS950" s="1" t="s">
        <v>104</v>
      </c>
      <c r="AU950" s="1" t="s">
        <v>104</v>
      </c>
      <c r="AV950" s="1" t="s">
        <v>104</v>
      </c>
      <c r="AX950" s="1" t="str">
        <f>IFERROR(__xludf.DUMMYFUNCTION("""COMPUTED_VALUE"""),"")</f>
        <v/>
      </c>
      <c r="AZ950" s="1" t="str">
        <f>IFERROR(__xludf.DUMMYFUNCTION("""COMPUTED_VALUE"""),"")</f>
        <v/>
      </c>
      <c r="BB950" s="1" t="s">
        <v>104</v>
      </c>
      <c r="BC950" s="1" t="s">
        <v>104</v>
      </c>
      <c r="BE950" s="1" t="s">
        <v>104</v>
      </c>
      <c r="BG950" s="1" t="s">
        <v>104</v>
      </c>
      <c r="BH950" s="1" t="s">
        <v>104</v>
      </c>
      <c r="BI950" s="1" t="s">
        <v>104</v>
      </c>
      <c r="BJ950" s="1" t="s">
        <v>104</v>
      </c>
      <c r="BK950" s="1" t="s">
        <v>104</v>
      </c>
      <c r="BL950" s="1" t="s">
        <v>104</v>
      </c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N951" s="1" t="s">
        <v>104</v>
      </c>
      <c r="AO951" s="1" t="s">
        <v>104</v>
      </c>
      <c r="AP951" s="1" t="s">
        <v>104</v>
      </c>
      <c r="AQ951" s="1" t="s">
        <v>104</v>
      </c>
      <c r="AR951" s="1" t="s">
        <v>104</v>
      </c>
      <c r="AS951" s="1" t="s">
        <v>104</v>
      </c>
      <c r="AU951" s="1" t="s">
        <v>104</v>
      </c>
      <c r="AV951" s="1" t="s">
        <v>104</v>
      </c>
      <c r="AX951" s="1" t="str">
        <f>IFERROR(__xludf.DUMMYFUNCTION("""COMPUTED_VALUE"""),"")</f>
        <v/>
      </c>
      <c r="AZ951" s="1" t="str">
        <f>IFERROR(__xludf.DUMMYFUNCTION("""COMPUTED_VALUE"""),"")</f>
        <v/>
      </c>
      <c r="BB951" s="1" t="s">
        <v>104</v>
      </c>
      <c r="BC951" s="1" t="s">
        <v>104</v>
      </c>
      <c r="BE951" s="1" t="s">
        <v>104</v>
      </c>
      <c r="BG951" s="1" t="s">
        <v>104</v>
      </c>
      <c r="BH951" s="1" t="s">
        <v>104</v>
      </c>
      <c r="BI951" s="1" t="s">
        <v>104</v>
      </c>
      <c r="BJ951" s="1" t="s">
        <v>104</v>
      </c>
      <c r="BK951" s="1" t="s">
        <v>104</v>
      </c>
      <c r="BL951" s="1" t="s">
        <v>104</v>
      </c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N952" s="1" t="s">
        <v>104</v>
      </c>
      <c r="AO952" s="1" t="s">
        <v>104</v>
      </c>
      <c r="AP952" s="1" t="s">
        <v>104</v>
      </c>
      <c r="AQ952" s="1" t="s">
        <v>104</v>
      </c>
      <c r="AR952" s="1" t="s">
        <v>104</v>
      </c>
      <c r="AS952" s="1" t="s">
        <v>104</v>
      </c>
      <c r="AU952" s="1" t="s">
        <v>104</v>
      </c>
      <c r="AV952" s="1" t="s">
        <v>104</v>
      </c>
      <c r="AX952" s="1" t="str">
        <f>IFERROR(__xludf.DUMMYFUNCTION("""COMPUTED_VALUE"""),"")</f>
        <v/>
      </c>
      <c r="AZ952" s="1" t="str">
        <f>IFERROR(__xludf.DUMMYFUNCTION("""COMPUTED_VALUE"""),"")</f>
        <v/>
      </c>
      <c r="BB952" s="1" t="s">
        <v>104</v>
      </c>
      <c r="BC952" s="1" t="s">
        <v>104</v>
      </c>
      <c r="BE952" s="1" t="s">
        <v>104</v>
      </c>
      <c r="BG952" s="1" t="s">
        <v>104</v>
      </c>
      <c r="BH952" s="1" t="s">
        <v>104</v>
      </c>
      <c r="BI952" s="1" t="s">
        <v>104</v>
      </c>
      <c r="BJ952" s="1" t="s">
        <v>104</v>
      </c>
      <c r="BK952" s="1" t="s">
        <v>104</v>
      </c>
      <c r="BL952" s="1" t="s">
        <v>104</v>
      </c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N953" s="1" t="s">
        <v>104</v>
      </c>
      <c r="AO953" s="1" t="s">
        <v>104</v>
      </c>
      <c r="AP953" s="1" t="s">
        <v>104</v>
      </c>
      <c r="AQ953" s="1" t="s">
        <v>104</v>
      </c>
      <c r="AR953" s="1" t="s">
        <v>104</v>
      </c>
      <c r="AS953" s="1" t="s">
        <v>104</v>
      </c>
      <c r="AU953" s="1" t="s">
        <v>104</v>
      </c>
      <c r="AV953" s="1" t="s">
        <v>104</v>
      </c>
      <c r="AX953" s="1" t="str">
        <f>IFERROR(__xludf.DUMMYFUNCTION("""COMPUTED_VALUE"""),"")</f>
        <v/>
      </c>
      <c r="AZ953" s="1" t="str">
        <f>IFERROR(__xludf.DUMMYFUNCTION("""COMPUTED_VALUE"""),"")</f>
        <v/>
      </c>
      <c r="BB953" s="1" t="s">
        <v>104</v>
      </c>
      <c r="BC953" s="1" t="s">
        <v>104</v>
      </c>
      <c r="BE953" s="1" t="s">
        <v>104</v>
      </c>
      <c r="BG953" s="1" t="s">
        <v>104</v>
      </c>
      <c r="BH953" s="1" t="s">
        <v>104</v>
      </c>
      <c r="BI953" s="1" t="s">
        <v>104</v>
      </c>
      <c r="BJ953" s="1" t="s">
        <v>104</v>
      </c>
      <c r="BK953" s="1" t="s">
        <v>104</v>
      </c>
      <c r="BL953" s="1" t="s">
        <v>104</v>
      </c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N954" s="1" t="s">
        <v>104</v>
      </c>
      <c r="AO954" s="1" t="s">
        <v>104</v>
      </c>
      <c r="AP954" s="1" t="s">
        <v>104</v>
      </c>
      <c r="AQ954" s="1" t="s">
        <v>104</v>
      </c>
      <c r="AR954" s="1" t="s">
        <v>104</v>
      </c>
      <c r="AS954" s="1" t="s">
        <v>104</v>
      </c>
      <c r="AU954" s="1" t="s">
        <v>104</v>
      </c>
      <c r="AV954" s="1" t="s">
        <v>104</v>
      </c>
      <c r="AX954" s="1" t="str">
        <f>IFERROR(__xludf.DUMMYFUNCTION("""COMPUTED_VALUE"""),"")</f>
        <v/>
      </c>
      <c r="AZ954" s="1" t="str">
        <f>IFERROR(__xludf.DUMMYFUNCTION("""COMPUTED_VALUE"""),"")</f>
        <v/>
      </c>
      <c r="BB954" s="1" t="s">
        <v>104</v>
      </c>
      <c r="BC954" s="1" t="s">
        <v>104</v>
      </c>
      <c r="BE954" s="1" t="s">
        <v>104</v>
      </c>
      <c r="BG954" s="1" t="s">
        <v>104</v>
      </c>
      <c r="BH954" s="1" t="s">
        <v>104</v>
      </c>
      <c r="BI954" s="1" t="s">
        <v>104</v>
      </c>
      <c r="BJ954" s="1" t="s">
        <v>104</v>
      </c>
      <c r="BK954" s="1" t="s">
        <v>104</v>
      </c>
      <c r="BL954" s="1" t="s">
        <v>104</v>
      </c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N955" s="1" t="s">
        <v>104</v>
      </c>
      <c r="AO955" s="1" t="s">
        <v>104</v>
      </c>
      <c r="AP955" s="1" t="s">
        <v>104</v>
      </c>
      <c r="AQ955" s="1" t="s">
        <v>104</v>
      </c>
      <c r="AR955" s="1" t="s">
        <v>104</v>
      </c>
      <c r="AS955" s="1" t="s">
        <v>104</v>
      </c>
      <c r="AU955" s="1" t="s">
        <v>104</v>
      </c>
      <c r="AV955" s="1" t="s">
        <v>104</v>
      </c>
      <c r="AX955" s="1" t="str">
        <f>IFERROR(__xludf.DUMMYFUNCTION("""COMPUTED_VALUE"""),"")</f>
        <v/>
      </c>
      <c r="AZ955" s="1" t="str">
        <f>IFERROR(__xludf.DUMMYFUNCTION("""COMPUTED_VALUE"""),"")</f>
        <v/>
      </c>
      <c r="BB955" s="1" t="s">
        <v>104</v>
      </c>
      <c r="BC955" s="1" t="s">
        <v>104</v>
      </c>
      <c r="BE955" s="1" t="s">
        <v>104</v>
      </c>
      <c r="BG955" s="1" t="s">
        <v>104</v>
      </c>
      <c r="BH955" s="1" t="s">
        <v>104</v>
      </c>
      <c r="BI955" s="1" t="s">
        <v>104</v>
      </c>
      <c r="BJ955" s="1" t="s">
        <v>104</v>
      </c>
      <c r="BK955" s="1" t="s">
        <v>104</v>
      </c>
      <c r="BL955" s="1" t="s">
        <v>104</v>
      </c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N956" s="1" t="s">
        <v>104</v>
      </c>
      <c r="AO956" s="1" t="s">
        <v>104</v>
      </c>
      <c r="AP956" s="1" t="s">
        <v>104</v>
      </c>
      <c r="AQ956" s="1" t="s">
        <v>104</v>
      </c>
      <c r="AR956" s="1" t="s">
        <v>104</v>
      </c>
      <c r="AS956" s="1" t="s">
        <v>104</v>
      </c>
      <c r="AU956" s="1" t="s">
        <v>104</v>
      </c>
      <c r="AV956" s="1" t="s">
        <v>104</v>
      </c>
      <c r="AX956" s="1" t="str">
        <f>IFERROR(__xludf.DUMMYFUNCTION("""COMPUTED_VALUE"""),"")</f>
        <v/>
      </c>
      <c r="AZ956" s="1" t="str">
        <f>IFERROR(__xludf.DUMMYFUNCTION("""COMPUTED_VALUE"""),"")</f>
        <v/>
      </c>
      <c r="BB956" s="1" t="s">
        <v>104</v>
      </c>
      <c r="BC956" s="1" t="s">
        <v>104</v>
      </c>
      <c r="BE956" s="1" t="s">
        <v>104</v>
      </c>
      <c r="BG956" s="1" t="s">
        <v>104</v>
      </c>
      <c r="BH956" s="1" t="s">
        <v>104</v>
      </c>
      <c r="BI956" s="1" t="s">
        <v>104</v>
      </c>
      <c r="BJ956" s="1" t="s">
        <v>104</v>
      </c>
      <c r="BK956" s="1" t="s">
        <v>104</v>
      </c>
      <c r="BL956" s="1" t="s">
        <v>104</v>
      </c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N957" s="1" t="s">
        <v>104</v>
      </c>
      <c r="AO957" s="1" t="s">
        <v>104</v>
      </c>
      <c r="AP957" s="1" t="s">
        <v>104</v>
      </c>
      <c r="AQ957" s="1" t="s">
        <v>104</v>
      </c>
      <c r="AR957" s="1" t="s">
        <v>104</v>
      </c>
      <c r="AS957" s="1" t="s">
        <v>104</v>
      </c>
      <c r="AU957" s="1" t="s">
        <v>104</v>
      </c>
      <c r="AV957" s="1" t="s">
        <v>104</v>
      </c>
      <c r="AX957" s="1" t="str">
        <f>IFERROR(__xludf.DUMMYFUNCTION("""COMPUTED_VALUE"""),"")</f>
        <v/>
      </c>
      <c r="AZ957" s="1" t="str">
        <f>IFERROR(__xludf.DUMMYFUNCTION("""COMPUTED_VALUE"""),"")</f>
        <v/>
      </c>
      <c r="BB957" s="1" t="s">
        <v>104</v>
      </c>
      <c r="BC957" s="1" t="s">
        <v>104</v>
      </c>
      <c r="BE957" s="1" t="s">
        <v>104</v>
      </c>
      <c r="BG957" s="1" t="s">
        <v>104</v>
      </c>
      <c r="BH957" s="1" t="s">
        <v>104</v>
      </c>
      <c r="BI957" s="1" t="s">
        <v>104</v>
      </c>
      <c r="BJ957" s="1" t="s">
        <v>104</v>
      </c>
      <c r="BK957" s="1" t="s">
        <v>104</v>
      </c>
      <c r="BL957" s="1" t="s">
        <v>104</v>
      </c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N958" s="1" t="s">
        <v>104</v>
      </c>
      <c r="AO958" s="1" t="s">
        <v>104</v>
      </c>
      <c r="AP958" s="1" t="s">
        <v>104</v>
      </c>
      <c r="AQ958" s="1" t="s">
        <v>104</v>
      </c>
      <c r="AR958" s="1" t="s">
        <v>104</v>
      </c>
      <c r="AS958" s="1" t="s">
        <v>104</v>
      </c>
      <c r="AU958" s="1" t="s">
        <v>104</v>
      </c>
      <c r="AV958" s="1" t="s">
        <v>104</v>
      </c>
      <c r="AX958" s="1" t="str">
        <f>IFERROR(__xludf.DUMMYFUNCTION("""COMPUTED_VALUE"""),"")</f>
        <v/>
      </c>
      <c r="AZ958" s="1" t="str">
        <f>IFERROR(__xludf.DUMMYFUNCTION("""COMPUTED_VALUE"""),"")</f>
        <v/>
      </c>
      <c r="BB958" s="1" t="s">
        <v>104</v>
      </c>
      <c r="BC958" s="1" t="s">
        <v>104</v>
      </c>
      <c r="BE958" s="1" t="s">
        <v>104</v>
      </c>
      <c r="BG958" s="1" t="s">
        <v>104</v>
      </c>
      <c r="BH958" s="1" t="s">
        <v>104</v>
      </c>
      <c r="BI958" s="1" t="s">
        <v>104</v>
      </c>
      <c r="BJ958" s="1" t="s">
        <v>104</v>
      </c>
      <c r="BK958" s="1" t="s">
        <v>104</v>
      </c>
      <c r="BL958" s="1" t="s">
        <v>104</v>
      </c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N959" s="1" t="s">
        <v>104</v>
      </c>
      <c r="AO959" s="1" t="s">
        <v>104</v>
      </c>
      <c r="AP959" s="1" t="s">
        <v>104</v>
      </c>
      <c r="AQ959" s="1" t="s">
        <v>104</v>
      </c>
      <c r="AR959" s="1" t="s">
        <v>104</v>
      </c>
      <c r="AS959" s="1" t="s">
        <v>104</v>
      </c>
      <c r="AU959" s="1" t="s">
        <v>104</v>
      </c>
      <c r="AV959" s="1" t="s">
        <v>104</v>
      </c>
      <c r="AX959" s="1" t="str">
        <f>IFERROR(__xludf.DUMMYFUNCTION("""COMPUTED_VALUE"""),"")</f>
        <v/>
      </c>
      <c r="AZ959" s="1" t="str">
        <f>IFERROR(__xludf.DUMMYFUNCTION("""COMPUTED_VALUE"""),"")</f>
        <v/>
      </c>
      <c r="BB959" s="1" t="s">
        <v>104</v>
      </c>
      <c r="BC959" s="1" t="s">
        <v>104</v>
      </c>
      <c r="BE959" s="1" t="s">
        <v>104</v>
      </c>
      <c r="BG959" s="1" t="s">
        <v>104</v>
      </c>
      <c r="BH959" s="1" t="s">
        <v>104</v>
      </c>
      <c r="BI959" s="1" t="s">
        <v>104</v>
      </c>
      <c r="BJ959" s="1" t="s">
        <v>104</v>
      </c>
      <c r="BK959" s="1" t="s">
        <v>104</v>
      </c>
      <c r="BL959" s="1" t="s">
        <v>104</v>
      </c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N960" s="1" t="s">
        <v>104</v>
      </c>
      <c r="AO960" s="1" t="s">
        <v>104</v>
      </c>
      <c r="AP960" s="1" t="s">
        <v>104</v>
      </c>
      <c r="AQ960" s="1" t="s">
        <v>104</v>
      </c>
      <c r="AR960" s="1" t="s">
        <v>104</v>
      </c>
      <c r="AS960" s="1" t="s">
        <v>104</v>
      </c>
      <c r="AU960" s="1" t="s">
        <v>104</v>
      </c>
      <c r="AV960" s="1" t="s">
        <v>104</v>
      </c>
      <c r="AX960" s="1" t="str">
        <f>IFERROR(__xludf.DUMMYFUNCTION("""COMPUTED_VALUE"""),"")</f>
        <v/>
      </c>
      <c r="AZ960" s="1" t="str">
        <f>IFERROR(__xludf.DUMMYFUNCTION("""COMPUTED_VALUE"""),"")</f>
        <v/>
      </c>
      <c r="BB960" s="1" t="s">
        <v>104</v>
      </c>
      <c r="BC960" s="1" t="s">
        <v>104</v>
      </c>
      <c r="BE960" s="1" t="s">
        <v>104</v>
      </c>
      <c r="BG960" s="1" t="s">
        <v>104</v>
      </c>
      <c r="BH960" s="1" t="s">
        <v>104</v>
      </c>
      <c r="BI960" s="1" t="s">
        <v>104</v>
      </c>
      <c r="BJ960" s="1" t="s">
        <v>104</v>
      </c>
      <c r="BK960" s="1" t="s">
        <v>104</v>
      </c>
      <c r="BL960" s="1" t="s">
        <v>104</v>
      </c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N961" s="1" t="s">
        <v>104</v>
      </c>
      <c r="AO961" s="1" t="s">
        <v>104</v>
      </c>
      <c r="AP961" s="1" t="s">
        <v>104</v>
      </c>
      <c r="AQ961" s="1" t="s">
        <v>104</v>
      </c>
      <c r="AR961" s="1" t="s">
        <v>104</v>
      </c>
      <c r="AS961" s="1" t="s">
        <v>104</v>
      </c>
      <c r="AU961" s="1" t="s">
        <v>104</v>
      </c>
      <c r="AV961" s="1" t="s">
        <v>104</v>
      </c>
      <c r="AX961" s="1" t="str">
        <f>IFERROR(__xludf.DUMMYFUNCTION("""COMPUTED_VALUE"""),"")</f>
        <v/>
      </c>
      <c r="AZ961" s="1" t="str">
        <f>IFERROR(__xludf.DUMMYFUNCTION("""COMPUTED_VALUE"""),"")</f>
        <v/>
      </c>
      <c r="BB961" s="1" t="s">
        <v>104</v>
      </c>
      <c r="BC961" s="1" t="s">
        <v>104</v>
      </c>
      <c r="BE961" s="1" t="s">
        <v>104</v>
      </c>
      <c r="BG961" s="1" t="s">
        <v>104</v>
      </c>
      <c r="BH961" s="1" t="s">
        <v>104</v>
      </c>
      <c r="BI961" s="1" t="s">
        <v>104</v>
      </c>
      <c r="BJ961" s="1" t="s">
        <v>104</v>
      </c>
      <c r="BK961" s="1" t="s">
        <v>104</v>
      </c>
      <c r="BL961" s="1" t="s">
        <v>104</v>
      </c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N962" s="1" t="s">
        <v>104</v>
      </c>
      <c r="AO962" s="1" t="s">
        <v>104</v>
      </c>
      <c r="AP962" s="1" t="s">
        <v>104</v>
      </c>
      <c r="AQ962" s="1" t="s">
        <v>104</v>
      </c>
      <c r="AR962" s="1" t="s">
        <v>104</v>
      </c>
      <c r="AS962" s="1" t="s">
        <v>104</v>
      </c>
      <c r="AU962" s="1" t="s">
        <v>104</v>
      </c>
      <c r="AV962" s="1" t="s">
        <v>104</v>
      </c>
      <c r="AX962" s="1" t="str">
        <f>IFERROR(__xludf.DUMMYFUNCTION("""COMPUTED_VALUE"""),"")</f>
        <v/>
      </c>
      <c r="AZ962" s="1" t="str">
        <f>IFERROR(__xludf.DUMMYFUNCTION("""COMPUTED_VALUE"""),"")</f>
        <v/>
      </c>
      <c r="BB962" s="1" t="s">
        <v>104</v>
      </c>
      <c r="BC962" s="1" t="s">
        <v>104</v>
      </c>
      <c r="BE962" s="1" t="s">
        <v>104</v>
      </c>
      <c r="BG962" s="1" t="s">
        <v>104</v>
      </c>
      <c r="BH962" s="1" t="s">
        <v>104</v>
      </c>
      <c r="BI962" s="1" t="s">
        <v>104</v>
      </c>
      <c r="BJ962" s="1" t="s">
        <v>104</v>
      </c>
      <c r="BK962" s="1" t="s">
        <v>104</v>
      </c>
      <c r="BL962" s="1" t="s">
        <v>104</v>
      </c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N963" s="1" t="s">
        <v>104</v>
      </c>
      <c r="AO963" s="1" t="s">
        <v>104</v>
      </c>
      <c r="AP963" s="1" t="s">
        <v>104</v>
      </c>
      <c r="AQ963" s="1" t="s">
        <v>104</v>
      </c>
      <c r="AR963" s="1" t="s">
        <v>104</v>
      </c>
      <c r="AS963" s="1" t="s">
        <v>104</v>
      </c>
      <c r="AU963" s="1" t="s">
        <v>104</v>
      </c>
      <c r="AV963" s="1" t="s">
        <v>104</v>
      </c>
      <c r="AX963" s="1" t="str">
        <f>IFERROR(__xludf.DUMMYFUNCTION("""COMPUTED_VALUE"""),"")</f>
        <v/>
      </c>
      <c r="AZ963" s="1" t="str">
        <f>IFERROR(__xludf.DUMMYFUNCTION("""COMPUTED_VALUE"""),"")</f>
        <v/>
      </c>
      <c r="BB963" s="1" t="s">
        <v>104</v>
      </c>
      <c r="BC963" s="1" t="s">
        <v>104</v>
      </c>
      <c r="BE963" s="1" t="s">
        <v>104</v>
      </c>
      <c r="BG963" s="1" t="s">
        <v>104</v>
      </c>
      <c r="BH963" s="1" t="s">
        <v>104</v>
      </c>
      <c r="BI963" s="1" t="s">
        <v>104</v>
      </c>
      <c r="BJ963" s="1" t="s">
        <v>104</v>
      </c>
      <c r="BK963" s="1" t="s">
        <v>104</v>
      </c>
      <c r="BL963" s="1" t="s">
        <v>104</v>
      </c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N964" s="1" t="s">
        <v>104</v>
      </c>
      <c r="AO964" s="1" t="s">
        <v>104</v>
      </c>
      <c r="AP964" s="1" t="s">
        <v>104</v>
      </c>
      <c r="AQ964" s="1" t="s">
        <v>104</v>
      </c>
      <c r="AR964" s="1" t="s">
        <v>104</v>
      </c>
      <c r="AS964" s="1" t="s">
        <v>104</v>
      </c>
      <c r="AU964" s="1" t="s">
        <v>104</v>
      </c>
      <c r="AV964" s="1" t="s">
        <v>104</v>
      </c>
      <c r="AX964" s="1" t="str">
        <f>IFERROR(__xludf.DUMMYFUNCTION("""COMPUTED_VALUE"""),"")</f>
        <v/>
      </c>
      <c r="AZ964" s="1" t="str">
        <f>IFERROR(__xludf.DUMMYFUNCTION("""COMPUTED_VALUE"""),"")</f>
        <v/>
      </c>
      <c r="BB964" s="1" t="s">
        <v>104</v>
      </c>
      <c r="BC964" s="1" t="s">
        <v>104</v>
      </c>
      <c r="BE964" s="1" t="s">
        <v>104</v>
      </c>
      <c r="BG964" s="1" t="s">
        <v>104</v>
      </c>
      <c r="BH964" s="1" t="s">
        <v>104</v>
      </c>
      <c r="BI964" s="1" t="s">
        <v>104</v>
      </c>
      <c r="BJ964" s="1" t="s">
        <v>104</v>
      </c>
      <c r="BK964" s="1" t="s">
        <v>104</v>
      </c>
      <c r="BL964" s="1" t="s">
        <v>104</v>
      </c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N965" s="1" t="s">
        <v>104</v>
      </c>
      <c r="AO965" s="1" t="s">
        <v>104</v>
      </c>
      <c r="AP965" s="1" t="s">
        <v>104</v>
      </c>
      <c r="AQ965" s="1" t="s">
        <v>104</v>
      </c>
      <c r="AR965" s="1" t="s">
        <v>104</v>
      </c>
      <c r="AS965" s="1" t="s">
        <v>104</v>
      </c>
      <c r="AU965" s="1" t="s">
        <v>104</v>
      </c>
      <c r="AV965" s="1" t="s">
        <v>104</v>
      </c>
      <c r="AX965" s="1" t="str">
        <f>IFERROR(__xludf.DUMMYFUNCTION("""COMPUTED_VALUE"""),"")</f>
        <v/>
      </c>
      <c r="AZ965" s="1" t="str">
        <f>IFERROR(__xludf.DUMMYFUNCTION("""COMPUTED_VALUE"""),"")</f>
        <v/>
      </c>
      <c r="BB965" s="1" t="s">
        <v>104</v>
      </c>
      <c r="BC965" s="1" t="s">
        <v>104</v>
      </c>
      <c r="BE965" s="1" t="s">
        <v>104</v>
      </c>
      <c r="BG965" s="1" t="s">
        <v>104</v>
      </c>
      <c r="BH965" s="1" t="s">
        <v>104</v>
      </c>
      <c r="BI965" s="1" t="s">
        <v>104</v>
      </c>
      <c r="BJ965" s="1" t="s">
        <v>104</v>
      </c>
      <c r="BK965" s="1" t="s">
        <v>104</v>
      </c>
      <c r="BL965" s="1" t="s">
        <v>104</v>
      </c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N966" s="1" t="s">
        <v>104</v>
      </c>
      <c r="AO966" s="1" t="s">
        <v>104</v>
      </c>
      <c r="AP966" s="1" t="s">
        <v>104</v>
      </c>
      <c r="AQ966" s="1" t="s">
        <v>104</v>
      </c>
      <c r="AR966" s="1" t="s">
        <v>104</v>
      </c>
      <c r="AS966" s="1" t="s">
        <v>104</v>
      </c>
      <c r="AU966" s="1" t="s">
        <v>104</v>
      </c>
      <c r="AV966" s="1" t="s">
        <v>104</v>
      </c>
      <c r="AX966" s="1" t="str">
        <f>IFERROR(__xludf.DUMMYFUNCTION("""COMPUTED_VALUE"""),"")</f>
        <v/>
      </c>
      <c r="AZ966" s="1" t="str">
        <f>IFERROR(__xludf.DUMMYFUNCTION("""COMPUTED_VALUE"""),"")</f>
        <v/>
      </c>
      <c r="BB966" s="1" t="s">
        <v>104</v>
      </c>
      <c r="BC966" s="1" t="s">
        <v>104</v>
      </c>
      <c r="BE966" s="1" t="s">
        <v>104</v>
      </c>
      <c r="BG966" s="1" t="s">
        <v>104</v>
      </c>
      <c r="BH966" s="1" t="s">
        <v>104</v>
      </c>
      <c r="BI966" s="1" t="s">
        <v>104</v>
      </c>
      <c r="BJ966" s="1" t="s">
        <v>104</v>
      </c>
      <c r="BK966" s="1" t="s">
        <v>104</v>
      </c>
      <c r="BL966" s="1" t="s">
        <v>104</v>
      </c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N967" s="1" t="s">
        <v>104</v>
      </c>
      <c r="AO967" s="1" t="s">
        <v>104</v>
      </c>
      <c r="AP967" s="1" t="s">
        <v>104</v>
      </c>
      <c r="AQ967" s="1" t="s">
        <v>104</v>
      </c>
      <c r="AR967" s="1" t="s">
        <v>104</v>
      </c>
      <c r="AS967" s="1" t="s">
        <v>104</v>
      </c>
      <c r="AU967" s="1" t="s">
        <v>104</v>
      </c>
      <c r="AV967" s="1" t="s">
        <v>104</v>
      </c>
      <c r="AX967" s="1" t="str">
        <f>IFERROR(__xludf.DUMMYFUNCTION("""COMPUTED_VALUE"""),"")</f>
        <v/>
      </c>
      <c r="AZ967" s="1" t="str">
        <f>IFERROR(__xludf.DUMMYFUNCTION("""COMPUTED_VALUE"""),"")</f>
        <v/>
      </c>
      <c r="BB967" s="1" t="s">
        <v>104</v>
      </c>
      <c r="BC967" s="1" t="s">
        <v>104</v>
      </c>
      <c r="BE967" s="1" t="s">
        <v>104</v>
      </c>
      <c r="BG967" s="1" t="s">
        <v>104</v>
      </c>
      <c r="BH967" s="1" t="s">
        <v>104</v>
      </c>
      <c r="BI967" s="1" t="s">
        <v>104</v>
      </c>
      <c r="BJ967" s="1" t="s">
        <v>104</v>
      </c>
      <c r="BK967" s="1" t="s">
        <v>104</v>
      </c>
      <c r="BL967" s="1" t="s">
        <v>104</v>
      </c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N968" s="1" t="s">
        <v>104</v>
      </c>
      <c r="AO968" s="1" t="s">
        <v>104</v>
      </c>
      <c r="AP968" s="1" t="s">
        <v>104</v>
      </c>
      <c r="AQ968" s="1" t="s">
        <v>104</v>
      </c>
      <c r="AR968" s="1" t="s">
        <v>104</v>
      </c>
      <c r="AS968" s="1" t="s">
        <v>104</v>
      </c>
      <c r="AU968" s="1" t="s">
        <v>104</v>
      </c>
      <c r="AV968" s="1" t="s">
        <v>104</v>
      </c>
      <c r="AX968" s="1" t="str">
        <f>IFERROR(__xludf.DUMMYFUNCTION("""COMPUTED_VALUE"""),"")</f>
        <v/>
      </c>
      <c r="AZ968" s="1" t="str">
        <f>IFERROR(__xludf.DUMMYFUNCTION("""COMPUTED_VALUE"""),"")</f>
        <v/>
      </c>
      <c r="BB968" s="1" t="s">
        <v>104</v>
      </c>
      <c r="BC968" s="1" t="s">
        <v>104</v>
      </c>
      <c r="BE968" s="1" t="s">
        <v>104</v>
      </c>
      <c r="BG968" s="1" t="s">
        <v>104</v>
      </c>
      <c r="BH968" s="1" t="s">
        <v>104</v>
      </c>
      <c r="BI968" s="1" t="s">
        <v>104</v>
      </c>
      <c r="BJ968" s="1" t="s">
        <v>104</v>
      </c>
      <c r="BK968" s="1" t="s">
        <v>104</v>
      </c>
      <c r="BL968" s="1" t="s">
        <v>104</v>
      </c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N969" s="1" t="s">
        <v>104</v>
      </c>
      <c r="AO969" s="1" t="s">
        <v>104</v>
      </c>
      <c r="AP969" s="1" t="s">
        <v>104</v>
      </c>
      <c r="AQ969" s="1" t="s">
        <v>104</v>
      </c>
      <c r="AR969" s="1" t="s">
        <v>104</v>
      </c>
      <c r="AS969" s="1" t="s">
        <v>104</v>
      </c>
      <c r="AU969" s="1" t="s">
        <v>104</v>
      </c>
      <c r="AV969" s="1" t="s">
        <v>104</v>
      </c>
      <c r="AX969" s="1" t="str">
        <f>IFERROR(__xludf.DUMMYFUNCTION("""COMPUTED_VALUE"""),"")</f>
        <v/>
      </c>
      <c r="AZ969" s="1" t="str">
        <f>IFERROR(__xludf.DUMMYFUNCTION("""COMPUTED_VALUE"""),"")</f>
        <v/>
      </c>
      <c r="BB969" s="1" t="s">
        <v>104</v>
      </c>
      <c r="BC969" s="1" t="s">
        <v>104</v>
      </c>
      <c r="BE969" s="1" t="s">
        <v>104</v>
      </c>
      <c r="BG969" s="1" t="s">
        <v>104</v>
      </c>
      <c r="BH969" s="1" t="s">
        <v>104</v>
      </c>
      <c r="BI969" s="1" t="s">
        <v>104</v>
      </c>
      <c r="BJ969" s="1" t="s">
        <v>104</v>
      </c>
      <c r="BK969" s="1" t="s">
        <v>104</v>
      </c>
      <c r="BL969" s="1" t="s">
        <v>104</v>
      </c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N970" s="1" t="s">
        <v>104</v>
      </c>
      <c r="AO970" s="1" t="s">
        <v>104</v>
      </c>
      <c r="AP970" s="1" t="s">
        <v>104</v>
      </c>
      <c r="AQ970" s="1" t="s">
        <v>104</v>
      </c>
      <c r="AR970" s="1" t="s">
        <v>104</v>
      </c>
      <c r="AS970" s="1" t="s">
        <v>104</v>
      </c>
      <c r="AU970" s="1" t="s">
        <v>104</v>
      </c>
      <c r="AV970" s="1" t="s">
        <v>104</v>
      </c>
      <c r="AX970" s="1" t="str">
        <f>IFERROR(__xludf.DUMMYFUNCTION("""COMPUTED_VALUE"""),"")</f>
        <v/>
      </c>
      <c r="AZ970" s="1" t="str">
        <f>IFERROR(__xludf.DUMMYFUNCTION("""COMPUTED_VALUE"""),"")</f>
        <v/>
      </c>
      <c r="BB970" s="1" t="s">
        <v>104</v>
      </c>
      <c r="BC970" s="1" t="s">
        <v>104</v>
      </c>
      <c r="BE970" s="1" t="s">
        <v>104</v>
      </c>
      <c r="BG970" s="1" t="s">
        <v>104</v>
      </c>
      <c r="BH970" s="1" t="s">
        <v>104</v>
      </c>
      <c r="BI970" s="1" t="s">
        <v>104</v>
      </c>
      <c r="BJ970" s="1" t="s">
        <v>104</v>
      </c>
      <c r="BK970" s="1" t="s">
        <v>104</v>
      </c>
      <c r="BL970" s="1" t="s">
        <v>104</v>
      </c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N971" s="1" t="s">
        <v>104</v>
      </c>
      <c r="AO971" s="1" t="s">
        <v>104</v>
      </c>
      <c r="AP971" s="1" t="s">
        <v>104</v>
      </c>
      <c r="AQ971" s="1" t="s">
        <v>104</v>
      </c>
      <c r="AR971" s="1" t="s">
        <v>104</v>
      </c>
      <c r="AS971" s="1" t="s">
        <v>104</v>
      </c>
      <c r="AU971" s="1" t="s">
        <v>104</v>
      </c>
      <c r="AV971" s="1" t="s">
        <v>104</v>
      </c>
      <c r="AX971" s="1" t="str">
        <f>IFERROR(__xludf.DUMMYFUNCTION("""COMPUTED_VALUE"""),"")</f>
        <v/>
      </c>
      <c r="AZ971" s="1" t="str">
        <f>IFERROR(__xludf.DUMMYFUNCTION("""COMPUTED_VALUE"""),"")</f>
        <v/>
      </c>
      <c r="BB971" s="1" t="s">
        <v>104</v>
      </c>
      <c r="BC971" s="1" t="s">
        <v>104</v>
      </c>
      <c r="BE971" s="1" t="s">
        <v>104</v>
      </c>
      <c r="BG971" s="1" t="s">
        <v>104</v>
      </c>
      <c r="BH971" s="1" t="s">
        <v>104</v>
      </c>
      <c r="BI971" s="1" t="s">
        <v>104</v>
      </c>
      <c r="BJ971" s="1" t="s">
        <v>104</v>
      </c>
      <c r="BK971" s="1" t="s">
        <v>104</v>
      </c>
      <c r="BL971" s="1" t="s">
        <v>104</v>
      </c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N972" s="1" t="s">
        <v>104</v>
      </c>
      <c r="AO972" s="1" t="s">
        <v>104</v>
      </c>
      <c r="AP972" s="1" t="s">
        <v>104</v>
      </c>
      <c r="AQ972" s="1" t="s">
        <v>104</v>
      </c>
      <c r="AR972" s="1" t="s">
        <v>104</v>
      </c>
      <c r="AS972" s="1" t="s">
        <v>104</v>
      </c>
      <c r="AU972" s="1" t="s">
        <v>104</v>
      </c>
      <c r="AV972" s="1" t="s">
        <v>104</v>
      </c>
      <c r="AX972" s="1" t="str">
        <f>IFERROR(__xludf.DUMMYFUNCTION("""COMPUTED_VALUE"""),"")</f>
        <v/>
      </c>
      <c r="AZ972" s="1" t="str">
        <f>IFERROR(__xludf.DUMMYFUNCTION("""COMPUTED_VALUE"""),"")</f>
        <v/>
      </c>
      <c r="BB972" s="1" t="s">
        <v>104</v>
      </c>
      <c r="BC972" s="1" t="s">
        <v>104</v>
      </c>
      <c r="BE972" s="1" t="s">
        <v>104</v>
      </c>
      <c r="BG972" s="1" t="s">
        <v>104</v>
      </c>
      <c r="BH972" s="1" t="s">
        <v>104</v>
      </c>
      <c r="BI972" s="1" t="s">
        <v>104</v>
      </c>
      <c r="BJ972" s="1" t="s">
        <v>104</v>
      </c>
      <c r="BK972" s="1" t="s">
        <v>104</v>
      </c>
      <c r="BL972" s="1" t="s">
        <v>104</v>
      </c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N973" s="1" t="s">
        <v>104</v>
      </c>
      <c r="AO973" s="1" t="s">
        <v>104</v>
      </c>
      <c r="AP973" s="1" t="s">
        <v>104</v>
      </c>
      <c r="AQ973" s="1" t="s">
        <v>104</v>
      </c>
      <c r="AR973" s="1" t="s">
        <v>104</v>
      </c>
      <c r="AS973" s="1" t="s">
        <v>104</v>
      </c>
      <c r="AU973" s="1" t="s">
        <v>104</v>
      </c>
      <c r="AV973" s="1" t="s">
        <v>104</v>
      </c>
      <c r="AX973" s="1" t="str">
        <f>IFERROR(__xludf.DUMMYFUNCTION("""COMPUTED_VALUE"""),"")</f>
        <v/>
      </c>
      <c r="AZ973" s="1" t="str">
        <f>IFERROR(__xludf.DUMMYFUNCTION("""COMPUTED_VALUE"""),"")</f>
        <v/>
      </c>
      <c r="BB973" s="1" t="s">
        <v>104</v>
      </c>
      <c r="BC973" s="1" t="s">
        <v>104</v>
      </c>
      <c r="BE973" s="1" t="s">
        <v>104</v>
      </c>
      <c r="BG973" s="1" t="s">
        <v>104</v>
      </c>
      <c r="BH973" s="1" t="s">
        <v>104</v>
      </c>
      <c r="BI973" s="1" t="s">
        <v>104</v>
      </c>
      <c r="BJ973" s="1" t="s">
        <v>104</v>
      </c>
      <c r="BK973" s="1" t="s">
        <v>104</v>
      </c>
      <c r="BL973" s="1" t="s">
        <v>104</v>
      </c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N974" s="1" t="s">
        <v>104</v>
      </c>
      <c r="AO974" s="1" t="s">
        <v>104</v>
      </c>
      <c r="AP974" s="1" t="s">
        <v>104</v>
      </c>
      <c r="AQ974" s="1" t="s">
        <v>104</v>
      </c>
      <c r="AR974" s="1" t="s">
        <v>104</v>
      </c>
      <c r="AS974" s="1" t="s">
        <v>104</v>
      </c>
      <c r="AU974" s="1" t="s">
        <v>104</v>
      </c>
      <c r="AV974" s="1" t="s">
        <v>104</v>
      </c>
      <c r="AX974" s="1" t="str">
        <f>IFERROR(__xludf.DUMMYFUNCTION("""COMPUTED_VALUE"""),"")</f>
        <v/>
      </c>
      <c r="AZ974" s="1" t="str">
        <f>IFERROR(__xludf.DUMMYFUNCTION("""COMPUTED_VALUE"""),"")</f>
        <v/>
      </c>
      <c r="BB974" s="1" t="s">
        <v>104</v>
      </c>
      <c r="BC974" s="1" t="s">
        <v>104</v>
      </c>
      <c r="BE974" s="1" t="s">
        <v>104</v>
      </c>
      <c r="BG974" s="1" t="s">
        <v>104</v>
      </c>
      <c r="BH974" s="1" t="s">
        <v>104</v>
      </c>
      <c r="BI974" s="1" t="s">
        <v>104</v>
      </c>
      <c r="BJ974" s="1" t="s">
        <v>104</v>
      </c>
      <c r="BK974" s="1" t="s">
        <v>104</v>
      </c>
      <c r="BL974" s="1" t="s">
        <v>104</v>
      </c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N975" s="1" t="s">
        <v>104</v>
      </c>
      <c r="AO975" s="1" t="s">
        <v>104</v>
      </c>
      <c r="AP975" s="1" t="s">
        <v>104</v>
      </c>
      <c r="AQ975" s="1" t="s">
        <v>104</v>
      </c>
      <c r="AR975" s="1" t="s">
        <v>104</v>
      </c>
      <c r="AS975" s="1" t="s">
        <v>104</v>
      </c>
      <c r="AU975" s="1" t="s">
        <v>104</v>
      </c>
      <c r="AV975" s="1" t="s">
        <v>104</v>
      </c>
      <c r="AX975" s="1" t="str">
        <f>IFERROR(__xludf.DUMMYFUNCTION("""COMPUTED_VALUE"""),"")</f>
        <v/>
      </c>
      <c r="AZ975" s="1" t="str">
        <f>IFERROR(__xludf.DUMMYFUNCTION("""COMPUTED_VALUE"""),"")</f>
        <v/>
      </c>
      <c r="BB975" s="1" t="s">
        <v>104</v>
      </c>
      <c r="BC975" s="1" t="s">
        <v>104</v>
      </c>
      <c r="BE975" s="1" t="s">
        <v>104</v>
      </c>
      <c r="BG975" s="1" t="s">
        <v>104</v>
      </c>
      <c r="BH975" s="1" t="s">
        <v>104</v>
      </c>
      <c r="BI975" s="1" t="s">
        <v>104</v>
      </c>
      <c r="BJ975" s="1" t="s">
        <v>104</v>
      </c>
      <c r="BK975" s="1" t="s">
        <v>104</v>
      </c>
      <c r="BL975" s="1" t="s">
        <v>104</v>
      </c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N976" s="1" t="s">
        <v>104</v>
      </c>
      <c r="AO976" s="1" t="s">
        <v>104</v>
      </c>
      <c r="AP976" s="1" t="s">
        <v>104</v>
      </c>
      <c r="AQ976" s="1" t="s">
        <v>104</v>
      </c>
      <c r="AR976" s="1" t="s">
        <v>104</v>
      </c>
      <c r="AS976" s="1" t="s">
        <v>104</v>
      </c>
      <c r="AU976" s="1" t="s">
        <v>104</v>
      </c>
      <c r="AV976" s="1" t="s">
        <v>104</v>
      </c>
      <c r="AX976" s="1" t="str">
        <f>IFERROR(__xludf.DUMMYFUNCTION("""COMPUTED_VALUE"""),"")</f>
        <v/>
      </c>
      <c r="AZ976" s="1" t="str">
        <f>IFERROR(__xludf.DUMMYFUNCTION("""COMPUTED_VALUE"""),"")</f>
        <v/>
      </c>
      <c r="BB976" s="1" t="s">
        <v>104</v>
      </c>
      <c r="BC976" s="1" t="s">
        <v>104</v>
      </c>
      <c r="BE976" s="1" t="s">
        <v>104</v>
      </c>
      <c r="BG976" s="1" t="s">
        <v>104</v>
      </c>
      <c r="BH976" s="1" t="s">
        <v>104</v>
      </c>
      <c r="BI976" s="1" t="s">
        <v>104</v>
      </c>
      <c r="BJ976" s="1" t="s">
        <v>104</v>
      </c>
      <c r="BK976" s="1" t="s">
        <v>104</v>
      </c>
      <c r="BL976" s="1" t="s">
        <v>104</v>
      </c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N977" s="1" t="s">
        <v>104</v>
      </c>
      <c r="AO977" s="1" t="s">
        <v>104</v>
      </c>
      <c r="AP977" s="1" t="s">
        <v>104</v>
      </c>
      <c r="AQ977" s="1" t="s">
        <v>104</v>
      </c>
      <c r="AR977" s="1" t="s">
        <v>104</v>
      </c>
      <c r="AS977" s="1" t="s">
        <v>104</v>
      </c>
      <c r="AU977" s="1" t="s">
        <v>104</v>
      </c>
      <c r="AV977" s="1" t="s">
        <v>104</v>
      </c>
      <c r="AX977" s="1" t="str">
        <f>IFERROR(__xludf.DUMMYFUNCTION("""COMPUTED_VALUE"""),"")</f>
        <v/>
      </c>
      <c r="AZ977" s="1" t="str">
        <f>IFERROR(__xludf.DUMMYFUNCTION("""COMPUTED_VALUE"""),"")</f>
        <v/>
      </c>
      <c r="BB977" s="1" t="s">
        <v>104</v>
      </c>
      <c r="BC977" s="1" t="s">
        <v>104</v>
      </c>
      <c r="BE977" s="1" t="s">
        <v>104</v>
      </c>
      <c r="BG977" s="1" t="s">
        <v>104</v>
      </c>
      <c r="BH977" s="1" t="s">
        <v>104</v>
      </c>
      <c r="BI977" s="1" t="s">
        <v>104</v>
      </c>
      <c r="BJ977" s="1" t="s">
        <v>104</v>
      </c>
      <c r="BK977" s="1" t="s">
        <v>104</v>
      </c>
      <c r="BL977" s="1" t="s">
        <v>104</v>
      </c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N978" s="1" t="s">
        <v>104</v>
      </c>
      <c r="AO978" s="1" t="s">
        <v>104</v>
      </c>
      <c r="AP978" s="1" t="s">
        <v>104</v>
      </c>
      <c r="AQ978" s="1" t="s">
        <v>104</v>
      </c>
      <c r="AR978" s="1" t="s">
        <v>104</v>
      </c>
      <c r="AS978" s="1" t="s">
        <v>104</v>
      </c>
      <c r="AU978" s="1" t="s">
        <v>104</v>
      </c>
      <c r="AV978" s="1" t="s">
        <v>104</v>
      </c>
      <c r="AX978" s="1" t="str">
        <f>IFERROR(__xludf.DUMMYFUNCTION("""COMPUTED_VALUE"""),"")</f>
        <v/>
      </c>
      <c r="AZ978" s="1" t="str">
        <f>IFERROR(__xludf.DUMMYFUNCTION("""COMPUTED_VALUE"""),"")</f>
        <v/>
      </c>
      <c r="BB978" s="1" t="s">
        <v>104</v>
      </c>
      <c r="BC978" s="1" t="s">
        <v>104</v>
      </c>
      <c r="BE978" s="1" t="s">
        <v>104</v>
      </c>
      <c r="BG978" s="1" t="s">
        <v>104</v>
      </c>
      <c r="BH978" s="1" t="s">
        <v>104</v>
      </c>
      <c r="BI978" s="1" t="s">
        <v>104</v>
      </c>
      <c r="BJ978" s="1" t="s">
        <v>104</v>
      </c>
      <c r="BK978" s="1" t="s">
        <v>104</v>
      </c>
      <c r="BL978" s="1" t="s">
        <v>104</v>
      </c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N979" s="1" t="s">
        <v>104</v>
      </c>
      <c r="AO979" s="1" t="s">
        <v>104</v>
      </c>
      <c r="AP979" s="1" t="s">
        <v>104</v>
      </c>
      <c r="AQ979" s="1" t="s">
        <v>104</v>
      </c>
      <c r="AR979" s="1" t="s">
        <v>104</v>
      </c>
      <c r="AS979" s="1" t="s">
        <v>104</v>
      </c>
      <c r="AU979" s="1" t="s">
        <v>104</v>
      </c>
      <c r="AV979" s="1" t="s">
        <v>104</v>
      </c>
      <c r="AX979" s="1" t="str">
        <f>IFERROR(__xludf.DUMMYFUNCTION("""COMPUTED_VALUE"""),"")</f>
        <v/>
      </c>
      <c r="AZ979" s="1" t="str">
        <f>IFERROR(__xludf.DUMMYFUNCTION("""COMPUTED_VALUE"""),"")</f>
        <v/>
      </c>
      <c r="BB979" s="1" t="s">
        <v>104</v>
      </c>
      <c r="BC979" s="1" t="s">
        <v>104</v>
      </c>
      <c r="BE979" s="1" t="s">
        <v>104</v>
      </c>
      <c r="BG979" s="1" t="s">
        <v>104</v>
      </c>
      <c r="BH979" s="1" t="s">
        <v>104</v>
      </c>
      <c r="BI979" s="1" t="s">
        <v>104</v>
      </c>
      <c r="BJ979" s="1" t="s">
        <v>104</v>
      </c>
      <c r="BK979" s="1" t="s">
        <v>104</v>
      </c>
      <c r="BL979" s="1" t="s">
        <v>104</v>
      </c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N980" s="1" t="s">
        <v>104</v>
      </c>
      <c r="AO980" s="1" t="s">
        <v>104</v>
      </c>
      <c r="AP980" s="1" t="s">
        <v>104</v>
      </c>
      <c r="AQ980" s="1" t="s">
        <v>104</v>
      </c>
      <c r="AR980" s="1" t="s">
        <v>104</v>
      </c>
      <c r="AS980" s="1" t="s">
        <v>104</v>
      </c>
      <c r="AU980" s="1" t="s">
        <v>104</v>
      </c>
      <c r="AV980" s="1" t="s">
        <v>104</v>
      </c>
      <c r="AX980" s="1" t="str">
        <f>IFERROR(__xludf.DUMMYFUNCTION("""COMPUTED_VALUE"""),"")</f>
        <v/>
      </c>
      <c r="AZ980" s="1" t="str">
        <f>IFERROR(__xludf.DUMMYFUNCTION("""COMPUTED_VALUE"""),"")</f>
        <v/>
      </c>
      <c r="BB980" s="1" t="s">
        <v>104</v>
      </c>
      <c r="BC980" s="1" t="s">
        <v>104</v>
      </c>
      <c r="BE980" s="1" t="s">
        <v>104</v>
      </c>
      <c r="BG980" s="1" t="s">
        <v>104</v>
      </c>
      <c r="BH980" s="1" t="s">
        <v>104</v>
      </c>
      <c r="BI980" s="1" t="s">
        <v>104</v>
      </c>
      <c r="BJ980" s="1" t="s">
        <v>104</v>
      </c>
      <c r="BK980" s="1" t="s">
        <v>104</v>
      </c>
      <c r="BL980" s="1" t="s">
        <v>104</v>
      </c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N981" s="1" t="s">
        <v>104</v>
      </c>
      <c r="AO981" s="1" t="s">
        <v>104</v>
      </c>
      <c r="AP981" s="1" t="s">
        <v>104</v>
      </c>
      <c r="AQ981" s="1" t="s">
        <v>104</v>
      </c>
      <c r="AR981" s="1" t="s">
        <v>104</v>
      </c>
      <c r="AS981" s="1" t="s">
        <v>104</v>
      </c>
      <c r="AU981" s="1" t="s">
        <v>104</v>
      </c>
      <c r="AV981" s="1" t="s">
        <v>104</v>
      </c>
      <c r="AX981" s="1" t="str">
        <f>IFERROR(__xludf.DUMMYFUNCTION("""COMPUTED_VALUE"""),"")</f>
        <v/>
      </c>
      <c r="AZ981" s="1" t="str">
        <f>IFERROR(__xludf.DUMMYFUNCTION("""COMPUTED_VALUE"""),"")</f>
        <v/>
      </c>
      <c r="BB981" s="1" t="s">
        <v>104</v>
      </c>
      <c r="BC981" s="1" t="s">
        <v>104</v>
      </c>
      <c r="BE981" s="1" t="s">
        <v>104</v>
      </c>
      <c r="BG981" s="1" t="s">
        <v>104</v>
      </c>
      <c r="BH981" s="1" t="s">
        <v>104</v>
      </c>
      <c r="BI981" s="1" t="s">
        <v>104</v>
      </c>
      <c r="BJ981" s="1" t="s">
        <v>104</v>
      </c>
      <c r="BK981" s="1" t="s">
        <v>104</v>
      </c>
      <c r="BL981" s="1" t="s">
        <v>104</v>
      </c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N982" s="1" t="s">
        <v>104</v>
      </c>
      <c r="AO982" s="1" t="s">
        <v>104</v>
      </c>
      <c r="AP982" s="1" t="s">
        <v>104</v>
      </c>
      <c r="AQ982" s="1" t="s">
        <v>104</v>
      </c>
      <c r="AR982" s="1" t="s">
        <v>104</v>
      </c>
      <c r="AS982" s="1" t="s">
        <v>104</v>
      </c>
      <c r="AU982" s="1" t="s">
        <v>104</v>
      </c>
      <c r="AV982" s="1" t="s">
        <v>104</v>
      </c>
      <c r="AX982" s="1" t="str">
        <f>IFERROR(__xludf.DUMMYFUNCTION("""COMPUTED_VALUE"""),"")</f>
        <v/>
      </c>
      <c r="AZ982" s="1" t="str">
        <f>IFERROR(__xludf.DUMMYFUNCTION("""COMPUTED_VALUE"""),"")</f>
        <v/>
      </c>
      <c r="BB982" s="1" t="s">
        <v>104</v>
      </c>
      <c r="BC982" s="1" t="s">
        <v>104</v>
      </c>
      <c r="BE982" s="1" t="s">
        <v>104</v>
      </c>
      <c r="BG982" s="1" t="s">
        <v>104</v>
      </c>
      <c r="BH982" s="1" t="s">
        <v>104</v>
      </c>
      <c r="BI982" s="1" t="s">
        <v>104</v>
      </c>
      <c r="BJ982" s="1" t="s">
        <v>104</v>
      </c>
      <c r="BK982" s="1" t="s">
        <v>104</v>
      </c>
      <c r="BL982" s="1" t="s">
        <v>104</v>
      </c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N983" s="1" t="s">
        <v>104</v>
      </c>
      <c r="AO983" s="1" t="s">
        <v>104</v>
      </c>
      <c r="AP983" s="1" t="s">
        <v>104</v>
      </c>
      <c r="AQ983" s="1" t="s">
        <v>104</v>
      </c>
      <c r="AR983" s="1" t="s">
        <v>104</v>
      </c>
      <c r="AS983" s="1" t="s">
        <v>104</v>
      </c>
      <c r="AU983" s="1" t="s">
        <v>104</v>
      </c>
      <c r="AV983" s="1" t="s">
        <v>104</v>
      </c>
      <c r="AX983" s="1" t="str">
        <f>IFERROR(__xludf.DUMMYFUNCTION("""COMPUTED_VALUE"""),"")</f>
        <v/>
      </c>
      <c r="AZ983" s="1" t="str">
        <f>IFERROR(__xludf.DUMMYFUNCTION("""COMPUTED_VALUE"""),"")</f>
        <v/>
      </c>
      <c r="BB983" s="1" t="s">
        <v>104</v>
      </c>
      <c r="BC983" s="1" t="s">
        <v>104</v>
      </c>
      <c r="BE983" s="1" t="s">
        <v>104</v>
      </c>
      <c r="BG983" s="1" t="s">
        <v>104</v>
      </c>
      <c r="BH983" s="1" t="s">
        <v>104</v>
      </c>
      <c r="BI983" s="1" t="s">
        <v>104</v>
      </c>
      <c r="BJ983" s="1" t="s">
        <v>104</v>
      </c>
      <c r="BK983" s="1" t="s">
        <v>104</v>
      </c>
      <c r="BL983" s="1" t="s">
        <v>104</v>
      </c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N984" s="1" t="s">
        <v>104</v>
      </c>
      <c r="AO984" s="1" t="s">
        <v>104</v>
      </c>
      <c r="AP984" s="1" t="s">
        <v>104</v>
      </c>
      <c r="AQ984" s="1" t="s">
        <v>104</v>
      </c>
      <c r="AR984" s="1" t="s">
        <v>104</v>
      </c>
      <c r="AS984" s="1" t="s">
        <v>104</v>
      </c>
      <c r="AU984" s="1" t="s">
        <v>104</v>
      </c>
      <c r="AV984" s="1" t="s">
        <v>104</v>
      </c>
      <c r="AX984" s="1" t="str">
        <f>IFERROR(__xludf.DUMMYFUNCTION("""COMPUTED_VALUE"""),"")</f>
        <v/>
      </c>
      <c r="AZ984" s="1" t="str">
        <f>IFERROR(__xludf.DUMMYFUNCTION("""COMPUTED_VALUE"""),"")</f>
        <v/>
      </c>
      <c r="BB984" s="1" t="s">
        <v>104</v>
      </c>
      <c r="BC984" s="1" t="s">
        <v>104</v>
      </c>
      <c r="BE984" s="1" t="s">
        <v>104</v>
      </c>
      <c r="BG984" s="1" t="s">
        <v>104</v>
      </c>
      <c r="BH984" s="1" t="s">
        <v>104</v>
      </c>
      <c r="BI984" s="1" t="s">
        <v>104</v>
      </c>
      <c r="BJ984" s="1" t="s">
        <v>104</v>
      </c>
      <c r="BK984" s="1" t="s">
        <v>104</v>
      </c>
      <c r="BL984" s="1" t="s">
        <v>104</v>
      </c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N985" s="1" t="s">
        <v>104</v>
      </c>
      <c r="AO985" s="1" t="s">
        <v>104</v>
      </c>
      <c r="AP985" s="1" t="s">
        <v>104</v>
      </c>
      <c r="AQ985" s="1" t="s">
        <v>104</v>
      </c>
      <c r="AR985" s="1" t="s">
        <v>104</v>
      </c>
      <c r="AS985" s="1" t="s">
        <v>104</v>
      </c>
      <c r="AU985" s="1" t="s">
        <v>104</v>
      </c>
      <c r="AV985" s="1" t="s">
        <v>104</v>
      </c>
      <c r="AX985" s="1" t="str">
        <f>IFERROR(__xludf.DUMMYFUNCTION("""COMPUTED_VALUE"""),"")</f>
        <v/>
      </c>
      <c r="AZ985" s="1" t="str">
        <f>IFERROR(__xludf.DUMMYFUNCTION("""COMPUTED_VALUE"""),"")</f>
        <v/>
      </c>
      <c r="BB985" s="1" t="s">
        <v>104</v>
      </c>
      <c r="BC985" s="1" t="s">
        <v>104</v>
      </c>
      <c r="BE985" s="1" t="s">
        <v>104</v>
      </c>
      <c r="BG985" s="1" t="s">
        <v>104</v>
      </c>
      <c r="BH985" s="1" t="s">
        <v>104</v>
      </c>
      <c r="BI985" s="1" t="s">
        <v>104</v>
      </c>
      <c r="BJ985" s="1" t="s">
        <v>104</v>
      </c>
      <c r="BK985" s="1" t="s">
        <v>104</v>
      </c>
      <c r="BL985" s="1" t="s">
        <v>104</v>
      </c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N986" s="1" t="s">
        <v>104</v>
      </c>
      <c r="AO986" s="1" t="s">
        <v>104</v>
      </c>
      <c r="AP986" s="1" t="s">
        <v>104</v>
      </c>
      <c r="AQ986" s="1" t="s">
        <v>104</v>
      </c>
      <c r="AR986" s="1" t="s">
        <v>104</v>
      </c>
      <c r="AS986" s="1" t="s">
        <v>104</v>
      </c>
      <c r="AU986" s="1" t="s">
        <v>104</v>
      </c>
      <c r="AV986" s="1" t="s">
        <v>104</v>
      </c>
      <c r="AX986" s="1" t="str">
        <f>IFERROR(__xludf.DUMMYFUNCTION("""COMPUTED_VALUE"""),"")</f>
        <v/>
      </c>
      <c r="AZ986" s="1" t="str">
        <f>IFERROR(__xludf.DUMMYFUNCTION("""COMPUTED_VALUE"""),"")</f>
        <v/>
      </c>
      <c r="BB986" s="1" t="s">
        <v>104</v>
      </c>
      <c r="BC986" s="1" t="s">
        <v>104</v>
      </c>
      <c r="BE986" s="1" t="s">
        <v>104</v>
      </c>
      <c r="BG986" s="1" t="s">
        <v>104</v>
      </c>
      <c r="BH986" s="1" t="s">
        <v>104</v>
      </c>
      <c r="BI986" s="1" t="s">
        <v>104</v>
      </c>
      <c r="BJ986" s="1" t="s">
        <v>104</v>
      </c>
      <c r="BK986" s="1" t="s">
        <v>104</v>
      </c>
      <c r="BL986" s="1" t="s">
        <v>104</v>
      </c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N987" s="1" t="s">
        <v>104</v>
      </c>
      <c r="AO987" s="1" t="s">
        <v>104</v>
      </c>
      <c r="AP987" s="1" t="s">
        <v>104</v>
      </c>
      <c r="AQ987" s="1" t="s">
        <v>104</v>
      </c>
      <c r="AR987" s="1" t="s">
        <v>104</v>
      </c>
      <c r="AS987" s="1" t="s">
        <v>104</v>
      </c>
      <c r="AU987" s="1" t="s">
        <v>104</v>
      </c>
      <c r="AV987" s="1" t="s">
        <v>104</v>
      </c>
      <c r="AX987" s="1" t="str">
        <f>IFERROR(__xludf.DUMMYFUNCTION("""COMPUTED_VALUE"""),"")</f>
        <v/>
      </c>
      <c r="AZ987" s="1" t="str">
        <f>IFERROR(__xludf.DUMMYFUNCTION("""COMPUTED_VALUE"""),"")</f>
        <v/>
      </c>
      <c r="BB987" s="1" t="s">
        <v>104</v>
      </c>
      <c r="BC987" s="1" t="s">
        <v>104</v>
      </c>
      <c r="BE987" s="1" t="s">
        <v>104</v>
      </c>
      <c r="BG987" s="1" t="s">
        <v>104</v>
      </c>
      <c r="BH987" s="1" t="s">
        <v>104</v>
      </c>
      <c r="BI987" s="1" t="s">
        <v>104</v>
      </c>
      <c r="BJ987" s="1" t="s">
        <v>104</v>
      </c>
      <c r="BK987" s="1" t="s">
        <v>104</v>
      </c>
      <c r="BL987" s="1" t="s">
        <v>104</v>
      </c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N988" s="1" t="s">
        <v>104</v>
      </c>
      <c r="AO988" s="1" t="s">
        <v>104</v>
      </c>
      <c r="AP988" s="1" t="s">
        <v>104</v>
      </c>
      <c r="AQ988" s="1" t="s">
        <v>104</v>
      </c>
      <c r="AR988" s="1" t="s">
        <v>104</v>
      </c>
      <c r="AS988" s="1" t="s">
        <v>104</v>
      </c>
      <c r="AU988" s="1" t="s">
        <v>104</v>
      </c>
      <c r="AV988" s="1" t="s">
        <v>104</v>
      </c>
      <c r="AX988" s="1" t="str">
        <f>IFERROR(__xludf.DUMMYFUNCTION("""COMPUTED_VALUE"""),"")</f>
        <v/>
      </c>
      <c r="AZ988" s="1" t="str">
        <f>IFERROR(__xludf.DUMMYFUNCTION("""COMPUTED_VALUE"""),"")</f>
        <v/>
      </c>
      <c r="BB988" s="1" t="s">
        <v>104</v>
      </c>
      <c r="BC988" s="1" t="s">
        <v>104</v>
      </c>
      <c r="BE988" s="1" t="s">
        <v>104</v>
      </c>
      <c r="BG988" s="1" t="s">
        <v>104</v>
      </c>
      <c r="BH988" s="1" t="s">
        <v>104</v>
      </c>
      <c r="BI988" s="1" t="s">
        <v>104</v>
      </c>
      <c r="BJ988" s="1" t="s">
        <v>104</v>
      </c>
      <c r="BK988" s="1" t="s">
        <v>104</v>
      </c>
      <c r="BL988" s="1" t="s">
        <v>104</v>
      </c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N989" s="1" t="s">
        <v>104</v>
      </c>
      <c r="AO989" s="1" t="s">
        <v>104</v>
      </c>
      <c r="AP989" s="1" t="s">
        <v>104</v>
      </c>
      <c r="AQ989" s="1" t="s">
        <v>104</v>
      </c>
      <c r="AR989" s="1" t="s">
        <v>104</v>
      </c>
      <c r="AS989" s="1" t="s">
        <v>104</v>
      </c>
      <c r="AU989" s="1" t="s">
        <v>104</v>
      </c>
      <c r="AV989" s="1" t="s">
        <v>104</v>
      </c>
      <c r="AX989" s="1" t="str">
        <f>IFERROR(__xludf.DUMMYFUNCTION("""COMPUTED_VALUE"""),"")</f>
        <v/>
      </c>
      <c r="AZ989" s="1" t="str">
        <f>IFERROR(__xludf.DUMMYFUNCTION("""COMPUTED_VALUE"""),"")</f>
        <v/>
      </c>
      <c r="BB989" s="1" t="s">
        <v>104</v>
      </c>
      <c r="BC989" s="1" t="s">
        <v>104</v>
      </c>
      <c r="BE989" s="1" t="s">
        <v>104</v>
      </c>
      <c r="BG989" s="1" t="s">
        <v>104</v>
      </c>
      <c r="BH989" s="1" t="s">
        <v>104</v>
      </c>
      <c r="BI989" s="1" t="s">
        <v>104</v>
      </c>
      <c r="BJ989" s="1" t="s">
        <v>104</v>
      </c>
      <c r="BK989" s="1" t="s">
        <v>104</v>
      </c>
      <c r="BL989" s="1" t="s">
        <v>104</v>
      </c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N990" s="1" t="s">
        <v>104</v>
      </c>
      <c r="AO990" s="1" t="s">
        <v>104</v>
      </c>
      <c r="AP990" s="1" t="s">
        <v>104</v>
      </c>
      <c r="AQ990" s="1" t="s">
        <v>104</v>
      </c>
      <c r="AR990" s="1" t="s">
        <v>104</v>
      </c>
      <c r="AS990" s="1" t="s">
        <v>104</v>
      </c>
      <c r="AU990" s="1" t="s">
        <v>104</v>
      </c>
      <c r="AV990" s="1" t="s">
        <v>104</v>
      </c>
      <c r="AX990" s="1" t="str">
        <f>IFERROR(__xludf.DUMMYFUNCTION("""COMPUTED_VALUE"""),"")</f>
        <v/>
      </c>
      <c r="AZ990" s="1" t="str">
        <f>IFERROR(__xludf.DUMMYFUNCTION("""COMPUTED_VALUE"""),"")</f>
        <v/>
      </c>
      <c r="BB990" s="1" t="s">
        <v>104</v>
      </c>
      <c r="BC990" s="1" t="s">
        <v>104</v>
      </c>
      <c r="BE990" s="1" t="s">
        <v>104</v>
      </c>
      <c r="BG990" s="1" t="s">
        <v>104</v>
      </c>
      <c r="BH990" s="1" t="s">
        <v>104</v>
      </c>
      <c r="BI990" s="1" t="s">
        <v>104</v>
      </c>
      <c r="BJ990" s="1" t="s">
        <v>104</v>
      </c>
      <c r="BK990" s="1" t="s">
        <v>104</v>
      </c>
      <c r="BL990" s="1" t="s">
        <v>104</v>
      </c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N991" s="1" t="s">
        <v>104</v>
      </c>
      <c r="AO991" s="1" t="s">
        <v>104</v>
      </c>
      <c r="AP991" s="1" t="s">
        <v>104</v>
      </c>
      <c r="AQ991" s="1" t="s">
        <v>104</v>
      </c>
      <c r="AR991" s="1" t="s">
        <v>104</v>
      </c>
      <c r="AS991" s="1" t="s">
        <v>104</v>
      </c>
      <c r="AU991" s="1" t="s">
        <v>104</v>
      </c>
      <c r="AV991" s="1" t="s">
        <v>104</v>
      </c>
      <c r="AX991" s="1" t="str">
        <f>IFERROR(__xludf.DUMMYFUNCTION("""COMPUTED_VALUE"""),"")</f>
        <v/>
      </c>
      <c r="AZ991" s="1" t="str">
        <f>IFERROR(__xludf.DUMMYFUNCTION("""COMPUTED_VALUE"""),"")</f>
        <v/>
      </c>
      <c r="BB991" s="1" t="s">
        <v>104</v>
      </c>
      <c r="BC991" s="1" t="s">
        <v>104</v>
      </c>
      <c r="BE991" s="1" t="s">
        <v>104</v>
      </c>
      <c r="BG991" s="1" t="s">
        <v>104</v>
      </c>
      <c r="BH991" s="1" t="s">
        <v>104</v>
      </c>
      <c r="BI991" s="1" t="s">
        <v>104</v>
      </c>
      <c r="BJ991" s="1" t="s">
        <v>104</v>
      </c>
      <c r="BK991" s="1" t="s">
        <v>104</v>
      </c>
      <c r="BL991" s="1" t="s">
        <v>104</v>
      </c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N992" s="1" t="s">
        <v>104</v>
      </c>
      <c r="AO992" s="1" t="s">
        <v>104</v>
      </c>
      <c r="AP992" s="1" t="s">
        <v>104</v>
      </c>
      <c r="AQ992" s="1" t="s">
        <v>104</v>
      </c>
      <c r="AR992" s="1" t="s">
        <v>104</v>
      </c>
      <c r="AS992" s="1" t="s">
        <v>104</v>
      </c>
      <c r="AU992" s="1" t="s">
        <v>104</v>
      </c>
      <c r="AV992" s="1" t="s">
        <v>104</v>
      </c>
      <c r="AX992" s="1" t="str">
        <f>IFERROR(__xludf.DUMMYFUNCTION("""COMPUTED_VALUE"""),"")</f>
        <v/>
      </c>
      <c r="AZ992" s="1" t="str">
        <f>IFERROR(__xludf.DUMMYFUNCTION("""COMPUTED_VALUE"""),"")</f>
        <v/>
      </c>
      <c r="BB992" s="1" t="s">
        <v>104</v>
      </c>
      <c r="BC992" s="1" t="s">
        <v>104</v>
      </c>
      <c r="BE992" s="1" t="s">
        <v>104</v>
      </c>
      <c r="BG992" s="1" t="s">
        <v>104</v>
      </c>
      <c r="BH992" s="1" t="s">
        <v>104</v>
      </c>
      <c r="BI992" s="1" t="s">
        <v>104</v>
      </c>
      <c r="BJ992" s="1" t="s">
        <v>104</v>
      </c>
      <c r="BK992" s="1" t="s">
        <v>104</v>
      </c>
      <c r="BL992" s="1" t="s">
        <v>104</v>
      </c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N993" s="1" t="s">
        <v>104</v>
      </c>
      <c r="AO993" s="1" t="s">
        <v>104</v>
      </c>
      <c r="AP993" s="1" t="s">
        <v>104</v>
      </c>
      <c r="AQ993" s="1" t="s">
        <v>104</v>
      </c>
      <c r="AR993" s="1" t="s">
        <v>104</v>
      </c>
      <c r="AS993" s="1" t="s">
        <v>104</v>
      </c>
      <c r="AU993" s="1" t="s">
        <v>104</v>
      </c>
      <c r="AV993" s="1" t="s">
        <v>104</v>
      </c>
      <c r="AX993" s="1" t="str">
        <f>IFERROR(__xludf.DUMMYFUNCTION("""COMPUTED_VALUE"""),"")</f>
        <v/>
      </c>
      <c r="AZ993" s="1" t="str">
        <f>IFERROR(__xludf.DUMMYFUNCTION("""COMPUTED_VALUE"""),"")</f>
        <v/>
      </c>
      <c r="BB993" s="1" t="s">
        <v>104</v>
      </c>
      <c r="BC993" s="1" t="s">
        <v>104</v>
      </c>
      <c r="BE993" s="1" t="s">
        <v>104</v>
      </c>
      <c r="BG993" s="1" t="s">
        <v>104</v>
      </c>
      <c r="BH993" s="1" t="s">
        <v>104</v>
      </c>
      <c r="BI993" s="1" t="s">
        <v>104</v>
      </c>
      <c r="BJ993" s="1" t="s">
        <v>104</v>
      </c>
      <c r="BK993" s="1" t="s">
        <v>104</v>
      </c>
      <c r="BL993" s="1" t="s">
        <v>104</v>
      </c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N994" s="1" t="s">
        <v>104</v>
      </c>
      <c r="AO994" s="1" t="s">
        <v>104</v>
      </c>
      <c r="AP994" s="1" t="s">
        <v>104</v>
      </c>
      <c r="AQ994" s="1" t="s">
        <v>104</v>
      </c>
      <c r="AR994" s="1" t="s">
        <v>104</v>
      </c>
      <c r="AS994" s="1" t="s">
        <v>104</v>
      </c>
      <c r="AU994" s="1" t="s">
        <v>104</v>
      </c>
      <c r="AV994" s="1" t="s">
        <v>104</v>
      </c>
      <c r="AX994" s="1" t="str">
        <f>IFERROR(__xludf.DUMMYFUNCTION("""COMPUTED_VALUE"""),"")</f>
        <v/>
      </c>
      <c r="AZ994" s="1" t="str">
        <f>IFERROR(__xludf.DUMMYFUNCTION("""COMPUTED_VALUE"""),"")</f>
        <v/>
      </c>
      <c r="BB994" s="1" t="s">
        <v>104</v>
      </c>
      <c r="BC994" s="1" t="s">
        <v>104</v>
      </c>
      <c r="BE994" s="1" t="s">
        <v>104</v>
      </c>
      <c r="BG994" s="1" t="s">
        <v>104</v>
      </c>
      <c r="BH994" s="1" t="s">
        <v>104</v>
      </c>
      <c r="BI994" s="1" t="s">
        <v>104</v>
      </c>
      <c r="BJ994" s="1" t="s">
        <v>104</v>
      </c>
      <c r="BK994" s="1" t="s">
        <v>104</v>
      </c>
      <c r="BL994" s="1" t="s">
        <v>104</v>
      </c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N995" s="1" t="s">
        <v>104</v>
      </c>
      <c r="AO995" s="1" t="s">
        <v>104</v>
      </c>
      <c r="AP995" s="1" t="s">
        <v>104</v>
      </c>
      <c r="AQ995" s="1" t="s">
        <v>104</v>
      </c>
      <c r="AR995" s="1" t="s">
        <v>104</v>
      </c>
      <c r="AS995" s="1" t="s">
        <v>104</v>
      </c>
      <c r="AU995" s="1" t="s">
        <v>104</v>
      </c>
      <c r="AV995" s="1" t="s">
        <v>104</v>
      </c>
      <c r="AX995" s="1" t="str">
        <f>IFERROR(__xludf.DUMMYFUNCTION("""COMPUTED_VALUE"""),"")</f>
        <v/>
      </c>
      <c r="AZ995" s="1" t="str">
        <f>IFERROR(__xludf.DUMMYFUNCTION("""COMPUTED_VALUE"""),"")</f>
        <v/>
      </c>
      <c r="BB995" s="1" t="s">
        <v>104</v>
      </c>
      <c r="BC995" s="1" t="s">
        <v>104</v>
      </c>
      <c r="BE995" s="1" t="s">
        <v>104</v>
      </c>
      <c r="BG995" s="1" t="s">
        <v>104</v>
      </c>
      <c r="BH995" s="1" t="s">
        <v>104</v>
      </c>
      <c r="BI995" s="1" t="s">
        <v>104</v>
      </c>
      <c r="BJ995" s="1" t="s">
        <v>104</v>
      </c>
      <c r="BK995" s="1" t="s">
        <v>104</v>
      </c>
      <c r="BL995" s="1" t="s">
        <v>104</v>
      </c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N996" s="1" t="s">
        <v>104</v>
      </c>
      <c r="AO996" s="1" t="s">
        <v>104</v>
      </c>
      <c r="AP996" s="1" t="s">
        <v>104</v>
      </c>
      <c r="AQ996" s="1" t="s">
        <v>104</v>
      </c>
      <c r="AR996" s="1" t="s">
        <v>104</v>
      </c>
      <c r="AS996" s="1" t="s">
        <v>104</v>
      </c>
      <c r="AU996" s="1" t="s">
        <v>104</v>
      </c>
      <c r="AV996" s="1" t="s">
        <v>104</v>
      </c>
      <c r="AX996" s="1" t="str">
        <f>IFERROR(__xludf.DUMMYFUNCTION("""COMPUTED_VALUE"""),"")</f>
        <v/>
      </c>
      <c r="AZ996" s="1" t="str">
        <f>IFERROR(__xludf.DUMMYFUNCTION("""COMPUTED_VALUE"""),"")</f>
        <v/>
      </c>
      <c r="BB996" s="1" t="s">
        <v>104</v>
      </c>
      <c r="BC996" s="1" t="s">
        <v>104</v>
      </c>
      <c r="BE996" s="1" t="s">
        <v>104</v>
      </c>
      <c r="BG996" s="1" t="s">
        <v>104</v>
      </c>
      <c r="BH996" s="1" t="s">
        <v>104</v>
      </c>
      <c r="BI996" s="1" t="s">
        <v>104</v>
      </c>
      <c r="BJ996" s="1" t="s">
        <v>104</v>
      </c>
      <c r="BK996" s="1" t="s">
        <v>104</v>
      </c>
      <c r="BL996" s="1" t="s">
        <v>104</v>
      </c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N997" s="1" t="s">
        <v>104</v>
      </c>
      <c r="AO997" s="1" t="s">
        <v>104</v>
      </c>
      <c r="AP997" s="1" t="s">
        <v>104</v>
      </c>
      <c r="AQ997" s="1" t="s">
        <v>104</v>
      </c>
      <c r="AR997" s="1" t="s">
        <v>104</v>
      </c>
      <c r="AS997" s="1" t="s">
        <v>104</v>
      </c>
      <c r="AU997" s="1" t="s">
        <v>104</v>
      </c>
      <c r="AV997" s="1" t="s">
        <v>104</v>
      </c>
      <c r="AX997" s="1" t="str">
        <f>IFERROR(__xludf.DUMMYFUNCTION("""COMPUTED_VALUE"""),"")</f>
        <v/>
      </c>
      <c r="AZ997" s="1" t="str">
        <f>IFERROR(__xludf.DUMMYFUNCTION("""COMPUTED_VALUE"""),"")</f>
        <v/>
      </c>
      <c r="BB997" s="1" t="s">
        <v>104</v>
      </c>
      <c r="BC997" s="1" t="s">
        <v>104</v>
      </c>
      <c r="BE997" s="1" t="s">
        <v>104</v>
      </c>
      <c r="BG997" s="1" t="s">
        <v>104</v>
      </c>
      <c r="BH997" s="1" t="s">
        <v>104</v>
      </c>
      <c r="BI997" s="1" t="s">
        <v>104</v>
      </c>
      <c r="BJ997" s="1" t="s">
        <v>104</v>
      </c>
      <c r="BK997" s="1" t="s">
        <v>104</v>
      </c>
      <c r="BL997" s="1" t="s">
        <v>104</v>
      </c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N998" s="1" t="s">
        <v>104</v>
      </c>
      <c r="AO998" s="1" t="s">
        <v>104</v>
      </c>
      <c r="AP998" s="1" t="s">
        <v>104</v>
      </c>
      <c r="AQ998" s="1" t="s">
        <v>104</v>
      </c>
      <c r="AR998" s="1" t="s">
        <v>104</v>
      </c>
      <c r="AS998" s="1" t="s">
        <v>104</v>
      </c>
      <c r="AU998" s="1" t="s">
        <v>104</v>
      </c>
      <c r="AV998" s="1" t="s">
        <v>104</v>
      </c>
      <c r="AX998" s="1" t="str">
        <f>IFERROR(__xludf.DUMMYFUNCTION("""COMPUTED_VALUE"""),"")</f>
        <v/>
      </c>
      <c r="AZ998" s="1" t="str">
        <f>IFERROR(__xludf.DUMMYFUNCTION("""COMPUTED_VALUE"""),"")</f>
        <v/>
      </c>
      <c r="BB998" s="1" t="s">
        <v>104</v>
      </c>
      <c r="BC998" s="1" t="s">
        <v>104</v>
      </c>
      <c r="BE998" s="1" t="s">
        <v>104</v>
      </c>
      <c r="BG998" s="1" t="s">
        <v>104</v>
      </c>
      <c r="BH998" s="1" t="s">
        <v>104</v>
      </c>
      <c r="BI998" s="1" t="s">
        <v>104</v>
      </c>
      <c r="BJ998" s="1" t="s">
        <v>104</v>
      </c>
      <c r="BK998" s="1" t="s">
        <v>104</v>
      </c>
      <c r="BL998" s="1" t="s">
        <v>104</v>
      </c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N999" s="1" t="s">
        <v>104</v>
      </c>
      <c r="AO999" s="1" t="s">
        <v>104</v>
      </c>
      <c r="AP999" s="1" t="s">
        <v>104</v>
      </c>
      <c r="AQ999" s="1" t="s">
        <v>104</v>
      </c>
      <c r="AR999" s="1" t="s">
        <v>104</v>
      </c>
      <c r="AS999" s="1" t="s">
        <v>104</v>
      </c>
      <c r="AU999" s="1" t="s">
        <v>104</v>
      </c>
      <c r="AV999" s="1" t="s">
        <v>104</v>
      </c>
      <c r="AX999" s="1" t="str">
        <f>IFERROR(__xludf.DUMMYFUNCTION("""COMPUTED_VALUE"""),"")</f>
        <v/>
      </c>
      <c r="AZ999" s="1" t="str">
        <f>IFERROR(__xludf.DUMMYFUNCTION("""COMPUTED_VALUE"""),"")</f>
        <v/>
      </c>
      <c r="BB999" s="1" t="s">
        <v>104</v>
      </c>
      <c r="BC999" s="1" t="s">
        <v>104</v>
      </c>
      <c r="BE999" s="1" t="s">
        <v>104</v>
      </c>
      <c r="BG999" s="1" t="s">
        <v>104</v>
      </c>
      <c r="BH999" s="1" t="s">
        <v>104</v>
      </c>
      <c r="BI999" s="1" t="s">
        <v>104</v>
      </c>
      <c r="BJ999" s="1" t="s">
        <v>104</v>
      </c>
      <c r="BK999" s="1" t="s">
        <v>104</v>
      </c>
      <c r="BL999" s="1" t="s">
        <v>104</v>
      </c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N1000" s="1" t="s">
        <v>104</v>
      </c>
      <c r="AO1000" s="1" t="s">
        <v>104</v>
      </c>
      <c r="AP1000" s="1" t="s">
        <v>104</v>
      </c>
      <c r="AQ1000" s="1" t="s">
        <v>104</v>
      </c>
      <c r="AR1000" s="1" t="s">
        <v>104</v>
      </c>
      <c r="AS1000" s="1" t="s">
        <v>104</v>
      </c>
      <c r="AU1000" s="1" t="s">
        <v>104</v>
      </c>
      <c r="AV1000" s="1" t="s">
        <v>104</v>
      </c>
      <c r="AX1000" s="1" t="str">
        <f>IFERROR(__xludf.DUMMYFUNCTION("""COMPUTED_VALUE"""),"")</f>
        <v/>
      </c>
      <c r="AZ1000" s="1" t="str">
        <f>IFERROR(__xludf.DUMMYFUNCTION("""COMPUTED_VALUE"""),"")</f>
        <v/>
      </c>
      <c r="BB1000" s="1" t="s">
        <v>104</v>
      </c>
      <c r="BC1000" s="1" t="s">
        <v>104</v>
      </c>
      <c r="BE1000" s="1" t="s">
        <v>104</v>
      </c>
      <c r="BG1000" s="1" t="s">
        <v>104</v>
      </c>
      <c r="BH1000" s="1" t="s">
        <v>104</v>
      </c>
      <c r="BI1000" s="1" t="s">
        <v>104</v>
      </c>
      <c r="BJ1000" s="1" t="s">
        <v>104</v>
      </c>
      <c r="BK1000" s="1" t="s">
        <v>104</v>
      </c>
      <c r="BL1000" s="1" t="s">
        <v>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IFERROR(__xludf.DUMMYFUNCTION("IMPORTRANGE(""https://docs.google.com/spreadsheets/d/17nDSbOq8pjD5y7HTwiE77nsbddGAU2goxANoQt1pCwU/edit?gid=0#gid=0"",""Sheet1!A2:AB"")"),"ODxjxJ8")</f>
        <v>ODxjxJ8</v>
      </c>
      <c r="B1" s="1" t="str">
        <f>IFERROR(__xludf.DUMMYFUNCTION("""COMPUTED_VALUE"""),"dWdJZkK")</f>
        <v>dWdJZkK</v>
      </c>
      <c r="C1" s="5">
        <f>IFERROR(__xludf.DUMMYFUNCTION("""COMPUTED_VALUE"""),46026.96828703704)</f>
        <v>46026.96829</v>
      </c>
      <c r="D1" s="1" t="str">
        <f>IFERROR(__xludf.DUMMYFUNCTION("""COMPUTED_VALUE"""),"46-55")</f>
        <v>46-55</v>
      </c>
      <c r="E1" s="1" t="str">
        <f>IFERROR(__xludf.DUMMYFUNCTION("""COMPUTED_VALUE"""),"Male")</f>
        <v>Male</v>
      </c>
      <c r="F1" s="1" t="str">
        <f>IFERROR(__xludf.DUMMYFUNCTION("""COMPUTED_VALUE"""),"¥12,000,000 or more")</f>
        <v>¥12,000,000 or more</v>
      </c>
      <c r="G1" s="1" t="str">
        <f>IFERROR(__xludf.DUMMYFUNCTION("""COMPUTED_VALUE"""),"Kanto")</f>
        <v>Kanto</v>
      </c>
      <c r="H1" s="1" t="str">
        <f>IFERROR(__xludf.DUMMYFUNCTION("""COMPUTED_VALUE"""),"Daily")</f>
        <v>Daily</v>
      </c>
      <c r="I1" s="1" t="str">
        <f>IFERROR(__xludf.DUMMYFUNCTION("""COMPUTED_VALUE"""),"Latte")</f>
        <v>Latte</v>
      </c>
      <c r="J1" s="1"/>
      <c r="K1" s="1" t="str">
        <f>IFERROR(__xludf.DUMMYFUNCTION("""COMPUTED_VALUE"""),"Rarely")</f>
        <v>Rarely</v>
      </c>
      <c r="L1" s="1" t="str">
        <f>IFERROR(__xludf.DUMMYFUNCTION("""COMPUTED_VALUE"""),"Other:")</f>
        <v>Other:</v>
      </c>
      <c r="M1" s="1" t="str">
        <f>IFERROR(__xludf.DUMMYFUNCTION("""COMPUTED_VALUE"""),"I don't know!!")</f>
        <v>I don't know!!</v>
      </c>
      <c r="N1" s="1" t="str">
        <f>IFERROR(__xludf.DUMMYFUNCTION("""COMPUTED_VALUE"""),"Routine/Ritual, Social atmosphere")</f>
        <v>Routine/Ritual, Social atmosphere</v>
      </c>
      <c r="O1" s="1"/>
      <c r="P1" s="1" t="str">
        <f>IFERROR(__xludf.DUMMYFUNCTION("""COMPUTED_VALUE"""),"At cafés, At home")</f>
        <v>At cafés, At home</v>
      </c>
      <c r="Q1" s="1"/>
      <c r="R1" s="1" t="str">
        <f>IFERROR(__xludf.DUMMYFUNCTION("""COMPUTED_VALUE"""),"Several times a week")</f>
        <v>Several times a week</v>
      </c>
      <c r="S1" s="1" t="str">
        <f>IFERROR(__xludf.DUMMYFUNCTION("""COMPUTED_VALUE"""),"To relax or take a break")</f>
        <v>To relax or take a break</v>
      </c>
      <c r="T1" s="1"/>
      <c r="U1" s="1" t="str">
        <f>IFERROR(__xludf.DUMMYFUNCTION("""COMPUTED_VALUE"""),"Quality of drinks")</f>
        <v>Quality of drinks</v>
      </c>
      <c r="V1" s="1"/>
      <c r="W1" s="1" t="str">
        <f>IFERROR(__xludf.DUMMYFUNCTION("""COMPUTED_VALUE"""),"Yes, Western")</f>
        <v>Yes, Western</v>
      </c>
      <c r="X1" s="1" t="str">
        <f>IFERROR(__xludf.DUMMYFUNCTION("""COMPUTED_VALUE"""),"Yes,  Japanese")</f>
        <v>Yes,  Japanese</v>
      </c>
      <c r="Y1" s="1">
        <f>IFERROR(__xludf.DUMMYFUNCTION("""COMPUTED_VALUE"""),5.0)</f>
        <v>5</v>
      </c>
      <c r="Z1" s="1">
        <f>IFERROR(__xludf.DUMMYFUNCTION("""COMPUTED_VALUE"""),7.0)</f>
        <v>7</v>
      </c>
      <c r="AA1" s="1">
        <f>IFERROR(__xludf.DUMMYFUNCTION("""COMPUTED_VALUE"""),7.0)</f>
        <v>7</v>
      </c>
      <c r="AB1" s="1" t="str">
        <f>IFERROR(__xludf.DUMMYFUNCTION("""COMPUTED_VALUE"""),"Yes")</f>
        <v>Yes</v>
      </c>
    </row>
    <row r="2">
      <c r="A2" s="1" t="str">
        <f>IFERROR(__xludf.DUMMYFUNCTION("""COMPUTED_VALUE"""),"PdZVGdx")</f>
        <v>PdZVGdx</v>
      </c>
      <c r="B2" s="1" t="str">
        <f>IFERROR(__xludf.DUMMYFUNCTION("""COMPUTED_VALUE"""),"lbdea2N")</f>
        <v>lbdea2N</v>
      </c>
      <c r="C2" s="5">
        <f>IFERROR(__xludf.DUMMYFUNCTION("""COMPUTED_VALUE"""),46030.33025462963)</f>
        <v>46030.33025</v>
      </c>
      <c r="D2" s="1" t="str">
        <f>IFERROR(__xludf.DUMMYFUNCTION("""COMPUTED_VALUE"""),"26-35")</f>
        <v>26-35</v>
      </c>
      <c r="E2" s="1" t="str">
        <f>IFERROR(__xludf.DUMMYFUNCTION("""COMPUTED_VALUE"""),"Male")</f>
        <v>Male</v>
      </c>
      <c r="F2" s="1" t="str">
        <f>IFERROR(__xludf.DUMMYFUNCTION("""COMPUTED_VALUE"""),"¥3,000,000 – ¥5,999,999")</f>
        <v>¥3,000,000 – ¥5,999,999</v>
      </c>
      <c r="G2" s="1" t="str">
        <f>IFERROR(__xludf.DUMMYFUNCTION("""COMPUTED_VALUE"""),"Kanto")</f>
        <v>Kanto</v>
      </c>
      <c r="H2" s="1" t="str">
        <f>IFERROR(__xludf.DUMMYFUNCTION("""COMPUTED_VALUE"""),"Daily")</f>
        <v>Daily</v>
      </c>
      <c r="I2" s="1" t="str">
        <f>IFERROR(__xludf.DUMMYFUNCTION("""COMPUTED_VALUE"""),"Pour Over")</f>
        <v>Pour Over</v>
      </c>
      <c r="J2" s="1"/>
      <c r="K2" s="1" t="str">
        <f>IFERROR(__xludf.DUMMYFUNCTION("""COMPUTED_VALUE"""),"Rarely")</f>
        <v>Rarely</v>
      </c>
      <c r="L2" s="1" t="str">
        <f>IFERROR(__xludf.DUMMYFUNCTION("""COMPUTED_VALUE"""),"I don’t drink matcha")</f>
        <v>I don’t drink matcha</v>
      </c>
      <c r="M2" s="1"/>
      <c r="N2" s="1" t="str">
        <f>IFERROR(__xludf.DUMMYFUNCTION("""COMPUTED_VALUE"""),"Taste/Flavor")</f>
        <v>Taste/Flavor</v>
      </c>
      <c r="O2" s="1"/>
      <c r="P2" s="1" t="str">
        <f>IFERROR(__xludf.DUMMYFUNCTION("""COMPUTED_VALUE"""),"At home")</f>
        <v>At home</v>
      </c>
      <c r="Q2" s="1"/>
      <c r="R2" s="1" t="str">
        <f>IFERROR(__xludf.DUMMYFUNCTION("""COMPUTED_VALUE"""),"Every day")</f>
        <v>Every day</v>
      </c>
      <c r="S2" s="1" t="str">
        <f>IFERROR(__xludf.DUMMYFUNCTION("""COMPUTED_VALUE"""),"To relax or take a break")</f>
        <v>To relax or take a break</v>
      </c>
      <c r="T2" s="1"/>
      <c r="U2" s="1" t="str">
        <f>IFERROR(__xludf.DUMMYFUNCTION("""COMPUTED_VALUE"""),"Quality of drinks")</f>
        <v>Quality of drinks</v>
      </c>
      <c r="V2" s="1"/>
      <c r="W2" s="1" t="str">
        <f>IFERROR(__xludf.DUMMYFUNCTION("""COMPUTED_VALUE"""),"Yes, Global")</f>
        <v>Yes, Global</v>
      </c>
      <c r="X2" s="1" t="str">
        <f>IFERROR(__xludf.DUMMYFUNCTION("""COMPUTED_VALUE"""),"Yes, Western")</f>
        <v>Yes, Western</v>
      </c>
      <c r="Y2" s="1">
        <f>IFERROR(__xludf.DUMMYFUNCTION("""COMPUTED_VALUE"""),6.0)</f>
        <v>6</v>
      </c>
      <c r="Z2" s="1">
        <f>IFERROR(__xludf.DUMMYFUNCTION("""COMPUTED_VALUE"""),4.0)</f>
        <v>4</v>
      </c>
      <c r="AA2" s="1">
        <f>IFERROR(__xludf.DUMMYFUNCTION("""COMPUTED_VALUE"""),6.0)</f>
        <v>6</v>
      </c>
      <c r="AB2" s="1" t="str">
        <f>IFERROR(__xludf.DUMMYFUNCTION("""COMPUTED_VALUE"""),"No")</f>
        <v>No</v>
      </c>
    </row>
    <row r="3">
      <c r="A3" s="1" t="str">
        <f>IFERROR(__xludf.DUMMYFUNCTION("""COMPUTED_VALUE"""),"ODxONvY")</f>
        <v>ODxONvY</v>
      </c>
      <c r="B3" s="1" t="str">
        <f>IFERROR(__xludf.DUMMYFUNCTION("""COMPUTED_VALUE"""),"KYl5lEM")</f>
        <v>KYl5lEM</v>
      </c>
      <c r="C3" s="5">
        <f>IFERROR(__xludf.DUMMYFUNCTION("""COMPUTED_VALUE"""),46030.37069444444)</f>
        <v>46030.37069</v>
      </c>
      <c r="D3" s="1" t="str">
        <f>IFERROR(__xludf.DUMMYFUNCTION("""COMPUTED_VALUE"""),"36-45")</f>
        <v>36-45</v>
      </c>
      <c r="E3" s="1" t="str">
        <f>IFERROR(__xludf.DUMMYFUNCTION("""COMPUTED_VALUE"""),"Male")</f>
        <v>Male</v>
      </c>
      <c r="F3" s="1" t="str">
        <f>IFERROR(__xludf.DUMMYFUNCTION("""COMPUTED_VALUE"""),"¥3,000,000 – ¥5,999,999")</f>
        <v>¥3,000,000 – ¥5,999,999</v>
      </c>
      <c r="G3" s="1" t="str">
        <f>IFERROR(__xludf.DUMMYFUNCTION("""COMPUTED_VALUE"""),"Kanto")</f>
        <v>Kanto</v>
      </c>
      <c r="H3" s="1" t="str">
        <f>IFERROR(__xludf.DUMMYFUNCTION("""COMPUTED_VALUE"""),"Daily")</f>
        <v>Daily</v>
      </c>
      <c r="I3" s="1" t="str">
        <f>IFERROR(__xludf.DUMMYFUNCTION("""COMPUTED_VALUE"""),"Latte")</f>
        <v>Latte</v>
      </c>
      <c r="J3" s="1"/>
      <c r="K3" s="1" t="str">
        <f>IFERROR(__xludf.DUMMYFUNCTION("""COMPUTED_VALUE"""),"Once a week")</f>
        <v>Once a week</v>
      </c>
      <c r="L3" s="1" t="str">
        <f>IFERROR(__xludf.DUMMYFUNCTION("""COMPUTED_VALUE"""),"Matcha Latte")</f>
        <v>Matcha Latte</v>
      </c>
      <c r="M3" s="1"/>
      <c r="N3" s="1" t="str">
        <f>IFERROR(__xludf.DUMMYFUNCTION("""COMPUTED_VALUE"""),"Taste/Flavor")</f>
        <v>Taste/Flavor</v>
      </c>
      <c r="O3" s="1" t="str">
        <f>IFERROR(__xludf.DUMMYFUNCTION("""COMPUTED_VALUE"""),"What the shop is famous for")</f>
        <v>What the shop is famous for</v>
      </c>
      <c r="P3" s="1" t="str">
        <f>IFERROR(__xludf.DUMMYFUNCTION("""COMPUTED_VALUE"""),"At cafés")</f>
        <v>At cafés</v>
      </c>
      <c r="Q3" s="1"/>
      <c r="R3" s="1" t="str">
        <f>IFERROR(__xludf.DUMMYFUNCTION("""COMPUTED_VALUE"""),"Once a week")</f>
        <v>Once a week</v>
      </c>
      <c r="S3" s="1" t="str">
        <f>IFERROR(__xludf.DUMMYFUNCTION("""COMPUTED_VALUE"""),"To relax or take a break")</f>
        <v>To relax or take a break</v>
      </c>
      <c r="T3" s="1"/>
      <c r="U3" s="1" t="str">
        <f>IFERROR(__xludf.DUMMYFUNCTION("""COMPUTED_VALUE"""),"Quality of drinks")</f>
        <v>Quality of drinks</v>
      </c>
      <c r="V3" s="1"/>
      <c r="W3" s="1" t="str">
        <f>IFERROR(__xludf.DUMMYFUNCTION("""COMPUTED_VALUE"""),"Yes, Global")</f>
        <v>Yes, Global</v>
      </c>
      <c r="X3" s="1" t="str">
        <f>IFERROR(__xludf.DUMMYFUNCTION("""COMPUTED_VALUE"""),"Yes, Western")</f>
        <v>Yes, Western</v>
      </c>
      <c r="Y3" s="1">
        <f>IFERROR(__xludf.DUMMYFUNCTION("""COMPUTED_VALUE"""),7.0)</f>
        <v>7</v>
      </c>
      <c r="Z3" s="1">
        <f>IFERROR(__xludf.DUMMYFUNCTION("""COMPUTED_VALUE"""),7.0)</f>
        <v>7</v>
      </c>
      <c r="AA3" s="1">
        <f>IFERROR(__xludf.DUMMYFUNCTION("""COMPUTED_VALUE"""),7.0)</f>
        <v>7</v>
      </c>
      <c r="AB3" s="1" t="str">
        <f>IFERROR(__xludf.DUMMYFUNCTION("""COMPUTED_VALUE"""),"No")</f>
        <v>No</v>
      </c>
    </row>
    <row r="4">
      <c r="A4" s="1" t="str">
        <f>IFERROR(__xludf.DUMMYFUNCTION("""COMPUTED_VALUE"""),"44VXbKA")</f>
        <v>44VXbKA</v>
      </c>
      <c r="B4" s="1" t="str">
        <f>IFERROR(__xludf.DUMMYFUNCTION("""COMPUTED_VALUE"""),"xXaJrqk")</f>
        <v>xXaJrqk</v>
      </c>
      <c r="C4" s="5">
        <f>IFERROR(__xludf.DUMMYFUNCTION("""COMPUTED_VALUE"""),46030.72068287037)</f>
        <v>46030.72068</v>
      </c>
      <c r="D4" s="1" t="str">
        <f>IFERROR(__xludf.DUMMYFUNCTION("""COMPUTED_VALUE"""),"46-55")</f>
        <v>46-55</v>
      </c>
      <c r="E4" s="1" t="str">
        <f>IFERROR(__xludf.DUMMYFUNCTION("""COMPUTED_VALUE"""),"Female")</f>
        <v>Female</v>
      </c>
      <c r="F4" s="1" t="str">
        <f>IFERROR(__xludf.DUMMYFUNCTION("""COMPUTED_VALUE"""),"¥12,000,000 or more")</f>
        <v>¥12,000,000 or more</v>
      </c>
      <c r="G4" s="1" t="str">
        <f>IFERROR(__xludf.DUMMYFUNCTION("""COMPUTED_VALUE"""),"Kanto")</f>
        <v>Kanto</v>
      </c>
      <c r="H4" s="1" t="str">
        <f>IFERROR(__xludf.DUMMYFUNCTION("""COMPUTED_VALUE"""),"Daily")</f>
        <v>Daily</v>
      </c>
      <c r="I4" s="1" t="str">
        <f>IFERROR(__xludf.DUMMYFUNCTION("""COMPUTED_VALUE"""),"Pour Over")</f>
        <v>Pour Over</v>
      </c>
      <c r="J4" s="1"/>
      <c r="K4" s="1" t="str">
        <f>IFERROR(__xludf.DUMMYFUNCTION("""COMPUTED_VALUE"""),"Rarely")</f>
        <v>Rarely</v>
      </c>
      <c r="L4" s="1" t="str">
        <f>IFERROR(__xludf.DUMMYFUNCTION("""COMPUTED_VALUE"""),"Matcha Latte")</f>
        <v>Matcha Latte</v>
      </c>
      <c r="M4" s="1"/>
      <c r="N4" s="1" t="str">
        <f>IFERROR(__xludf.DUMMYFUNCTION("""COMPUTED_VALUE"""),"Taste/Flavor")</f>
        <v>Taste/Flavor</v>
      </c>
      <c r="O4" s="1"/>
      <c r="P4" s="1" t="str">
        <f>IFERROR(__xludf.DUMMYFUNCTION("""COMPUTED_VALUE"""),"At home")</f>
        <v>At home</v>
      </c>
      <c r="Q4" s="1"/>
      <c r="R4" s="1" t="str">
        <f>IFERROR(__xludf.DUMMYFUNCTION("""COMPUTED_VALUE"""),"A few times a month")</f>
        <v>A few times a month</v>
      </c>
      <c r="S4" s="1" t="str">
        <f>IFERROR(__xludf.DUMMYFUNCTION("""COMPUTED_VALUE"""),"To meet friends")</f>
        <v>To meet friends</v>
      </c>
      <c r="T4" s="1"/>
      <c r="U4" s="1" t="str">
        <f>IFERROR(__xludf.DUMMYFUNCTION("""COMPUTED_VALUE"""),"Atmosphere")</f>
        <v>Atmosphere</v>
      </c>
      <c r="V4" s="1"/>
      <c r="W4" s="1" t="str">
        <f>IFERROR(__xludf.DUMMYFUNCTION("""COMPUTED_VALUE"""),"Yes, Global")</f>
        <v>Yes, Global</v>
      </c>
      <c r="X4" s="1" t="str">
        <f>IFERROR(__xludf.DUMMYFUNCTION("""COMPUTED_VALUE"""),"Yes,  Japanese")</f>
        <v>Yes,  Japanese</v>
      </c>
      <c r="Y4" s="1">
        <f>IFERROR(__xludf.DUMMYFUNCTION("""COMPUTED_VALUE"""),7.0)</f>
        <v>7</v>
      </c>
      <c r="Z4" s="1">
        <f>IFERROR(__xludf.DUMMYFUNCTION("""COMPUTED_VALUE"""),7.0)</f>
        <v>7</v>
      </c>
      <c r="AA4" s="1">
        <f>IFERROR(__xludf.DUMMYFUNCTION("""COMPUTED_VALUE"""),7.0)</f>
        <v>7</v>
      </c>
      <c r="AB4" s="1" t="str">
        <f>IFERROR(__xludf.DUMMYFUNCTION("""COMPUTED_VALUE"""),"Yes")</f>
        <v>Yes</v>
      </c>
    </row>
    <row r="5">
      <c r="A5" s="1" t="str">
        <f>IFERROR(__xludf.DUMMYFUNCTION("""COMPUTED_VALUE"""),"kdBll9e")</f>
        <v>kdBll9e</v>
      </c>
      <c r="B5" s="1" t="str">
        <f>IFERROR(__xludf.DUMMYFUNCTION("""COMPUTED_VALUE"""),"NpWo9Wb")</f>
        <v>NpWo9Wb</v>
      </c>
      <c r="C5" s="5">
        <f>IFERROR(__xludf.DUMMYFUNCTION("""COMPUTED_VALUE"""),46031.07336805556)</f>
        <v>46031.07337</v>
      </c>
      <c r="D5" s="1" t="str">
        <f>IFERROR(__xludf.DUMMYFUNCTION("""COMPUTED_VALUE"""),"56-65")</f>
        <v>56-65</v>
      </c>
      <c r="E5" s="1" t="str">
        <f>IFERROR(__xludf.DUMMYFUNCTION("""COMPUTED_VALUE"""),"Male")</f>
        <v>Male</v>
      </c>
      <c r="F5" s="1" t="str">
        <f>IFERROR(__xludf.DUMMYFUNCTION("""COMPUTED_VALUE"""),"Prefer not to say")</f>
        <v>Prefer not to say</v>
      </c>
      <c r="G5" s="1" t="str">
        <f>IFERROR(__xludf.DUMMYFUNCTION("""COMPUTED_VALUE"""),"Kanto")</f>
        <v>Kanto</v>
      </c>
      <c r="H5" s="1" t="str">
        <f>IFERROR(__xludf.DUMMYFUNCTION("""COMPUTED_VALUE"""),"Daily")</f>
        <v>Daily</v>
      </c>
      <c r="I5" s="1" t="str">
        <f>IFERROR(__xludf.DUMMYFUNCTION("""COMPUTED_VALUE"""),"Drip")</f>
        <v>Drip</v>
      </c>
      <c r="J5" s="1"/>
      <c r="K5" s="1" t="str">
        <f>IFERROR(__xludf.DUMMYFUNCTION("""COMPUTED_VALUE"""),"Rarely")</f>
        <v>Rarely</v>
      </c>
      <c r="L5" s="1"/>
      <c r="M5" s="1"/>
      <c r="N5" s="1" t="str">
        <f>IFERROR(__xludf.DUMMYFUNCTION("""COMPUTED_VALUE"""),"It is never really a choice; I just drink coffee")</f>
        <v>It is never really a choice; I just drink coffee</v>
      </c>
      <c r="O5" s="1"/>
      <c r="P5" s="1" t="str">
        <f>IFERROR(__xludf.DUMMYFUNCTION("""COMPUTED_VALUE"""),"At home")</f>
        <v>At home</v>
      </c>
      <c r="Q5" s="1"/>
      <c r="R5" s="1" t="str">
        <f>IFERROR(__xludf.DUMMYFUNCTION("""COMPUTED_VALUE"""),"A few times a month")</f>
        <v>A few times a month</v>
      </c>
      <c r="S5" s="1" t="str">
        <f>IFERROR(__xludf.DUMMYFUNCTION("""COMPUTED_VALUE"""),"Other:")</f>
        <v>Other:</v>
      </c>
      <c r="T5" s="1" t="str">
        <f>IFERROR(__xludf.DUMMYFUNCTION("""COMPUTED_VALUE"""),"To spend time when I am out and have a gap between obligations")</f>
        <v>To spend time when I am out and have a gap between obligations</v>
      </c>
      <c r="U5" s="1" t="str">
        <f>IFERROR(__xludf.DUMMYFUNCTION("""COMPUTED_VALUE"""),"Atmosphere")</f>
        <v>Atmosphere</v>
      </c>
      <c r="V5" s="1"/>
      <c r="W5" s="1" t="str">
        <f>IFERROR(__xludf.DUMMYFUNCTION("""COMPUTED_VALUE"""),"No")</f>
        <v>No</v>
      </c>
      <c r="X5" s="1" t="str">
        <f>IFERROR(__xludf.DUMMYFUNCTION("""COMPUTED_VALUE"""),"Yes,  Japanese")</f>
        <v>Yes,  Japanese</v>
      </c>
      <c r="Y5" s="1">
        <f>IFERROR(__xludf.DUMMYFUNCTION("""COMPUTED_VALUE"""),5.0)</f>
        <v>5</v>
      </c>
      <c r="Z5" s="1">
        <f>IFERROR(__xludf.DUMMYFUNCTION("""COMPUTED_VALUE"""),7.0)</f>
        <v>7</v>
      </c>
      <c r="AA5" s="1">
        <f>IFERROR(__xludf.DUMMYFUNCTION("""COMPUTED_VALUE"""),6.0)</f>
        <v>6</v>
      </c>
      <c r="AB5" s="1" t="str">
        <f>IFERROR(__xludf.DUMMYFUNCTION("""COMPUTED_VALUE"""),"Yes")</f>
        <v>Yes</v>
      </c>
    </row>
    <row r="6">
      <c r="A6" s="1" t="str">
        <f>IFERROR(__xludf.DUMMYFUNCTION("""COMPUTED_VALUE"""),"gD6aqNP")</f>
        <v>gD6aqNP</v>
      </c>
      <c r="B6" s="1" t="str">
        <f>IFERROR(__xludf.DUMMYFUNCTION("""COMPUTED_VALUE"""),"9qDQY95")</f>
        <v>9qDQY95</v>
      </c>
      <c r="C6" s="5">
        <f>IFERROR(__xludf.DUMMYFUNCTION("""COMPUTED_VALUE"""),46031.08563657408)</f>
        <v>46031.08564</v>
      </c>
      <c r="D6" s="1" t="str">
        <f>IFERROR(__xludf.DUMMYFUNCTION("""COMPUTED_VALUE"""),"36-45")</f>
        <v>36-45</v>
      </c>
      <c r="E6" s="1" t="str">
        <f>IFERROR(__xludf.DUMMYFUNCTION("""COMPUTED_VALUE"""),"Female")</f>
        <v>Female</v>
      </c>
      <c r="F6" s="1" t="str">
        <f>IFERROR(__xludf.DUMMYFUNCTION("""COMPUTED_VALUE"""),"¥12,000,000 or more")</f>
        <v>¥12,000,000 or more</v>
      </c>
      <c r="G6" s="1" t="str">
        <f>IFERROR(__xludf.DUMMYFUNCTION("""COMPUTED_VALUE"""),"Kanto")</f>
        <v>Kanto</v>
      </c>
      <c r="H6" s="1" t="str">
        <f>IFERROR(__xludf.DUMMYFUNCTION("""COMPUTED_VALUE"""),"Rarely")</f>
        <v>Rarely</v>
      </c>
      <c r="I6" s="1" t="str">
        <f>IFERROR(__xludf.DUMMYFUNCTION("""COMPUTED_VALUE"""),"Cappuccino")</f>
        <v>Cappuccino</v>
      </c>
      <c r="J6" s="1"/>
      <c r="K6" s="1" t="str">
        <f>IFERROR(__xludf.DUMMYFUNCTION("""COMPUTED_VALUE"""),"Rarely")</f>
        <v>Rarely</v>
      </c>
      <c r="L6" s="1" t="str">
        <f>IFERROR(__xludf.DUMMYFUNCTION("""COMPUTED_VALUE"""),"Usucha")</f>
        <v>Usucha</v>
      </c>
      <c r="M6" s="1"/>
      <c r="N6" s="1" t="str">
        <f>IFERROR(__xludf.DUMMYFUNCTION("""COMPUTED_VALUE"""),"Social norms / influence (what people around me usually drink), Routine/Ritual")</f>
        <v>Social norms / influence (what people around me usually drink), Routine/Ritual</v>
      </c>
      <c r="O6" s="1"/>
      <c r="P6" s="1" t="str">
        <f>IFERROR(__xludf.DUMMYFUNCTION("""COMPUTED_VALUE"""),"At cafés")</f>
        <v>At cafés</v>
      </c>
      <c r="Q6" s="1"/>
      <c r="R6" s="1" t="str">
        <f>IFERROR(__xludf.DUMMYFUNCTION("""COMPUTED_VALUE"""),"A few times a month")</f>
        <v>A few times a month</v>
      </c>
      <c r="S6" s="1" t="str">
        <f>IFERROR(__xludf.DUMMYFUNCTION("""COMPUTED_VALUE"""),"To meet friends")</f>
        <v>To meet friends</v>
      </c>
      <c r="T6" s="1"/>
      <c r="U6" s="1" t="str">
        <f>IFERROR(__xludf.DUMMYFUNCTION("""COMPUTED_VALUE"""),"Atmosphere")</f>
        <v>Atmosphere</v>
      </c>
      <c r="V6" s="1"/>
      <c r="W6" s="1" t="str">
        <f>IFERROR(__xludf.DUMMYFUNCTION("""COMPUTED_VALUE"""),"Yes, Global")</f>
        <v>Yes, Global</v>
      </c>
      <c r="X6" s="1" t="str">
        <f>IFERROR(__xludf.DUMMYFUNCTION("""COMPUTED_VALUE"""),"Yes,  Japanese")</f>
        <v>Yes,  Japanese</v>
      </c>
      <c r="Y6" s="1">
        <f>IFERROR(__xludf.DUMMYFUNCTION("""COMPUTED_VALUE"""),6.0)</f>
        <v>6</v>
      </c>
      <c r="Z6" s="1">
        <f>IFERROR(__xludf.DUMMYFUNCTION("""COMPUTED_VALUE"""),7.0)</f>
        <v>7</v>
      </c>
      <c r="AA6" s="1">
        <f>IFERROR(__xludf.DUMMYFUNCTION("""COMPUTED_VALUE"""),5.0)</f>
        <v>5</v>
      </c>
      <c r="AB6" s="1" t="str">
        <f>IFERROR(__xludf.DUMMYFUNCTION("""COMPUTED_VALUE"""),"No")</f>
        <v>No</v>
      </c>
    </row>
    <row r="7">
      <c r="A7" s="1" t="str">
        <f>IFERROR(__xludf.DUMMYFUNCTION("""COMPUTED_VALUE"""),"jaAyLo6")</f>
        <v>jaAyLo6</v>
      </c>
      <c r="B7" s="1" t="str">
        <f>IFERROR(__xludf.DUMMYFUNCTION("""COMPUTED_VALUE"""),"QK50r8A")</f>
        <v>QK50r8A</v>
      </c>
      <c r="C7" s="5">
        <f>IFERROR(__xludf.DUMMYFUNCTION("""COMPUTED_VALUE"""),46032.075902777775)</f>
        <v>46032.0759</v>
      </c>
      <c r="D7" s="1" t="str">
        <f>IFERROR(__xludf.DUMMYFUNCTION("""COMPUTED_VALUE"""),"26-35")</f>
        <v>26-35</v>
      </c>
      <c r="E7" s="1" t="str">
        <f>IFERROR(__xludf.DUMMYFUNCTION("""COMPUTED_VALUE"""),"Female")</f>
        <v>Female</v>
      </c>
      <c r="F7" s="1" t="str">
        <f>IFERROR(__xludf.DUMMYFUNCTION("""COMPUTED_VALUE"""),"¥3,000,000 – ¥5,999,999")</f>
        <v>¥3,000,000 – ¥5,999,999</v>
      </c>
      <c r="G7" s="1" t="str">
        <f>IFERROR(__xludf.DUMMYFUNCTION("""COMPUTED_VALUE"""),"Kanto")</f>
        <v>Kanto</v>
      </c>
      <c r="H7" s="1" t="str">
        <f>IFERROR(__xludf.DUMMYFUNCTION("""COMPUTED_VALUE"""),"Daily")</f>
        <v>Daily</v>
      </c>
      <c r="I7" s="1" t="str">
        <f>IFERROR(__xludf.DUMMYFUNCTION("""COMPUTED_VALUE"""),"Drip")</f>
        <v>Drip</v>
      </c>
      <c r="J7" s="1"/>
      <c r="K7" s="1" t="str">
        <f>IFERROR(__xludf.DUMMYFUNCTION("""COMPUTED_VALUE"""),"Rarely")</f>
        <v>Rarely</v>
      </c>
      <c r="L7" s="1" t="str">
        <f>IFERROR(__xludf.DUMMYFUNCTION("""COMPUTED_VALUE"""),"Other:")</f>
        <v>Other:</v>
      </c>
      <c r="M7" s="1" t="str">
        <f>IFERROR(__xludf.DUMMYFUNCTION("""COMPUTED_VALUE"""),"I drink dark sencha (green tea) at home several times a week but matcha only with friends who are visiting ")</f>
        <v>I drink dark sencha (green tea) at home several times a week but matcha only with friends who are visiting </v>
      </c>
      <c r="N7" s="1" t="str">
        <f>IFERROR(__xludf.DUMMYFUNCTION("""COMPUTED_VALUE"""),"Routine/Ritual")</f>
        <v>Routine/Ritual</v>
      </c>
      <c r="O7" s="1"/>
      <c r="P7" s="1" t="str">
        <f>IFERROR(__xludf.DUMMYFUNCTION("""COMPUTED_VALUE"""),"At home, At cafés, From convenience stores (7-Eleven, Lawson, etc.), From vending machines")</f>
        <v>At home, At cafés, From convenience stores (7-Eleven, Lawson, etc.), From vending machines</v>
      </c>
      <c r="Q7" s="1"/>
      <c r="R7" s="1" t="str">
        <f>IFERROR(__xludf.DUMMYFUNCTION("""COMPUTED_VALUE"""),"Several times a week")</f>
        <v>Several times a week</v>
      </c>
      <c r="S7" s="1" t="str">
        <f>IFERROR(__xludf.DUMMYFUNCTION("""COMPUTED_VALUE"""),"To relax or take a break")</f>
        <v>To relax or take a break</v>
      </c>
      <c r="T7" s="1"/>
      <c r="U7" s="1" t="str">
        <f>IFERROR(__xludf.DUMMYFUNCTION("""COMPUTED_VALUE"""),"Atmosphere")</f>
        <v>Atmosphere</v>
      </c>
      <c r="V7" s="1"/>
      <c r="W7" s="1" t="str">
        <f>IFERROR(__xludf.DUMMYFUNCTION("""COMPUTED_VALUE"""),"Yes, Global")</f>
        <v>Yes, Global</v>
      </c>
      <c r="X7" s="1" t="str">
        <f>IFERROR(__xludf.DUMMYFUNCTION("""COMPUTED_VALUE"""),"Yes, Western")</f>
        <v>Yes, Western</v>
      </c>
      <c r="Y7" s="1">
        <f>IFERROR(__xludf.DUMMYFUNCTION("""COMPUTED_VALUE"""),7.0)</f>
        <v>7</v>
      </c>
      <c r="Z7" s="1">
        <f>IFERROR(__xludf.DUMMYFUNCTION("""COMPUTED_VALUE"""),6.0)</f>
        <v>6</v>
      </c>
      <c r="AA7" s="1">
        <f>IFERROR(__xludf.DUMMYFUNCTION("""COMPUTED_VALUE"""),7.0)</f>
        <v>7</v>
      </c>
      <c r="AB7" s="1" t="str">
        <f>IFERROR(__xludf.DUMMYFUNCTION("""COMPUTED_VALUE"""),"Yes")</f>
        <v>Yes</v>
      </c>
    </row>
    <row r="8">
      <c r="A8" s="1" t="str">
        <f>IFERROR(__xludf.DUMMYFUNCTION("""COMPUTED_VALUE"""),"2EGLdp9")</f>
        <v>2EGLdp9</v>
      </c>
      <c r="B8" s="1" t="str">
        <f>IFERROR(__xludf.DUMMYFUNCTION("""COMPUTED_VALUE"""),"jaQWdA9")</f>
        <v>jaQWdA9</v>
      </c>
      <c r="C8" s="5">
        <f>IFERROR(__xludf.DUMMYFUNCTION("""COMPUTED_VALUE"""),46032.78150462963)</f>
        <v>46032.7815</v>
      </c>
      <c r="D8" s="1" t="str">
        <f>IFERROR(__xludf.DUMMYFUNCTION("""COMPUTED_VALUE"""),"36-45")</f>
        <v>36-45</v>
      </c>
      <c r="E8" s="1" t="str">
        <f>IFERROR(__xludf.DUMMYFUNCTION("""COMPUTED_VALUE"""),"Female")</f>
        <v>Female</v>
      </c>
      <c r="F8" s="1" t="str">
        <f>IFERROR(__xludf.DUMMYFUNCTION("""COMPUTED_VALUE"""),"¥6,000,000 – ¥8,999,999")</f>
        <v>¥6,000,000 – ¥8,999,999</v>
      </c>
      <c r="G8" s="1" t="str">
        <f>IFERROR(__xludf.DUMMYFUNCTION("""COMPUTED_VALUE"""),"Kanto")</f>
        <v>Kanto</v>
      </c>
      <c r="H8" s="1" t="str">
        <f>IFERROR(__xludf.DUMMYFUNCTION("""COMPUTED_VALUE"""),"Several times a week")</f>
        <v>Several times a week</v>
      </c>
      <c r="I8" s="1" t="str">
        <f>IFERROR(__xludf.DUMMYFUNCTION("""COMPUTED_VALUE"""),"Cappuccino")</f>
        <v>Cappuccino</v>
      </c>
      <c r="J8" s="1"/>
      <c r="K8" s="1" t="str">
        <f>IFERROR(__xludf.DUMMYFUNCTION("""COMPUTED_VALUE"""),"Rarely")</f>
        <v>Rarely</v>
      </c>
      <c r="L8" s="1" t="str">
        <f>IFERROR(__xludf.DUMMYFUNCTION("""COMPUTED_VALUE"""),"I don’t drink matcha")</f>
        <v>I don’t drink matcha</v>
      </c>
      <c r="M8" s="1"/>
      <c r="N8" s="1" t="str">
        <f>IFERROR(__xludf.DUMMYFUNCTION("""COMPUTED_VALUE"""),"To try new things")</f>
        <v>To try new things</v>
      </c>
      <c r="O8" s="1"/>
      <c r="P8" s="1" t="str">
        <f>IFERROR(__xludf.DUMMYFUNCTION("""COMPUTED_VALUE"""),"At cafés")</f>
        <v>At cafés</v>
      </c>
      <c r="Q8" s="1"/>
      <c r="R8" s="1" t="str">
        <f>IFERROR(__xludf.DUMMYFUNCTION("""COMPUTED_VALUE"""),"Once a week")</f>
        <v>Once a week</v>
      </c>
      <c r="S8" s="1" t="str">
        <f>IFERROR(__xludf.DUMMYFUNCTION("""COMPUTED_VALUE"""),"To study/work")</f>
        <v>To study/work</v>
      </c>
      <c r="T8" s="1"/>
      <c r="U8" s="1" t="str">
        <f>IFERROR(__xludf.DUMMYFUNCTION("""COMPUTED_VALUE"""),"Quality of drinks")</f>
        <v>Quality of drinks</v>
      </c>
      <c r="V8" s="1"/>
      <c r="W8" s="1" t="str">
        <f>IFERROR(__xludf.DUMMYFUNCTION("""COMPUTED_VALUE"""),"No")</f>
        <v>No</v>
      </c>
      <c r="X8" s="1" t="str">
        <f>IFERROR(__xludf.DUMMYFUNCTION("""COMPUTED_VALUE"""),"Yes,  Japanese")</f>
        <v>Yes,  Japanese</v>
      </c>
      <c r="Y8" s="1">
        <f>IFERROR(__xludf.DUMMYFUNCTION("""COMPUTED_VALUE"""),6.0)</f>
        <v>6</v>
      </c>
      <c r="Z8" s="1">
        <f>IFERROR(__xludf.DUMMYFUNCTION("""COMPUTED_VALUE"""),4.0)</f>
        <v>4</v>
      </c>
      <c r="AA8" s="1">
        <f>IFERROR(__xludf.DUMMYFUNCTION("""COMPUTED_VALUE"""),6.0)</f>
        <v>6</v>
      </c>
      <c r="AB8" s="1" t="str">
        <f>IFERROR(__xludf.DUMMYFUNCTION("""COMPUTED_VALUE"""),"No")</f>
        <v>No</v>
      </c>
    </row>
    <row r="9">
      <c r="A9" s="1" t="str">
        <f>IFERROR(__xludf.DUMMYFUNCTION("""COMPUTED_VALUE"""),"GxAD4Ep")</f>
        <v>GxAD4Ep</v>
      </c>
      <c r="B9" s="1" t="str">
        <f>IFERROR(__xludf.DUMMYFUNCTION("""COMPUTED_VALUE"""),"MezJll8")</f>
        <v>MezJll8</v>
      </c>
      <c r="C9" s="5">
        <f>IFERROR(__xludf.DUMMYFUNCTION("""COMPUTED_VALUE"""),46032.9597337963)</f>
        <v>46032.95973</v>
      </c>
      <c r="D9" s="1" t="str">
        <f>IFERROR(__xludf.DUMMYFUNCTION("""COMPUTED_VALUE"""),"46-55")</f>
        <v>46-55</v>
      </c>
      <c r="E9" s="1" t="str">
        <f>IFERROR(__xludf.DUMMYFUNCTION("""COMPUTED_VALUE"""),"Female")</f>
        <v>Female</v>
      </c>
      <c r="F9" s="1" t="str">
        <f>IFERROR(__xludf.DUMMYFUNCTION("""COMPUTED_VALUE"""),"¥12,000,000 or more")</f>
        <v>¥12,000,000 or more</v>
      </c>
      <c r="G9" s="1" t="str">
        <f>IFERROR(__xludf.DUMMYFUNCTION("""COMPUTED_VALUE"""),"Kanto")</f>
        <v>Kanto</v>
      </c>
      <c r="H9" s="1" t="str">
        <f>IFERROR(__xludf.DUMMYFUNCTION("""COMPUTED_VALUE"""),"Once a week")</f>
        <v>Once a week</v>
      </c>
      <c r="I9" s="1" t="str">
        <f>IFERROR(__xludf.DUMMYFUNCTION("""COMPUTED_VALUE"""),"Latte")</f>
        <v>Latte</v>
      </c>
      <c r="J9" s="1"/>
      <c r="K9" s="1" t="str">
        <f>IFERROR(__xludf.DUMMYFUNCTION("""COMPUTED_VALUE"""),"Rarely")</f>
        <v>Rarely</v>
      </c>
      <c r="L9" s="1" t="str">
        <f>IFERROR(__xludf.DUMMYFUNCTION("""COMPUTED_VALUE"""),"Koicha")</f>
        <v>Koicha</v>
      </c>
      <c r="M9" s="1"/>
      <c r="N9" s="1" t="str">
        <f>IFERROR(__xludf.DUMMYFUNCTION("""COMPUTED_VALUE"""),"Taste/Flavor, Health benefits")</f>
        <v>Taste/Flavor, Health benefits</v>
      </c>
      <c r="O9" s="1"/>
      <c r="P9" s="1" t="str">
        <f>IFERROR(__xludf.DUMMYFUNCTION("""COMPUTED_VALUE"""),"At cafés, At home")</f>
        <v>At cafés, At home</v>
      </c>
      <c r="Q9" s="1"/>
      <c r="R9" s="1" t="str">
        <f>IFERROR(__xludf.DUMMYFUNCTION("""COMPUTED_VALUE"""),"Once a week")</f>
        <v>Once a week</v>
      </c>
      <c r="S9" s="1" t="str">
        <f>IFERROR(__xludf.DUMMYFUNCTION("""COMPUTED_VALUE"""),"To try a new drink")</f>
        <v>To try a new drink</v>
      </c>
      <c r="T9" s="1"/>
      <c r="U9" s="1" t="str">
        <f>IFERROR(__xludf.DUMMYFUNCTION("""COMPUTED_VALUE"""),"Quality of drinks")</f>
        <v>Quality of drinks</v>
      </c>
      <c r="V9" s="1"/>
      <c r="W9" s="1" t="str">
        <f>IFERROR(__xludf.DUMMYFUNCTION("""COMPUTED_VALUE"""),"Yes, Global")</f>
        <v>Yes, Global</v>
      </c>
      <c r="X9" s="1" t="str">
        <f>IFERROR(__xludf.DUMMYFUNCTION("""COMPUTED_VALUE"""),"Yes,  Japanese")</f>
        <v>Yes,  Japanese</v>
      </c>
      <c r="Y9" s="1">
        <f>IFERROR(__xludf.DUMMYFUNCTION("""COMPUTED_VALUE"""),4.0)</f>
        <v>4</v>
      </c>
      <c r="Z9" s="1">
        <f>IFERROR(__xludf.DUMMYFUNCTION("""COMPUTED_VALUE"""),7.0)</f>
        <v>7</v>
      </c>
      <c r="AA9" s="1">
        <f>IFERROR(__xludf.DUMMYFUNCTION("""COMPUTED_VALUE"""),6.0)</f>
        <v>6</v>
      </c>
      <c r="AB9" s="1" t="str">
        <f>IFERROR(__xludf.DUMMYFUNCTION("""COMPUTED_VALUE"""),"Yes")</f>
        <v>Yes</v>
      </c>
    </row>
    <row r="10">
      <c r="A10" s="1" t="str">
        <f>IFERROR(__xludf.DUMMYFUNCTION("""COMPUTED_VALUE"""),"jaAJg66")</f>
        <v>jaAJg66</v>
      </c>
      <c r="B10" s="1" t="str">
        <f>IFERROR(__xludf.DUMMYFUNCTION("""COMPUTED_VALUE"""),"0Q61NJ0")</f>
        <v>0Q61NJ0</v>
      </c>
      <c r="C10" s="5">
        <f>IFERROR(__xludf.DUMMYFUNCTION("""COMPUTED_VALUE"""),46034.05678240741)</f>
        <v>46034.05678</v>
      </c>
      <c r="D10" s="1" t="str">
        <f>IFERROR(__xludf.DUMMYFUNCTION("""COMPUTED_VALUE"""),"26-35")</f>
        <v>26-35</v>
      </c>
      <c r="E10" s="1" t="str">
        <f>IFERROR(__xludf.DUMMYFUNCTION("""COMPUTED_VALUE"""),"Female")</f>
        <v>Female</v>
      </c>
      <c r="F10" s="1" t="str">
        <f>IFERROR(__xludf.DUMMYFUNCTION("""COMPUTED_VALUE"""),"¥3,000,000 – ¥5,999,999")</f>
        <v>¥3,000,000 – ¥5,999,999</v>
      </c>
      <c r="G10" s="1" t="str">
        <f>IFERROR(__xludf.DUMMYFUNCTION("""COMPUTED_VALUE"""),"Kanto")</f>
        <v>Kanto</v>
      </c>
      <c r="H10" s="1" t="str">
        <f>IFERROR(__xludf.DUMMYFUNCTION("""COMPUTED_VALUE"""),"Rarely")</f>
        <v>Rarely</v>
      </c>
      <c r="I10" s="1" t="str">
        <f>IFERROR(__xludf.DUMMYFUNCTION("""COMPUTED_VALUE"""),"Latte")</f>
        <v>Latte</v>
      </c>
      <c r="J10" s="1"/>
      <c r="K10" s="1" t="str">
        <f>IFERROR(__xludf.DUMMYFUNCTION("""COMPUTED_VALUE"""),"Once a week")</f>
        <v>Once a week</v>
      </c>
      <c r="L10" s="1" t="str">
        <f>IFERROR(__xludf.DUMMYFUNCTION("""COMPUTED_VALUE"""),"Matcha Latte")</f>
        <v>Matcha Latte</v>
      </c>
      <c r="M10" s="1"/>
      <c r="N10" s="1" t="str">
        <f>IFERROR(__xludf.DUMMYFUNCTION("""COMPUTED_VALUE"""),"Energy boost/Caffeine, Routine/Ritual")</f>
        <v>Energy boost/Caffeine, Routine/Ritual</v>
      </c>
      <c r="O10" s="1"/>
      <c r="P10" s="1" t="str">
        <f>IFERROR(__xludf.DUMMYFUNCTION("""COMPUTED_VALUE"""),"At cafés")</f>
        <v>At cafés</v>
      </c>
      <c r="Q10" s="1"/>
      <c r="R10" s="1" t="str">
        <f>IFERROR(__xludf.DUMMYFUNCTION("""COMPUTED_VALUE"""),"Once a week")</f>
        <v>Once a week</v>
      </c>
      <c r="S10" s="1" t="str">
        <f>IFERROR(__xludf.DUMMYFUNCTION("""COMPUTED_VALUE"""),"To study/work")</f>
        <v>To study/work</v>
      </c>
      <c r="T10" s="1"/>
      <c r="U10" s="1" t="str">
        <f>IFERROR(__xludf.DUMMYFUNCTION("""COMPUTED_VALUE"""),"Atmosphere")</f>
        <v>Atmosphere</v>
      </c>
      <c r="V10" s="1"/>
      <c r="W10" s="1" t="str">
        <f>IFERROR(__xludf.DUMMYFUNCTION("""COMPUTED_VALUE"""),"Yes, Global")</f>
        <v>Yes, Global</v>
      </c>
      <c r="X10" s="1" t="str">
        <f>IFERROR(__xludf.DUMMYFUNCTION("""COMPUTED_VALUE"""),"Yes,  Japanese")</f>
        <v>Yes,  Japanese</v>
      </c>
      <c r="Y10" s="1">
        <f>IFERROR(__xludf.DUMMYFUNCTION("""COMPUTED_VALUE"""),1.0)</f>
        <v>1</v>
      </c>
      <c r="Z10" s="1">
        <f>IFERROR(__xludf.DUMMYFUNCTION("""COMPUTED_VALUE"""),6.0)</f>
        <v>6</v>
      </c>
      <c r="AA10" s="1">
        <f>IFERROR(__xludf.DUMMYFUNCTION("""COMPUTED_VALUE"""),6.0)</f>
        <v>6</v>
      </c>
      <c r="AB10" s="1" t="str">
        <f>IFERROR(__xludf.DUMMYFUNCTION("""COMPUTED_VALUE"""),"Yes")</f>
        <v>Yes</v>
      </c>
    </row>
    <row r="11">
      <c r="A11" s="1" t="str">
        <f>IFERROR(__xludf.DUMMYFUNCTION("""COMPUTED_VALUE"""),"q41JgOO")</f>
        <v>q41JgOO</v>
      </c>
      <c r="B11" s="1" t="str">
        <f>IFERROR(__xludf.DUMMYFUNCTION("""COMPUTED_VALUE"""),"1A7Dqpb")</f>
        <v>1A7Dqpb</v>
      </c>
      <c r="C11" s="5">
        <f>IFERROR(__xludf.DUMMYFUNCTION("""COMPUTED_VALUE"""),46034.0577662037)</f>
        <v>46034.05777</v>
      </c>
      <c r="D11" s="1" t="str">
        <f>IFERROR(__xludf.DUMMYFUNCTION("""COMPUTED_VALUE"""),"46-55")</f>
        <v>46-55</v>
      </c>
      <c r="E11" s="1" t="str">
        <f>IFERROR(__xludf.DUMMYFUNCTION("""COMPUTED_VALUE"""),"Male")</f>
        <v>Male</v>
      </c>
      <c r="F11" s="1" t="str">
        <f>IFERROR(__xludf.DUMMYFUNCTION("""COMPUTED_VALUE"""),"¥12,000,000 or more")</f>
        <v>¥12,000,000 or more</v>
      </c>
      <c r="G11" s="1" t="str">
        <f>IFERROR(__xludf.DUMMYFUNCTION("""COMPUTED_VALUE"""),"Kanto")</f>
        <v>Kanto</v>
      </c>
      <c r="H11" s="1" t="str">
        <f>IFERROR(__xludf.DUMMYFUNCTION("""COMPUTED_VALUE"""),"Daily")</f>
        <v>Daily</v>
      </c>
      <c r="I11" s="1" t="str">
        <f>IFERROR(__xludf.DUMMYFUNCTION("""COMPUTED_VALUE"""),"Other:")</f>
        <v>Other:</v>
      </c>
      <c r="J11" s="1" t="str">
        <f>IFERROR(__xludf.DUMMYFUNCTION("""COMPUTED_VALUE"""),"Espresso")</f>
        <v>Espresso</v>
      </c>
      <c r="K11" s="1" t="str">
        <f>IFERROR(__xludf.DUMMYFUNCTION("""COMPUTED_VALUE"""),"Never")</f>
        <v>Never</v>
      </c>
      <c r="L11" s="1"/>
      <c r="M11" s="1"/>
      <c r="N11" s="1" t="str">
        <f>IFERROR(__xludf.DUMMYFUNCTION("""COMPUTED_VALUE"""),"Taste/Flavor")</f>
        <v>Taste/Flavor</v>
      </c>
      <c r="O11" s="1"/>
      <c r="P11" s="1" t="str">
        <f>IFERROR(__xludf.DUMMYFUNCTION("""COMPUTED_VALUE"""),"At home, At cafés")</f>
        <v>At home, At cafés</v>
      </c>
      <c r="Q11" s="1"/>
      <c r="R11" s="1" t="str">
        <f>IFERROR(__xludf.DUMMYFUNCTION("""COMPUTED_VALUE"""),"Several times a week")</f>
        <v>Several times a week</v>
      </c>
      <c r="S11" s="1" t="str">
        <f>IFERROR(__xludf.DUMMYFUNCTION("""COMPUTED_VALUE"""),"To meet friends")</f>
        <v>To meet friends</v>
      </c>
      <c r="T11" s="1"/>
      <c r="U11" s="1" t="str">
        <f>IFERROR(__xludf.DUMMYFUNCTION("""COMPUTED_VALUE"""),"Atmosphere")</f>
        <v>Atmosphere</v>
      </c>
      <c r="V11" s="1"/>
      <c r="W11" s="1" t="str">
        <f>IFERROR(__xludf.DUMMYFUNCTION("""COMPUTED_VALUE"""),"No")</f>
        <v>No</v>
      </c>
      <c r="X11" s="1" t="str">
        <f>IFERROR(__xludf.DUMMYFUNCTION("""COMPUTED_VALUE"""),"No")</f>
        <v>No</v>
      </c>
      <c r="Y11" s="1">
        <f>IFERROR(__xludf.DUMMYFUNCTION("""COMPUTED_VALUE"""),7.0)</f>
        <v>7</v>
      </c>
      <c r="Z11" s="1">
        <f>IFERROR(__xludf.DUMMYFUNCTION("""COMPUTED_VALUE"""),3.0)</f>
        <v>3</v>
      </c>
      <c r="AA11" s="1">
        <f>IFERROR(__xludf.DUMMYFUNCTION("""COMPUTED_VALUE"""),7.0)</f>
        <v>7</v>
      </c>
      <c r="AB11" s="1" t="str">
        <f>IFERROR(__xludf.DUMMYFUNCTION("""COMPUTED_VALUE"""),"Yes")</f>
        <v>Yes</v>
      </c>
    </row>
    <row r="12">
      <c r="A12" s="1" t="str">
        <f>IFERROR(__xludf.DUMMYFUNCTION("""COMPUTED_VALUE"""),"jaAJpD4")</f>
        <v>jaAJpD4</v>
      </c>
      <c r="B12" s="1" t="str">
        <f>IFERROR(__xludf.DUMMYFUNCTION("""COMPUTED_VALUE"""),"J9AX5N7")</f>
        <v>J9AX5N7</v>
      </c>
      <c r="C12" s="5">
        <f>IFERROR(__xludf.DUMMYFUNCTION("""COMPUTED_VALUE"""),46034.060902777775)</f>
        <v>46034.0609</v>
      </c>
      <c r="D12" s="1" t="str">
        <f>IFERROR(__xludf.DUMMYFUNCTION("""COMPUTED_VALUE"""),"46-55")</f>
        <v>46-55</v>
      </c>
      <c r="E12" s="1" t="str">
        <f>IFERROR(__xludf.DUMMYFUNCTION("""COMPUTED_VALUE"""),"Female")</f>
        <v>Female</v>
      </c>
      <c r="F12" s="1" t="str">
        <f>IFERROR(__xludf.DUMMYFUNCTION("""COMPUTED_VALUE"""),"¥12,000,000 or more")</f>
        <v>¥12,000,000 or more</v>
      </c>
      <c r="G12" s="1" t="str">
        <f>IFERROR(__xludf.DUMMYFUNCTION("""COMPUTED_VALUE"""),"Kanto")</f>
        <v>Kanto</v>
      </c>
      <c r="H12" s="1" t="str">
        <f>IFERROR(__xludf.DUMMYFUNCTION("""COMPUTED_VALUE"""),"Daily")</f>
        <v>Daily</v>
      </c>
      <c r="I12" s="1" t="str">
        <f>IFERROR(__xludf.DUMMYFUNCTION("""COMPUTED_VALUE"""),"Drip")</f>
        <v>Drip</v>
      </c>
      <c r="J12" s="1"/>
      <c r="K12" s="1" t="str">
        <f>IFERROR(__xludf.DUMMYFUNCTION("""COMPUTED_VALUE"""),"Rarely")</f>
        <v>Rarely</v>
      </c>
      <c r="L12" s="1" t="str">
        <f>IFERROR(__xludf.DUMMYFUNCTION("""COMPUTED_VALUE"""),"Matcha Latte")</f>
        <v>Matcha Latte</v>
      </c>
      <c r="M12" s="1"/>
      <c r="N12" s="1" t="str">
        <f>IFERROR(__xludf.DUMMYFUNCTION("""COMPUTED_VALUE"""),"Routine/Ritual, Taste/Flavor")</f>
        <v>Routine/Ritual, Taste/Flavor</v>
      </c>
      <c r="O12" s="1"/>
      <c r="P12" s="1" t="str">
        <f>IFERROR(__xludf.DUMMYFUNCTION("""COMPUTED_VALUE"""),"At home, At cafés")</f>
        <v>At home, At cafés</v>
      </c>
      <c r="Q12" s="1"/>
      <c r="R12" s="1" t="str">
        <f>IFERROR(__xludf.DUMMYFUNCTION("""COMPUTED_VALUE"""),"A few times a month")</f>
        <v>A few times a month</v>
      </c>
      <c r="S12" s="1" t="str">
        <f>IFERROR(__xludf.DUMMYFUNCTION("""COMPUTED_VALUE"""),"To relax or take a break")</f>
        <v>To relax or take a break</v>
      </c>
      <c r="T12" s="1"/>
      <c r="U12" s="1" t="str">
        <f>IFERROR(__xludf.DUMMYFUNCTION("""COMPUTED_VALUE"""),"Atmosphere")</f>
        <v>Atmosphere</v>
      </c>
      <c r="V12" s="1"/>
      <c r="W12" s="1" t="str">
        <f>IFERROR(__xludf.DUMMYFUNCTION("""COMPUTED_VALUE"""),"Yes, Western")</f>
        <v>Yes, Western</v>
      </c>
      <c r="X12" s="1" t="str">
        <f>IFERROR(__xludf.DUMMYFUNCTION("""COMPUTED_VALUE"""),"Yes,  Japanese")</f>
        <v>Yes,  Japanese</v>
      </c>
      <c r="Y12" s="1">
        <f>IFERROR(__xludf.DUMMYFUNCTION("""COMPUTED_VALUE"""),7.0)</f>
        <v>7</v>
      </c>
      <c r="Z12" s="1">
        <f>IFERROR(__xludf.DUMMYFUNCTION("""COMPUTED_VALUE"""),7.0)</f>
        <v>7</v>
      </c>
      <c r="AA12" s="1">
        <f>IFERROR(__xludf.DUMMYFUNCTION("""COMPUTED_VALUE"""),7.0)</f>
        <v>7</v>
      </c>
      <c r="AB12" s="1" t="str">
        <f>IFERROR(__xludf.DUMMYFUNCTION("""COMPUTED_VALUE"""),"No")</f>
        <v>No</v>
      </c>
    </row>
    <row r="13">
      <c r="A13" s="1" t="str">
        <f>IFERROR(__xludf.DUMMYFUNCTION("""COMPUTED_VALUE"""),"dWe8XLV")</f>
        <v>dWe8XLV</v>
      </c>
      <c r="B13" s="1" t="str">
        <f>IFERROR(__xludf.DUMMYFUNCTION("""COMPUTED_VALUE"""),"vGyJGrD")</f>
        <v>vGyJGrD</v>
      </c>
      <c r="C13" s="5">
        <f>IFERROR(__xludf.DUMMYFUNCTION("""COMPUTED_VALUE"""),46034.081875)</f>
        <v>46034.08188</v>
      </c>
      <c r="D13" s="1" t="str">
        <f>IFERROR(__xludf.DUMMYFUNCTION("""COMPUTED_VALUE"""),"46-55")</f>
        <v>46-55</v>
      </c>
      <c r="E13" s="1" t="str">
        <f>IFERROR(__xludf.DUMMYFUNCTION("""COMPUTED_VALUE"""),"Male")</f>
        <v>Male</v>
      </c>
      <c r="F13" s="1" t="str">
        <f>IFERROR(__xludf.DUMMYFUNCTION("""COMPUTED_VALUE"""),"¥12,000,000 or more")</f>
        <v>¥12,000,000 or more</v>
      </c>
      <c r="G13" s="1" t="str">
        <f>IFERROR(__xludf.DUMMYFUNCTION("""COMPUTED_VALUE"""),"Kanto")</f>
        <v>Kanto</v>
      </c>
      <c r="H13" s="1" t="str">
        <f>IFERROR(__xludf.DUMMYFUNCTION("""COMPUTED_VALUE"""),"Daily")</f>
        <v>Daily</v>
      </c>
      <c r="I13" s="1" t="str">
        <f>IFERROR(__xludf.DUMMYFUNCTION("""COMPUTED_VALUE"""),"Pour Over")</f>
        <v>Pour Over</v>
      </c>
      <c r="J13" s="1"/>
      <c r="K13" s="1" t="str">
        <f>IFERROR(__xludf.DUMMYFUNCTION("""COMPUTED_VALUE"""),"Rarely")</f>
        <v>Rarely</v>
      </c>
      <c r="L13" s="1" t="str">
        <f>IFERROR(__xludf.DUMMYFUNCTION("""COMPUTED_VALUE"""),"Matcha Latte")</f>
        <v>Matcha Latte</v>
      </c>
      <c r="M13" s="1"/>
      <c r="N13" s="1" t="str">
        <f>IFERROR(__xludf.DUMMYFUNCTION("""COMPUTED_VALUE"""),"Energy boost/Caffeine")</f>
        <v>Energy boost/Caffeine</v>
      </c>
      <c r="O13" s="1"/>
      <c r="P13" s="1" t="str">
        <f>IFERROR(__xludf.DUMMYFUNCTION("""COMPUTED_VALUE"""),"At home, Other:")</f>
        <v>At home, Other:</v>
      </c>
      <c r="Q13" s="1" t="str">
        <f>IFERROR(__xludf.DUMMYFUNCTION("""COMPUTED_VALUE"""),"matcha at cafe")</f>
        <v>matcha at cafe</v>
      </c>
      <c r="R13" s="1" t="str">
        <f>IFERROR(__xludf.DUMMYFUNCTION("""COMPUTED_VALUE"""),"A few times a month")</f>
        <v>A few times a month</v>
      </c>
      <c r="S13" s="1" t="str">
        <f>IFERROR(__xludf.DUMMYFUNCTION("""COMPUTED_VALUE"""),"To relax or take a break")</f>
        <v>To relax or take a break</v>
      </c>
      <c r="T13" s="1"/>
      <c r="U13" s="1" t="str">
        <f>IFERROR(__xludf.DUMMYFUNCTION("""COMPUTED_VALUE"""),"Service")</f>
        <v>Service</v>
      </c>
      <c r="V13" s="1"/>
      <c r="W13" s="1" t="str">
        <f>IFERROR(__xludf.DUMMYFUNCTION("""COMPUTED_VALUE"""),"Yes, Western")</f>
        <v>Yes, Western</v>
      </c>
      <c r="X13" s="1" t="str">
        <f>IFERROR(__xludf.DUMMYFUNCTION("""COMPUTED_VALUE"""),"Yes,  Japanese")</f>
        <v>Yes,  Japanese</v>
      </c>
      <c r="Y13" s="1">
        <f>IFERROR(__xludf.DUMMYFUNCTION("""COMPUTED_VALUE"""),5.0)</f>
        <v>5</v>
      </c>
      <c r="Z13" s="1">
        <f>IFERROR(__xludf.DUMMYFUNCTION("""COMPUTED_VALUE"""),7.0)</f>
        <v>7</v>
      </c>
      <c r="AA13" s="1">
        <f>IFERROR(__xludf.DUMMYFUNCTION("""COMPUTED_VALUE"""),5.0)</f>
        <v>5</v>
      </c>
      <c r="AB13" s="1" t="str">
        <f>IFERROR(__xludf.DUMMYFUNCTION("""COMPUTED_VALUE"""),"No")</f>
        <v>No</v>
      </c>
    </row>
    <row r="14">
      <c r="A14" s="1" t="str">
        <f>IFERROR(__xludf.DUMMYFUNCTION("""COMPUTED_VALUE"""),"XxP865O")</f>
        <v>XxP865O</v>
      </c>
      <c r="B14" s="1" t="str">
        <f>IFERROR(__xludf.DUMMYFUNCTION("""COMPUTED_VALUE"""),"vGyJXLQ")</f>
        <v>vGyJXLQ</v>
      </c>
      <c r="C14" s="5">
        <f>IFERROR(__xludf.DUMMYFUNCTION("""COMPUTED_VALUE"""),46034.090532407405)</f>
        <v>46034.09053</v>
      </c>
      <c r="D14" s="1" t="str">
        <f>IFERROR(__xludf.DUMMYFUNCTION("""COMPUTED_VALUE"""),"26-35")</f>
        <v>26-35</v>
      </c>
      <c r="E14" s="1" t="str">
        <f>IFERROR(__xludf.DUMMYFUNCTION("""COMPUTED_VALUE"""),"Male")</f>
        <v>Male</v>
      </c>
      <c r="F14" s="1" t="str">
        <f>IFERROR(__xludf.DUMMYFUNCTION("""COMPUTED_VALUE"""),"¥3,000,000 – ¥5,999,999")</f>
        <v>¥3,000,000 – ¥5,999,999</v>
      </c>
      <c r="G14" s="1" t="str">
        <f>IFERROR(__xludf.DUMMYFUNCTION("""COMPUTED_VALUE"""),"Kanto")</f>
        <v>Kanto</v>
      </c>
      <c r="H14" s="1" t="str">
        <f>IFERROR(__xludf.DUMMYFUNCTION("""COMPUTED_VALUE"""),"Several times a week")</f>
        <v>Several times a week</v>
      </c>
      <c r="I14" s="1" t="str">
        <f>IFERROR(__xludf.DUMMYFUNCTION("""COMPUTED_VALUE"""),"Americano")</f>
        <v>Americano</v>
      </c>
      <c r="J14" s="1"/>
      <c r="K14" s="1" t="str">
        <f>IFERROR(__xludf.DUMMYFUNCTION("""COMPUTED_VALUE"""),"Rarely")</f>
        <v>Rarely</v>
      </c>
      <c r="L14" s="1" t="str">
        <f>IFERROR(__xludf.DUMMYFUNCTION("""COMPUTED_VALUE"""),"I don’t drink matcha")</f>
        <v>I don’t drink matcha</v>
      </c>
      <c r="M14" s="1"/>
      <c r="N14" s="1" t="str">
        <f>IFERROR(__xludf.DUMMYFUNCTION("""COMPUTED_VALUE"""),"Taste")</f>
        <v>Taste</v>
      </c>
      <c r="O14" s="1"/>
      <c r="P14" s="1" t="str">
        <f>IFERROR(__xludf.DUMMYFUNCTION("""COMPUTED_VALUE"""),"At cafés, At home, From convenience stores (7-Eleven, Lawson, etc.)")</f>
        <v>At cafés, At home, From convenience stores (7-Eleven, Lawson, etc.)</v>
      </c>
      <c r="Q14" s="1"/>
      <c r="R14" s="1" t="str">
        <f>IFERROR(__xludf.DUMMYFUNCTION("""COMPUTED_VALUE"""),"Several times a week")</f>
        <v>Several times a week</v>
      </c>
      <c r="S14" s="1" t="str">
        <f>IFERROR(__xludf.DUMMYFUNCTION("""COMPUTED_VALUE"""),"Other:")</f>
        <v>Other:</v>
      </c>
      <c r="T14" s="1" t="str">
        <f>IFERROR(__xludf.DUMMYFUNCTION("""COMPUTED_VALUE"""),"A, B, and C")</f>
        <v>A, B, and C</v>
      </c>
      <c r="U14" s="1" t="str">
        <f>IFERROR(__xludf.DUMMYFUNCTION("""COMPUTED_VALUE"""),"Atmosphere")</f>
        <v>Atmosphere</v>
      </c>
      <c r="V14" s="1"/>
      <c r="W14" s="1" t="str">
        <f>IFERROR(__xludf.DUMMYFUNCTION("""COMPUTED_VALUE"""),"Unsure")</f>
        <v>Unsure</v>
      </c>
      <c r="X14" s="1" t="str">
        <f>IFERROR(__xludf.DUMMYFUNCTION("""COMPUTED_VALUE"""),"Unsure")</f>
        <v>Unsure</v>
      </c>
      <c r="Y14" s="1">
        <f>IFERROR(__xludf.DUMMYFUNCTION("""COMPUTED_VALUE"""),7.0)</f>
        <v>7</v>
      </c>
      <c r="Z14" s="1">
        <f>IFERROR(__xludf.DUMMYFUNCTION("""COMPUTED_VALUE"""),5.0)</f>
        <v>5</v>
      </c>
      <c r="AA14" s="1">
        <f>IFERROR(__xludf.DUMMYFUNCTION("""COMPUTED_VALUE"""),7.0)</f>
        <v>7</v>
      </c>
      <c r="AB14" s="1" t="str">
        <f>IFERROR(__xludf.DUMMYFUNCTION("""COMPUTED_VALUE"""),"No")</f>
        <v>No</v>
      </c>
    </row>
    <row r="15">
      <c r="A15" s="1" t="str">
        <f>IFERROR(__xludf.DUMMYFUNCTION("""COMPUTED_VALUE"""),"A7ejP6o")</f>
        <v>A7ejP6o</v>
      </c>
      <c r="B15" s="1" t="str">
        <f>IFERROR(__xludf.DUMMYFUNCTION("""COMPUTED_VALUE"""),"81Q6xjz")</f>
        <v>81Q6xjz</v>
      </c>
      <c r="C15" s="5">
        <f>IFERROR(__xludf.DUMMYFUNCTION("""COMPUTED_VALUE"""),46034.13444444445)</f>
        <v>46034.13444</v>
      </c>
      <c r="D15" s="1" t="str">
        <f>IFERROR(__xludf.DUMMYFUNCTION("""COMPUTED_VALUE"""),"46-55")</f>
        <v>46-55</v>
      </c>
      <c r="E15" s="1" t="str">
        <f>IFERROR(__xludf.DUMMYFUNCTION("""COMPUTED_VALUE"""),"Male")</f>
        <v>Male</v>
      </c>
      <c r="F15" s="1" t="str">
        <f>IFERROR(__xludf.DUMMYFUNCTION("""COMPUTED_VALUE"""),"¥12,000,000 or more")</f>
        <v>¥12,000,000 or more</v>
      </c>
      <c r="G15" s="1" t="str">
        <f>IFERROR(__xludf.DUMMYFUNCTION("""COMPUTED_VALUE"""),"Kanto")</f>
        <v>Kanto</v>
      </c>
      <c r="H15" s="1" t="str">
        <f>IFERROR(__xludf.DUMMYFUNCTION("""COMPUTED_VALUE"""),"Several times a week")</f>
        <v>Several times a week</v>
      </c>
      <c r="I15" s="1" t="str">
        <f>IFERROR(__xludf.DUMMYFUNCTION("""COMPUTED_VALUE"""),"Pour Over")</f>
        <v>Pour Over</v>
      </c>
      <c r="J15" s="1"/>
      <c r="K15" s="1" t="str">
        <f>IFERROR(__xludf.DUMMYFUNCTION("""COMPUTED_VALUE"""),"Rarely")</f>
        <v>Rarely</v>
      </c>
      <c r="L15" s="1" t="str">
        <f>IFERROR(__xludf.DUMMYFUNCTION("""COMPUTED_VALUE"""),"Matcha Latte")</f>
        <v>Matcha Latte</v>
      </c>
      <c r="M15" s="1"/>
      <c r="N15" s="1" t="str">
        <f>IFERROR(__xludf.DUMMYFUNCTION("""COMPUTED_VALUE"""),"Taste/Flavor, Energy boost/Caffeine")</f>
        <v>Taste/Flavor, Energy boost/Caffeine</v>
      </c>
      <c r="O15" s="1"/>
      <c r="P15" s="1" t="str">
        <f>IFERROR(__xludf.DUMMYFUNCTION("""COMPUTED_VALUE"""),"At home, At cafés, From convenience stores (7-Eleven, Lawson, etc.)")</f>
        <v>At home, At cafés, From convenience stores (7-Eleven, Lawson, etc.)</v>
      </c>
      <c r="Q15" s="1"/>
      <c r="R15" s="1" t="str">
        <f>IFERROR(__xludf.DUMMYFUNCTION("""COMPUTED_VALUE"""),"Several times a week")</f>
        <v>Several times a week</v>
      </c>
      <c r="S15" s="1" t="str">
        <f>IFERROR(__xludf.DUMMYFUNCTION("""COMPUTED_VALUE"""),"To study/work")</f>
        <v>To study/work</v>
      </c>
      <c r="T15" s="1"/>
      <c r="U15" s="1" t="str">
        <f>IFERROR(__xludf.DUMMYFUNCTION("""COMPUTED_VALUE"""),"Quality of drinks")</f>
        <v>Quality of drinks</v>
      </c>
      <c r="V15" s="1"/>
      <c r="W15" s="1" t="str">
        <f>IFERROR(__xludf.DUMMYFUNCTION("""COMPUTED_VALUE"""),"Yes, Western")</f>
        <v>Yes, Western</v>
      </c>
      <c r="X15" s="1" t="str">
        <f>IFERROR(__xludf.DUMMYFUNCTION("""COMPUTED_VALUE"""),"Yes,  Japanese")</f>
        <v>Yes,  Japanese</v>
      </c>
      <c r="Y15" s="1">
        <f>IFERROR(__xludf.DUMMYFUNCTION("""COMPUTED_VALUE"""),7.0)</f>
        <v>7</v>
      </c>
      <c r="Z15" s="1">
        <f>IFERROR(__xludf.DUMMYFUNCTION("""COMPUTED_VALUE"""),7.0)</f>
        <v>7</v>
      </c>
      <c r="AA15" s="1">
        <f>IFERROR(__xludf.DUMMYFUNCTION("""COMPUTED_VALUE"""),7.0)</f>
        <v>7</v>
      </c>
      <c r="AB15" s="1" t="str">
        <f>IFERROR(__xludf.DUMMYFUNCTION("""COMPUTED_VALUE"""),"No")</f>
        <v>No</v>
      </c>
    </row>
    <row r="16">
      <c r="A16" s="1" t="str">
        <f>IFERROR(__xludf.DUMMYFUNCTION("""COMPUTED_VALUE"""),"9qjoN6p")</f>
        <v>9qjoN6p</v>
      </c>
      <c r="B16" s="1" t="str">
        <f>IFERROR(__xludf.DUMMYFUNCTION("""COMPUTED_VALUE"""),"1A7N7Ng")</f>
        <v>1A7N7Ng</v>
      </c>
      <c r="C16" s="5">
        <f>IFERROR(__xludf.DUMMYFUNCTION("""COMPUTED_VALUE"""),46034.1430787037)</f>
        <v>46034.14308</v>
      </c>
      <c r="D16" s="1" t="str">
        <f>IFERROR(__xludf.DUMMYFUNCTION("""COMPUTED_VALUE"""),"26-35")</f>
        <v>26-35</v>
      </c>
      <c r="E16" s="1" t="str">
        <f>IFERROR(__xludf.DUMMYFUNCTION("""COMPUTED_VALUE"""),"Female")</f>
        <v>Female</v>
      </c>
      <c r="F16" s="1" t="str">
        <f>IFERROR(__xludf.DUMMYFUNCTION("""COMPUTED_VALUE"""),"¥12,000,000 or more")</f>
        <v>¥12,000,000 or more</v>
      </c>
      <c r="G16" s="1" t="str">
        <f>IFERROR(__xludf.DUMMYFUNCTION("""COMPUTED_VALUE"""),"Kanto")</f>
        <v>Kanto</v>
      </c>
      <c r="H16" s="1" t="str">
        <f>IFERROR(__xludf.DUMMYFUNCTION("""COMPUTED_VALUE"""),"Several times a week")</f>
        <v>Several times a week</v>
      </c>
      <c r="I16" s="1" t="str">
        <f>IFERROR(__xludf.DUMMYFUNCTION("""COMPUTED_VALUE"""),"Americano")</f>
        <v>Americano</v>
      </c>
      <c r="J16" s="1"/>
      <c r="K16" s="1" t="str">
        <f>IFERROR(__xludf.DUMMYFUNCTION("""COMPUTED_VALUE"""),"Rarely")</f>
        <v>Rarely</v>
      </c>
      <c r="L16" s="1" t="str">
        <f>IFERROR(__xludf.DUMMYFUNCTION("""COMPUTED_VALUE"""),"Usucha")</f>
        <v>Usucha</v>
      </c>
      <c r="M16" s="1"/>
      <c r="N16" s="1" t="str">
        <f>IFERROR(__xludf.DUMMYFUNCTION("""COMPUTED_VALUE"""),"Routine/Ritual, Availability")</f>
        <v>Routine/Ritual, Availability</v>
      </c>
      <c r="O16" s="1"/>
      <c r="P16" s="1" t="str">
        <f>IFERROR(__xludf.DUMMYFUNCTION("""COMPUTED_VALUE"""),"At cafés, At home")</f>
        <v>At cafés, At home</v>
      </c>
      <c r="Q16" s="1"/>
      <c r="R16" s="1" t="str">
        <f>IFERROR(__xludf.DUMMYFUNCTION("""COMPUTED_VALUE"""),"Several times a week")</f>
        <v>Several times a week</v>
      </c>
      <c r="S16" s="1" t="str">
        <f>IFERROR(__xludf.DUMMYFUNCTION("""COMPUTED_VALUE"""),"To meet friends")</f>
        <v>To meet friends</v>
      </c>
      <c r="T16" s="1"/>
      <c r="U16" s="1" t="str">
        <f>IFERROR(__xludf.DUMMYFUNCTION("""COMPUTED_VALUE"""),"Atmosphere")</f>
        <v>Atmosphere</v>
      </c>
      <c r="V16" s="1"/>
      <c r="W16" s="1" t="str">
        <f>IFERROR(__xludf.DUMMYFUNCTION("""COMPUTED_VALUE"""),"Yes,  Japanese")</f>
        <v>Yes,  Japanese</v>
      </c>
      <c r="X16" s="1" t="str">
        <f>IFERROR(__xludf.DUMMYFUNCTION("""COMPUTED_VALUE"""),"Yes,  Japanese")</f>
        <v>Yes,  Japanese</v>
      </c>
      <c r="Y16" s="1">
        <f>IFERROR(__xludf.DUMMYFUNCTION("""COMPUTED_VALUE"""),7.0)</f>
        <v>7</v>
      </c>
      <c r="Z16" s="1">
        <f>IFERROR(__xludf.DUMMYFUNCTION("""COMPUTED_VALUE"""),7.0)</f>
        <v>7</v>
      </c>
      <c r="AA16" s="1">
        <f>IFERROR(__xludf.DUMMYFUNCTION("""COMPUTED_VALUE"""),7.0)</f>
        <v>7</v>
      </c>
      <c r="AB16" s="1" t="str">
        <f>IFERROR(__xludf.DUMMYFUNCTION("""COMPUTED_VALUE"""),"No")</f>
        <v>No</v>
      </c>
    </row>
    <row r="17">
      <c r="A17" s="1" t="str">
        <f>IFERROR(__xludf.DUMMYFUNCTION("""COMPUTED_VALUE"""),"yP5d4lX")</f>
        <v>yP5d4lX</v>
      </c>
      <c r="B17" s="1" t="str">
        <f>IFERROR(__xludf.DUMMYFUNCTION("""COMPUTED_VALUE"""),"1A7NrOL")</f>
        <v>1A7NrOL</v>
      </c>
      <c r="C17" s="5">
        <f>IFERROR(__xludf.DUMMYFUNCTION("""COMPUTED_VALUE"""),46034.160104166665)</f>
        <v>46034.1601</v>
      </c>
      <c r="D17" s="1" t="str">
        <f>IFERROR(__xludf.DUMMYFUNCTION("""COMPUTED_VALUE"""),"36-45")</f>
        <v>36-45</v>
      </c>
      <c r="E17" s="1" t="str">
        <f>IFERROR(__xludf.DUMMYFUNCTION("""COMPUTED_VALUE"""),"Male")</f>
        <v>Male</v>
      </c>
      <c r="F17" s="1" t="str">
        <f>IFERROR(__xludf.DUMMYFUNCTION("""COMPUTED_VALUE"""),"¥12,000,000 or more")</f>
        <v>¥12,000,000 or more</v>
      </c>
      <c r="G17" s="1" t="str">
        <f>IFERROR(__xludf.DUMMYFUNCTION("""COMPUTED_VALUE"""),"Kanto")</f>
        <v>Kanto</v>
      </c>
      <c r="H17" s="1" t="str">
        <f>IFERROR(__xludf.DUMMYFUNCTION("""COMPUTED_VALUE"""),"Daily")</f>
        <v>Daily</v>
      </c>
      <c r="I17" s="1" t="str">
        <f>IFERROR(__xludf.DUMMYFUNCTION("""COMPUTED_VALUE"""),"Drip")</f>
        <v>Drip</v>
      </c>
      <c r="J17" s="1"/>
      <c r="K17" s="1" t="str">
        <f>IFERROR(__xludf.DUMMYFUNCTION("""COMPUTED_VALUE"""),"Once a week")</f>
        <v>Once a week</v>
      </c>
      <c r="L17" s="1" t="str">
        <f>IFERROR(__xludf.DUMMYFUNCTION("""COMPUTED_VALUE"""),"Koicha")</f>
        <v>Koicha</v>
      </c>
      <c r="M17" s="1"/>
      <c r="N17" s="1" t="str">
        <f>IFERROR(__xludf.DUMMYFUNCTION("""COMPUTED_VALUE"""),"Taste/Flavor, Energy boost/Caffeine")</f>
        <v>Taste/Flavor, Energy boost/Caffeine</v>
      </c>
      <c r="O17" s="1"/>
      <c r="P17" s="1" t="str">
        <f>IFERROR(__xludf.DUMMYFUNCTION("""COMPUTED_VALUE"""),"At cafés, At home")</f>
        <v>At cafés, At home</v>
      </c>
      <c r="Q17" s="1"/>
      <c r="R17" s="1" t="str">
        <f>IFERROR(__xludf.DUMMYFUNCTION("""COMPUTED_VALUE"""),"Several times a week")</f>
        <v>Several times a week</v>
      </c>
      <c r="S17" s="1" t="str">
        <f>IFERROR(__xludf.DUMMYFUNCTION("""COMPUTED_VALUE"""),"To relax or take a break")</f>
        <v>To relax or take a break</v>
      </c>
      <c r="T17" s="1"/>
      <c r="U17" s="1" t="str">
        <f>IFERROR(__xludf.DUMMYFUNCTION("""COMPUTED_VALUE"""),"Atmosphere")</f>
        <v>Atmosphere</v>
      </c>
      <c r="V17" s="1"/>
      <c r="W17" s="1" t="str">
        <f>IFERROR(__xludf.DUMMYFUNCTION("""COMPUTED_VALUE"""),"Yes, Western")</f>
        <v>Yes, Western</v>
      </c>
      <c r="X17" s="1" t="str">
        <f>IFERROR(__xludf.DUMMYFUNCTION("""COMPUTED_VALUE"""),"Yes,  Japanese")</f>
        <v>Yes,  Japanese</v>
      </c>
      <c r="Y17" s="1">
        <f>IFERROR(__xludf.DUMMYFUNCTION("""COMPUTED_VALUE"""),5.0)</f>
        <v>5</v>
      </c>
      <c r="Z17" s="1">
        <f>IFERROR(__xludf.DUMMYFUNCTION("""COMPUTED_VALUE"""),7.0)</f>
        <v>7</v>
      </c>
      <c r="AA17" s="1">
        <f>IFERROR(__xludf.DUMMYFUNCTION("""COMPUTED_VALUE"""),5.0)</f>
        <v>5</v>
      </c>
      <c r="AB17" s="1" t="str">
        <f>IFERROR(__xludf.DUMMYFUNCTION("""COMPUTED_VALUE"""),"No")</f>
        <v>No</v>
      </c>
    </row>
    <row r="18">
      <c r="A18" s="1" t="str">
        <f>IFERROR(__xludf.DUMMYFUNCTION("""COMPUTED_VALUE"""),"dWekxYq")</f>
        <v>dWekxYq</v>
      </c>
      <c r="B18" s="1" t="str">
        <f>IFERROR(__xludf.DUMMYFUNCTION("""COMPUTED_VALUE"""),"2ENlrAL")</f>
        <v>2ENlrAL</v>
      </c>
      <c r="C18" s="5">
        <f>IFERROR(__xludf.DUMMYFUNCTION("""COMPUTED_VALUE"""),46034.17319444445)</f>
        <v>46034.17319</v>
      </c>
      <c r="D18" s="1" t="str">
        <f>IFERROR(__xludf.DUMMYFUNCTION("""COMPUTED_VALUE"""),"36-45")</f>
        <v>36-45</v>
      </c>
      <c r="E18" s="1" t="str">
        <f>IFERROR(__xludf.DUMMYFUNCTION("""COMPUTED_VALUE"""),"Male")</f>
        <v>Male</v>
      </c>
      <c r="F18" s="1" t="str">
        <f>IFERROR(__xludf.DUMMYFUNCTION("""COMPUTED_VALUE"""),"¥6,000,000 – ¥8,999,999")</f>
        <v>¥6,000,000 – ¥8,999,999</v>
      </c>
      <c r="G18" s="1" t="str">
        <f>IFERROR(__xludf.DUMMYFUNCTION("""COMPUTED_VALUE"""),"Kanto")</f>
        <v>Kanto</v>
      </c>
      <c r="H18" s="1" t="str">
        <f>IFERROR(__xludf.DUMMYFUNCTION("""COMPUTED_VALUE"""),"Once a week")</f>
        <v>Once a week</v>
      </c>
      <c r="I18" s="1" t="str">
        <f>IFERROR(__xludf.DUMMYFUNCTION("""COMPUTED_VALUE"""),"Latte")</f>
        <v>Latte</v>
      </c>
      <c r="J18" s="1" t="str">
        <f>IFERROR(__xludf.DUMMYFUNCTION("""COMPUTED_VALUE"""),"Oat milk")</f>
        <v>Oat milk</v>
      </c>
      <c r="K18" s="1" t="str">
        <f>IFERROR(__xludf.DUMMYFUNCTION("""COMPUTED_VALUE"""),"Rarely")</f>
        <v>Rarely</v>
      </c>
      <c r="L18" s="1" t="str">
        <f>IFERROR(__xludf.DUMMYFUNCTION("""COMPUTED_VALUE"""),"Koicha")</f>
        <v>Koicha</v>
      </c>
      <c r="M18" s="1"/>
      <c r="N18" s="1" t="str">
        <f>IFERROR(__xludf.DUMMYFUNCTION("""COMPUTED_VALUE"""),"Social norms / influence (what people around me usually drink), Energy boost/Caffeine")</f>
        <v>Social norms / influence (what people around me usually drink), Energy boost/Caffeine</v>
      </c>
      <c r="O18" s="1"/>
      <c r="P18" s="1" t="str">
        <f>IFERROR(__xludf.DUMMYFUNCTION("""COMPUTED_VALUE"""),"At home")</f>
        <v>At home</v>
      </c>
      <c r="Q18" s="1"/>
      <c r="R18" s="1" t="str">
        <f>IFERROR(__xludf.DUMMYFUNCTION("""COMPUTED_VALUE"""),"Rarely")</f>
        <v>Rarely</v>
      </c>
      <c r="S18" s="1" t="str">
        <f>IFERROR(__xludf.DUMMYFUNCTION("""COMPUTED_VALUE"""),"To study/work")</f>
        <v>To study/work</v>
      </c>
      <c r="T18" s="1"/>
      <c r="U18" s="1" t="str">
        <f>IFERROR(__xludf.DUMMYFUNCTION("""COMPUTED_VALUE"""),"Atmosphere")</f>
        <v>Atmosphere</v>
      </c>
      <c r="V18" s="1"/>
      <c r="W18" s="1" t="str">
        <f>IFERROR(__xludf.DUMMYFUNCTION("""COMPUTED_VALUE"""),"Yes, Western")</f>
        <v>Yes, Western</v>
      </c>
      <c r="X18" s="1" t="str">
        <f>IFERROR(__xludf.DUMMYFUNCTION("""COMPUTED_VALUE"""),"Yes,  Japanese")</f>
        <v>Yes,  Japanese</v>
      </c>
      <c r="Y18" s="1">
        <f>IFERROR(__xludf.DUMMYFUNCTION("""COMPUTED_VALUE"""),5.0)</f>
        <v>5</v>
      </c>
      <c r="Z18" s="1">
        <f>IFERROR(__xludf.DUMMYFUNCTION("""COMPUTED_VALUE"""),7.0)</f>
        <v>7</v>
      </c>
      <c r="AA18" s="1">
        <f>IFERROR(__xludf.DUMMYFUNCTION("""COMPUTED_VALUE"""),5.0)</f>
        <v>5</v>
      </c>
      <c r="AB18" s="1" t="str">
        <f>IFERROR(__xludf.DUMMYFUNCTION("""COMPUTED_VALUE"""),"No")</f>
        <v>No</v>
      </c>
    </row>
    <row r="19">
      <c r="A19" s="1" t="str">
        <f>IFERROR(__xludf.DUMMYFUNCTION("""COMPUTED_VALUE"""),"lbkMR2k")</f>
        <v>lbkMR2k</v>
      </c>
      <c r="B19" s="1" t="str">
        <f>IFERROR(__xludf.DUMMYFUNCTION("""COMPUTED_VALUE"""),"0Q6ZvjN")</f>
        <v>0Q6ZvjN</v>
      </c>
      <c r="C19" s="5">
        <f>IFERROR(__xludf.DUMMYFUNCTION("""COMPUTED_VALUE"""),46034.192824074074)</f>
        <v>46034.19282</v>
      </c>
      <c r="D19" s="1" t="str">
        <f>IFERROR(__xludf.DUMMYFUNCTION("""COMPUTED_VALUE"""),"26-35")</f>
        <v>26-35</v>
      </c>
      <c r="E19" s="1" t="str">
        <f>IFERROR(__xludf.DUMMYFUNCTION("""COMPUTED_VALUE"""),"Male")</f>
        <v>Male</v>
      </c>
      <c r="F19" s="1" t="str">
        <f>IFERROR(__xludf.DUMMYFUNCTION("""COMPUTED_VALUE"""),"¥12,000,000 or more")</f>
        <v>¥12,000,000 or more</v>
      </c>
      <c r="G19" s="1" t="str">
        <f>IFERROR(__xludf.DUMMYFUNCTION("""COMPUTED_VALUE"""),"Kanto")</f>
        <v>Kanto</v>
      </c>
      <c r="H19" s="1" t="str">
        <f>IFERROR(__xludf.DUMMYFUNCTION("""COMPUTED_VALUE"""),"Daily")</f>
        <v>Daily</v>
      </c>
      <c r="I19" s="1" t="str">
        <f>IFERROR(__xludf.DUMMYFUNCTION("""COMPUTED_VALUE"""),"Drip")</f>
        <v>Drip</v>
      </c>
      <c r="J19" s="1"/>
      <c r="K19" s="1" t="str">
        <f>IFERROR(__xludf.DUMMYFUNCTION("""COMPUTED_VALUE"""),"Never")</f>
        <v>Never</v>
      </c>
      <c r="L19" s="1"/>
      <c r="M19" s="1"/>
      <c r="N19" s="1" t="str">
        <f>IFERROR(__xludf.DUMMYFUNCTION("""COMPUTED_VALUE"""),"Taste/Flavor, Availability in the area")</f>
        <v>Taste/Flavor, Availability in the area</v>
      </c>
      <c r="O19" s="1"/>
      <c r="P19" s="1" t="str">
        <f>IFERROR(__xludf.DUMMYFUNCTION("""COMPUTED_VALUE"""),"At home, At cafés")</f>
        <v>At home, At cafés</v>
      </c>
      <c r="Q19" s="1"/>
      <c r="R19" s="1" t="str">
        <f>IFERROR(__xludf.DUMMYFUNCTION("""COMPUTED_VALUE"""),"Several times a week")</f>
        <v>Several times a week</v>
      </c>
      <c r="S19" s="1" t="str">
        <f>IFERROR(__xludf.DUMMYFUNCTION("""COMPUTED_VALUE"""),"To relax or take a break")</f>
        <v>To relax or take a break</v>
      </c>
      <c r="T19" s="1"/>
      <c r="U19" s="1" t="str">
        <f>IFERROR(__xludf.DUMMYFUNCTION("""COMPUTED_VALUE"""),"Quality of drinks")</f>
        <v>Quality of drinks</v>
      </c>
      <c r="V19" s="1"/>
      <c r="W19" s="1" t="str">
        <f>IFERROR(__xludf.DUMMYFUNCTION("""COMPUTED_VALUE"""),"Yes, Western")</f>
        <v>Yes, Western</v>
      </c>
      <c r="X19" s="1" t="str">
        <f>IFERROR(__xludf.DUMMYFUNCTION("""COMPUTED_VALUE"""),"Yes,  Japanese")</f>
        <v>Yes,  Japanese</v>
      </c>
      <c r="Y19" s="1">
        <f>IFERROR(__xludf.DUMMYFUNCTION("""COMPUTED_VALUE"""),5.0)</f>
        <v>5</v>
      </c>
      <c r="Z19" s="1">
        <f>IFERROR(__xludf.DUMMYFUNCTION("""COMPUTED_VALUE"""),7.0)</f>
        <v>7</v>
      </c>
      <c r="AA19" s="1">
        <f>IFERROR(__xludf.DUMMYFUNCTION("""COMPUTED_VALUE"""),5.0)</f>
        <v>5</v>
      </c>
      <c r="AB19" s="1" t="str">
        <f>IFERROR(__xludf.DUMMYFUNCTION("""COMPUTED_VALUE"""),"No")</f>
        <v>No</v>
      </c>
    </row>
    <row r="20">
      <c r="A20" s="1" t="str">
        <f>IFERROR(__xludf.DUMMYFUNCTION("""COMPUTED_VALUE"""),"1Aop20Q")</f>
        <v>1Aop20Q</v>
      </c>
      <c r="B20" s="1" t="str">
        <f>IFERROR(__xludf.DUMMYFUNCTION("""COMPUTED_VALUE"""),"dWx82Qr")</f>
        <v>dWx82Qr</v>
      </c>
      <c r="C20" s="5">
        <f>IFERROR(__xludf.DUMMYFUNCTION("""COMPUTED_VALUE"""),46034.210868055554)</f>
        <v>46034.21087</v>
      </c>
      <c r="D20" s="1" t="str">
        <f>IFERROR(__xludf.DUMMYFUNCTION("""COMPUTED_VALUE"""),"36-45")</f>
        <v>36-45</v>
      </c>
      <c r="E20" s="1" t="str">
        <f>IFERROR(__xludf.DUMMYFUNCTION("""COMPUTED_VALUE"""),"Male")</f>
        <v>Male</v>
      </c>
      <c r="F20" s="1" t="str">
        <f>IFERROR(__xludf.DUMMYFUNCTION("""COMPUTED_VALUE"""),"¥12,000,000 or more")</f>
        <v>¥12,000,000 or more</v>
      </c>
      <c r="G20" s="1" t="str">
        <f>IFERROR(__xludf.DUMMYFUNCTION("""COMPUTED_VALUE"""),"Okinawa")</f>
        <v>Okinawa</v>
      </c>
      <c r="H20" s="1" t="str">
        <f>IFERROR(__xludf.DUMMYFUNCTION("""COMPUTED_VALUE"""),"Daily")</f>
        <v>Daily</v>
      </c>
      <c r="I20" s="1" t="str">
        <f>IFERROR(__xludf.DUMMYFUNCTION("""COMPUTED_VALUE"""),"Pour Over")</f>
        <v>Pour Over</v>
      </c>
      <c r="J20" s="1"/>
      <c r="K20" s="1" t="str">
        <f>IFERROR(__xludf.DUMMYFUNCTION("""COMPUTED_VALUE"""),"Rarely")</f>
        <v>Rarely</v>
      </c>
      <c r="L20" s="1"/>
      <c r="M20" s="1"/>
      <c r="N20" s="1" t="str">
        <f>IFERROR(__xludf.DUMMYFUNCTION("""COMPUTED_VALUE"""),"Taste/Flavor, Routine/Ritual")</f>
        <v>Taste/Flavor, Routine/Ritual</v>
      </c>
      <c r="O20" s="1"/>
      <c r="P20" s="1"/>
      <c r="Q20" s="1"/>
      <c r="R20" s="1" t="str">
        <f>IFERROR(__xludf.DUMMYFUNCTION("""COMPUTED_VALUE"""),"A few times a month")</f>
        <v>A few times a month</v>
      </c>
      <c r="S20" s="1" t="str">
        <f>IFERROR(__xludf.DUMMYFUNCTION("""COMPUTED_VALUE"""),"Other:")</f>
        <v>Other:</v>
      </c>
      <c r="T20" s="1" t="str">
        <f>IFERROR(__xludf.DUMMYFUNCTION("""COMPUTED_VALUE"""),"Looking for a coffee if I am out running errands.")</f>
        <v>Looking for a coffee if I am out running errands.</v>
      </c>
      <c r="U20" s="1" t="str">
        <f>IFERROR(__xludf.DUMMYFUNCTION("""COMPUTED_VALUE"""),"Quality of drinks")</f>
        <v>Quality of drinks</v>
      </c>
      <c r="V20" s="1"/>
      <c r="W20" s="1" t="str">
        <f>IFERROR(__xludf.DUMMYFUNCTION("""COMPUTED_VALUE"""),"Yes, Global")</f>
        <v>Yes, Global</v>
      </c>
      <c r="X20" s="1" t="str">
        <f>IFERROR(__xludf.DUMMYFUNCTION("""COMPUTED_VALUE"""),"Yes,  Japanese")</f>
        <v>Yes,  Japanese</v>
      </c>
      <c r="Y20" s="1">
        <f>IFERROR(__xludf.DUMMYFUNCTION("""COMPUTED_VALUE"""),5.0)</f>
        <v>5</v>
      </c>
      <c r="Z20" s="1">
        <f>IFERROR(__xludf.DUMMYFUNCTION("""COMPUTED_VALUE"""),6.0)</f>
        <v>6</v>
      </c>
      <c r="AA20" s="1">
        <f>IFERROR(__xludf.DUMMYFUNCTION("""COMPUTED_VALUE"""),5.0)</f>
        <v>5</v>
      </c>
      <c r="AB20" s="1" t="str">
        <f>IFERROR(__xludf.DUMMYFUNCTION("""COMPUTED_VALUE"""),"No")</f>
        <v>No</v>
      </c>
    </row>
    <row r="21">
      <c r="A21" s="1" t="str">
        <f>IFERROR(__xludf.DUMMYFUNCTION("""COMPUTED_VALUE"""),"pbpkJZ8")</f>
        <v>pbpkJZ8</v>
      </c>
      <c r="B21" s="1" t="str">
        <f>IFERROR(__xludf.DUMMYFUNCTION("""COMPUTED_VALUE"""),"NpWb88G")</f>
        <v>NpWb88G</v>
      </c>
      <c r="C21" s="5">
        <f>IFERROR(__xludf.DUMMYFUNCTION("""COMPUTED_VALUE"""),46034.22730324074)</f>
        <v>46034.2273</v>
      </c>
      <c r="D21" s="1" t="str">
        <f>IFERROR(__xludf.DUMMYFUNCTION("""COMPUTED_VALUE"""),"56-65")</f>
        <v>56-65</v>
      </c>
      <c r="E21" s="1" t="str">
        <f>IFERROR(__xludf.DUMMYFUNCTION("""COMPUTED_VALUE"""),"Female")</f>
        <v>Female</v>
      </c>
      <c r="F21" s="1" t="str">
        <f>IFERROR(__xludf.DUMMYFUNCTION("""COMPUTED_VALUE"""),"¥12,000,000 or more")</f>
        <v>¥12,000,000 or more</v>
      </c>
      <c r="G21" s="1" t="str">
        <f>IFERROR(__xludf.DUMMYFUNCTION("""COMPUTED_VALUE"""),"Kanto")</f>
        <v>Kanto</v>
      </c>
      <c r="H21" s="1" t="str">
        <f>IFERROR(__xludf.DUMMYFUNCTION("""COMPUTED_VALUE"""),"Once a week")</f>
        <v>Once a week</v>
      </c>
      <c r="I21" s="1" t="str">
        <f>IFERROR(__xludf.DUMMYFUNCTION("""COMPUTED_VALUE"""),"Cappuccino")</f>
        <v>Cappuccino</v>
      </c>
      <c r="J21" s="1"/>
      <c r="K21" s="1" t="str">
        <f>IFERROR(__xludf.DUMMYFUNCTION("""COMPUTED_VALUE"""),"Rarely")</f>
        <v>Rarely</v>
      </c>
      <c r="L21" s="1"/>
      <c r="M21" s="1"/>
      <c r="N21" s="1" t="str">
        <f>IFERROR(__xludf.DUMMYFUNCTION("""COMPUTED_VALUE"""),"Mood")</f>
        <v>Mood</v>
      </c>
      <c r="O21" s="1"/>
      <c r="P21" s="1" t="str">
        <f>IFERROR(__xludf.DUMMYFUNCTION("""COMPUTED_VALUE"""),"At cafés")</f>
        <v>At cafés</v>
      </c>
      <c r="Q21" s="1"/>
      <c r="R21" s="1" t="str">
        <f>IFERROR(__xludf.DUMMYFUNCTION("""COMPUTED_VALUE"""),"A few times a month")</f>
        <v>A few times a month</v>
      </c>
      <c r="S21" s="1" t="str">
        <f>IFERROR(__xludf.DUMMYFUNCTION("""COMPUTED_VALUE"""),"To relax or take a break")</f>
        <v>To relax or take a break</v>
      </c>
      <c r="T21" s="1"/>
      <c r="U21" s="1" t="str">
        <f>IFERROR(__xludf.DUMMYFUNCTION("""COMPUTED_VALUE"""),"Atmosphere")</f>
        <v>Atmosphere</v>
      </c>
      <c r="V21" s="1"/>
      <c r="W21" s="1" t="str">
        <f>IFERROR(__xludf.DUMMYFUNCTION("""COMPUTED_VALUE"""),"No")</f>
        <v>No</v>
      </c>
      <c r="X21" s="1" t="str">
        <f>IFERROR(__xludf.DUMMYFUNCTION("""COMPUTED_VALUE"""),"No")</f>
        <v>No</v>
      </c>
      <c r="Y21" s="1">
        <f>IFERROR(__xludf.DUMMYFUNCTION("""COMPUTED_VALUE"""),7.0)</f>
        <v>7</v>
      </c>
      <c r="Z21" s="1">
        <f>IFERROR(__xludf.DUMMYFUNCTION("""COMPUTED_VALUE"""),7.0)</f>
        <v>7</v>
      </c>
      <c r="AA21" s="1">
        <f>IFERROR(__xludf.DUMMYFUNCTION("""COMPUTED_VALUE"""),7.0)</f>
        <v>7</v>
      </c>
      <c r="AB21" s="1" t="str">
        <f>IFERROR(__xludf.DUMMYFUNCTION("""COMPUTED_VALUE"""),"No")</f>
        <v>No</v>
      </c>
    </row>
    <row r="22">
      <c r="A22" s="1" t="str">
        <f>IFERROR(__xludf.DUMMYFUNCTION("""COMPUTED_VALUE"""),"PdJGJZB")</f>
        <v>PdJGJZB</v>
      </c>
      <c r="B22" s="1" t="str">
        <f>IFERROR(__xludf.DUMMYFUNCTION("""COMPUTED_VALUE"""),"J9AeG1K")</f>
        <v>J9AeG1K</v>
      </c>
      <c r="C22" s="5">
        <f>IFERROR(__xludf.DUMMYFUNCTION("""COMPUTED_VALUE"""),46034.28375)</f>
        <v>46034.28375</v>
      </c>
      <c r="D22" s="1" t="str">
        <f>IFERROR(__xludf.DUMMYFUNCTION("""COMPUTED_VALUE"""),"26-35")</f>
        <v>26-35</v>
      </c>
      <c r="E22" s="1" t="str">
        <f>IFERROR(__xludf.DUMMYFUNCTION("""COMPUTED_VALUE"""),"Female")</f>
        <v>Female</v>
      </c>
      <c r="F22" s="1" t="str">
        <f>IFERROR(__xludf.DUMMYFUNCTION("""COMPUTED_VALUE"""),"¥3,000,000 – ¥5,999,999")</f>
        <v>¥3,000,000 – ¥5,999,999</v>
      </c>
      <c r="G22" s="1" t="str">
        <f>IFERROR(__xludf.DUMMYFUNCTION("""COMPUTED_VALUE"""),"Kyushu")</f>
        <v>Kyushu</v>
      </c>
      <c r="H22" s="1" t="str">
        <f>IFERROR(__xludf.DUMMYFUNCTION("""COMPUTED_VALUE"""),"Never")</f>
        <v>Never</v>
      </c>
      <c r="I22" s="1"/>
      <c r="J22" s="1"/>
      <c r="K22" s="1" t="str">
        <f>IFERROR(__xludf.DUMMYFUNCTION("""COMPUTED_VALUE"""),"Rarely")</f>
        <v>Rarely</v>
      </c>
      <c r="L22" s="1" t="str">
        <f>IFERROR(__xludf.DUMMYFUNCTION("""COMPUTED_VALUE"""),"Koicha")</f>
        <v>Koicha</v>
      </c>
      <c r="M22" s="1"/>
      <c r="N22" s="1" t="str">
        <f>IFERROR(__xludf.DUMMYFUNCTION("""COMPUTED_VALUE"""),"Health benefits, Taste/Flavor")</f>
        <v>Health benefits, Taste/Flavor</v>
      </c>
      <c r="O22" s="1"/>
      <c r="P22" s="1" t="str">
        <f>IFERROR(__xludf.DUMMYFUNCTION("""COMPUTED_VALUE"""),"At cafés")</f>
        <v>At cafés</v>
      </c>
      <c r="Q22" s="1"/>
      <c r="R22" s="1" t="str">
        <f>IFERROR(__xludf.DUMMYFUNCTION("""COMPUTED_VALUE"""),"A few times a month")</f>
        <v>A few times a month</v>
      </c>
      <c r="S22" s="1" t="str">
        <f>IFERROR(__xludf.DUMMYFUNCTION("""COMPUTED_VALUE"""),"To meet friends")</f>
        <v>To meet friends</v>
      </c>
      <c r="T22" s="1"/>
      <c r="U22" s="1" t="str">
        <f>IFERROR(__xludf.DUMMYFUNCTION("""COMPUTED_VALUE"""),"Atmosphere")</f>
        <v>Atmosphere</v>
      </c>
      <c r="V22" s="1"/>
      <c r="W22" s="1" t="str">
        <f>IFERROR(__xludf.DUMMYFUNCTION("""COMPUTED_VALUE"""),"Yes, Global")</f>
        <v>Yes, Global</v>
      </c>
      <c r="X22" s="1" t="str">
        <f>IFERROR(__xludf.DUMMYFUNCTION("""COMPUTED_VALUE"""),"Yes,  Japanese")</f>
        <v>Yes,  Japanese</v>
      </c>
      <c r="Y22" s="1">
        <f>IFERROR(__xludf.DUMMYFUNCTION("""COMPUTED_VALUE"""),4.0)</f>
        <v>4</v>
      </c>
      <c r="Z22" s="1">
        <f>IFERROR(__xludf.DUMMYFUNCTION("""COMPUTED_VALUE"""),7.0)</f>
        <v>7</v>
      </c>
      <c r="AA22" s="1">
        <f>IFERROR(__xludf.DUMMYFUNCTION("""COMPUTED_VALUE"""),3.0)</f>
        <v>3</v>
      </c>
      <c r="AB22" s="1" t="str">
        <f>IFERROR(__xludf.DUMMYFUNCTION("""COMPUTED_VALUE"""),"No")</f>
        <v>No</v>
      </c>
    </row>
    <row r="23">
      <c r="A23" s="1" t="str">
        <f>IFERROR(__xludf.DUMMYFUNCTION("""COMPUTED_VALUE"""),"VLOyvYa")</f>
        <v>VLOyvYa</v>
      </c>
      <c r="B23" s="1" t="str">
        <f>IFERROR(__xludf.DUMMYFUNCTION("""COMPUTED_VALUE"""),"aQYlORX")</f>
        <v>aQYlORX</v>
      </c>
      <c r="C23" s="5">
        <f>IFERROR(__xludf.DUMMYFUNCTION("""COMPUTED_VALUE"""),46034.99045138889)</f>
        <v>46034.99045</v>
      </c>
      <c r="D23" s="1" t="str">
        <f>IFERROR(__xludf.DUMMYFUNCTION("""COMPUTED_VALUE"""),"46-55")</f>
        <v>46-55</v>
      </c>
      <c r="E23" s="1" t="str">
        <f>IFERROR(__xludf.DUMMYFUNCTION("""COMPUTED_VALUE"""),"Male")</f>
        <v>Male</v>
      </c>
      <c r="F23" s="1" t="str">
        <f>IFERROR(__xludf.DUMMYFUNCTION("""COMPUTED_VALUE"""),"Prefer not to say")</f>
        <v>Prefer not to say</v>
      </c>
      <c r="G23" s="1" t="str">
        <f>IFERROR(__xludf.DUMMYFUNCTION("""COMPUTED_VALUE"""),"Kanto")</f>
        <v>Kanto</v>
      </c>
      <c r="H23" s="1" t="str">
        <f>IFERROR(__xludf.DUMMYFUNCTION("""COMPUTED_VALUE"""),"Daily")</f>
        <v>Daily</v>
      </c>
      <c r="I23" s="1" t="str">
        <f>IFERROR(__xludf.DUMMYFUNCTION("""COMPUTED_VALUE"""),"Latte")</f>
        <v>Latte</v>
      </c>
      <c r="J23" s="1"/>
      <c r="K23" s="1" t="str">
        <f>IFERROR(__xludf.DUMMYFUNCTION("""COMPUTED_VALUE"""),"Rarely")</f>
        <v>Rarely</v>
      </c>
      <c r="L23" s="1" t="str">
        <f>IFERROR(__xludf.DUMMYFUNCTION("""COMPUTED_VALUE"""),"I don’t drink matcha")</f>
        <v>I don’t drink matcha</v>
      </c>
      <c r="M23" s="1"/>
      <c r="N23" s="1" t="str">
        <f>IFERROR(__xludf.DUMMYFUNCTION("""COMPUTED_VALUE"""),"Taste/Flavor, Price")</f>
        <v>Taste/Flavor, Price</v>
      </c>
      <c r="O23" s="1"/>
      <c r="P23" s="1" t="str">
        <f>IFERROR(__xludf.DUMMYFUNCTION("""COMPUTED_VALUE"""),"At home, At cafés")</f>
        <v>At home, At cafés</v>
      </c>
      <c r="Q23" s="1"/>
      <c r="R23" s="1" t="str">
        <f>IFERROR(__xludf.DUMMYFUNCTION("""COMPUTED_VALUE"""),"A few times a month")</f>
        <v>A few times a month</v>
      </c>
      <c r="S23" s="1" t="str">
        <f>IFERROR(__xludf.DUMMYFUNCTION("""COMPUTED_VALUE"""),"To try a new drink")</f>
        <v>To try a new drink</v>
      </c>
      <c r="T23" s="1"/>
      <c r="U23" s="1" t="str">
        <f>IFERROR(__xludf.DUMMYFUNCTION("""COMPUTED_VALUE"""),"Quality of drinks")</f>
        <v>Quality of drinks</v>
      </c>
      <c r="V23" s="1"/>
      <c r="W23" s="1" t="str">
        <f>IFERROR(__xludf.DUMMYFUNCTION("""COMPUTED_VALUE"""),"Unsure")</f>
        <v>Unsure</v>
      </c>
      <c r="X23" s="1" t="str">
        <f>IFERROR(__xludf.DUMMYFUNCTION("""COMPUTED_VALUE"""),"Yes,  Japanese")</f>
        <v>Yes,  Japanese</v>
      </c>
      <c r="Y23" s="1">
        <f>IFERROR(__xludf.DUMMYFUNCTION("""COMPUTED_VALUE"""),3.0)</f>
        <v>3</v>
      </c>
      <c r="Z23" s="1">
        <f>IFERROR(__xludf.DUMMYFUNCTION("""COMPUTED_VALUE"""),6.0)</f>
        <v>6</v>
      </c>
      <c r="AA23" s="1">
        <f>IFERROR(__xludf.DUMMYFUNCTION("""COMPUTED_VALUE"""),5.0)</f>
        <v>5</v>
      </c>
      <c r="AB23" s="1" t="str">
        <f>IFERROR(__xludf.DUMMYFUNCTION("""COMPUTED_VALUE"""),"No")</f>
        <v>No</v>
      </c>
    </row>
    <row r="24">
      <c r="A24" s="1" t="str">
        <f>IFERROR(__xludf.DUMMYFUNCTION("""COMPUTED_VALUE"""),"1AoYXdg")</f>
        <v>1AoYXdg</v>
      </c>
      <c r="B24" s="1" t="str">
        <f>IFERROR(__xludf.DUMMYFUNCTION("""COMPUTED_VALUE"""),"zxDgaGR")</f>
        <v>zxDgaGR</v>
      </c>
      <c r="C24" s="5">
        <f>IFERROR(__xludf.DUMMYFUNCTION("""COMPUTED_VALUE"""),46035.496030092596)</f>
        <v>46035.49603</v>
      </c>
      <c r="D24" s="1" t="str">
        <f>IFERROR(__xludf.DUMMYFUNCTION("""COMPUTED_VALUE"""),"56-65")</f>
        <v>56-65</v>
      </c>
      <c r="E24" s="1" t="str">
        <f>IFERROR(__xludf.DUMMYFUNCTION("""COMPUTED_VALUE"""),"Male")</f>
        <v>Male</v>
      </c>
      <c r="F24" s="1" t="str">
        <f>IFERROR(__xludf.DUMMYFUNCTION("""COMPUTED_VALUE"""),"¥12,000,000 or more")</f>
        <v>¥12,000,000 or more</v>
      </c>
      <c r="G24" s="1" t="str">
        <f>IFERROR(__xludf.DUMMYFUNCTION("""COMPUTED_VALUE"""),"Kanto")</f>
        <v>Kanto</v>
      </c>
      <c r="H24" s="1" t="str">
        <f>IFERROR(__xludf.DUMMYFUNCTION("""COMPUTED_VALUE"""),"Daily")</f>
        <v>Daily</v>
      </c>
      <c r="I24" s="1" t="str">
        <f>IFERROR(__xludf.DUMMYFUNCTION("""COMPUTED_VALUE"""),"Drip")</f>
        <v>Drip</v>
      </c>
      <c r="J24" s="1"/>
      <c r="K24" s="1" t="str">
        <f>IFERROR(__xludf.DUMMYFUNCTION("""COMPUTED_VALUE"""),"Rarely")</f>
        <v>Rarely</v>
      </c>
      <c r="L24" s="1" t="str">
        <f>IFERROR(__xludf.DUMMYFUNCTION("""COMPUTED_VALUE"""),"Usucha")</f>
        <v>Usucha</v>
      </c>
      <c r="M24" s="1"/>
      <c r="N24" s="1" t="str">
        <f>IFERROR(__xludf.DUMMYFUNCTION("""COMPUTED_VALUE"""),"Energy boost/Caffeine, Routine/Ritual")</f>
        <v>Energy boost/Caffeine, Routine/Ritual</v>
      </c>
      <c r="O24" s="1"/>
      <c r="P24" s="1" t="str">
        <f>IFERROR(__xludf.DUMMYFUNCTION("""COMPUTED_VALUE"""),"At home")</f>
        <v>At home</v>
      </c>
      <c r="Q24" s="1"/>
      <c r="R24" s="1" t="str">
        <f>IFERROR(__xludf.DUMMYFUNCTION("""COMPUTED_VALUE"""),"Rarely")</f>
        <v>Rarely</v>
      </c>
      <c r="S24" s="1"/>
      <c r="T24" s="1"/>
      <c r="U24" s="1"/>
      <c r="V24" s="1"/>
      <c r="W24" s="1" t="str">
        <f>IFERROR(__xludf.DUMMYFUNCTION("""COMPUTED_VALUE"""),"No")</f>
        <v>No</v>
      </c>
      <c r="X24" s="1" t="str">
        <f>IFERROR(__xludf.DUMMYFUNCTION("""COMPUTED_VALUE"""),"Yes,  Japanese")</f>
        <v>Yes,  Japanese</v>
      </c>
      <c r="Y24" s="1">
        <f>IFERROR(__xludf.DUMMYFUNCTION("""COMPUTED_VALUE"""),6.0)</f>
        <v>6</v>
      </c>
      <c r="Z24" s="1">
        <f>IFERROR(__xludf.DUMMYFUNCTION("""COMPUTED_VALUE"""),7.0)</f>
        <v>7</v>
      </c>
      <c r="AA24" s="1">
        <f>IFERROR(__xludf.DUMMYFUNCTION("""COMPUTED_VALUE"""),3.0)</f>
        <v>3</v>
      </c>
      <c r="AB24" s="1" t="str">
        <f>IFERROR(__xludf.DUMMYFUNCTION("""COMPUTED_VALUE"""),"No")</f>
        <v>No</v>
      </c>
    </row>
    <row r="25">
      <c r="A25" s="1" t="str">
        <f>IFERROR(__xludf.DUMMYFUNCTION("""COMPUTED_VALUE"""),"Np1xMBB")</f>
        <v>Np1xMBB</v>
      </c>
      <c r="B25" s="1" t="str">
        <f>IFERROR(__xludf.DUMMYFUNCTION("""COMPUTED_VALUE"""),"vGypYa0")</f>
        <v>vGypYa0</v>
      </c>
      <c r="C25" s="5">
        <f>IFERROR(__xludf.DUMMYFUNCTION("""COMPUTED_VALUE"""),46035.538877314815)</f>
        <v>46035.53888</v>
      </c>
      <c r="D25" s="1" t="str">
        <f>IFERROR(__xludf.DUMMYFUNCTION("""COMPUTED_VALUE"""),"36-45")</f>
        <v>36-45</v>
      </c>
      <c r="E25" s="1" t="str">
        <f>IFERROR(__xludf.DUMMYFUNCTION("""COMPUTED_VALUE"""),"Female")</f>
        <v>Female</v>
      </c>
      <c r="F25" s="1" t="str">
        <f>IFERROR(__xludf.DUMMYFUNCTION("""COMPUTED_VALUE"""),"¥12,000,000 or more")</f>
        <v>¥12,000,000 or more</v>
      </c>
      <c r="G25" s="1" t="str">
        <f>IFERROR(__xludf.DUMMYFUNCTION("""COMPUTED_VALUE"""),"Kanto")</f>
        <v>Kanto</v>
      </c>
      <c r="H25" s="1" t="str">
        <f>IFERROR(__xludf.DUMMYFUNCTION("""COMPUTED_VALUE"""),"Daily")</f>
        <v>Daily</v>
      </c>
      <c r="I25" s="1" t="str">
        <f>IFERROR(__xludf.DUMMYFUNCTION("""COMPUTED_VALUE"""),"Latte")</f>
        <v>Latte</v>
      </c>
      <c r="J25" s="1"/>
      <c r="K25" s="1" t="str">
        <f>IFERROR(__xludf.DUMMYFUNCTION("""COMPUTED_VALUE"""),"Rarely")</f>
        <v>Rarely</v>
      </c>
      <c r="L25" s="1" t="str">
        <f>IFERROR(__xludf.DUMMYFUNCTION("""COMPUTED_VALUE"""),"Matcha Latte")</f>
        <v>Matcha Latte</v>
      </c>
      <c r="M25" s="1"/>
      <c r="N25" s="1" t="str">
        <f>IFERROR(__xludf.DUMMYFUNCTION("""COMPUTED_VALUE"""),"Taste/Flavor, Routine/Ritual")</f>
        <v>Taste/Flavor, Routine/Ritual</v>
      </c>
      <c r="O25" s="1"/>
      <c r="P25" s="1" t="str">
        <f>IFERROR(__xludf.DUMMYFUNCTION("""COMPUTED_VALUE"""),"At home, At cafés")</f>
        <v>At home, At cafés</v>
      </c>
      <c r="Q25" s="1"/>
      <c r="R25" s="1" t="str">
        <f>IFERROR(__xludf.DUMMYFUNCTION("""COMPUTED_VALUE"""),"Several times a week")</f>
        <v>Several times a week</v>
      </c>
      <c r="S25" s="1" t="str">
        <f>IFERROR(__xludf.DUMMYFUNCTION("""COMPUTED_VALUE"""),"To meet friends")</f>
        <v>To meet friends</v>
      </c>
      <c r="T25" s="1"/>
      <c r="U25" s="1" t="str">
        <f>IFERROR(__xludf.DUMMYFUNCTION("""COMPUTED_VALUE"""),"Atmosphere")</f>
        <v>Atmosphere</v>
      </c>
      <c r="V25" s="1"/>
      <c r="W25" s="1" t="str">
        <f>IFERROR(__xludf.DUMMYFUNCTION("""COMPUTED_VALUE"""),"Yes, Western")</f>
        <v>Yes, Western</v>
      </c>
      <c r="X25" s="1" t="str">
        <f>IFERROR(__xludf.DUMMYFUNCTION("""COMPUTED_VALUE"""),"Yes,  Japanese")</f>
        <v>Yes,  Japanese</v>
      </c>
      <c r="Y25" s="1">
        <f>IFERROR(__xludf.DUMMYFUNCTION("""COMPUTED_VALUE"""),5.0)</f>
        <v>5</v>
      </c>
      <c r="Z25" s="1">
        <f>IFERROR(__xludf.DUMMYFUNCTION("""COMPUTED_VALUE"""),7.0)</f>
        <v>7</v>
      </c>
      <c r="AA25" s="1">
        <f>IFERROR(__xludf.DUMMYFUNCTION("""COMPUTED_VALUE"""),6.0)</f>
        <v>6</v>
      </c>
      <c r="AB25" s="1" t="str">
        <f>IFERROR(__xludf.DUMMYFUNCTION("""COMPUTED_VALUE"""),"Yes")</f>
        <v>Yes</v>
      </c>
    </row>
    <row r="26">
      <c r="A26" s="1" t="str">
        <f>IFERROR(__xludf.DUMMYFUNCTION("""COMPUTED_VALUE"""),"0QRRDM9")</f>
        <v>0QRRDM9</v>
      </c>
      <c r="B26" s="1" t="str">
        <f>IFERROR(__xludf.DUMMYFUNCTION("""COMPUTED_VALUE"""),"Pd5ezN5")</f>
        <v>Pd5ezN5</v>
      </c>
      <c r="C26" s="5">
        <f>IFERROR(__xludf.DUMMYFUNCTION("""COMPUTED_VALUE"""),46035.88854166667)</f>
        <v>46035.88854</v>
      </c>
      <c r="D26" s="1" t="str">
        <f>IFERROR(__xludf.DUMMYFUNCTION("""COMPUTED_VALUE"""),"18-25")</f>
        <v>18-25</v>
      </c>
      <c r="E26" s="1" t="str">
        <f>IFERROR(__xludf.DUMMYFUNCTION("""COMPUTED_VALUE"""),"Female")</f>
        <v>Female</v>
      </c>
      <c r="F26" s="1" t="str">
        <f>IFERROR(__xludf.DUMMYFUNCTION("""COMPUTED_VALUE"""),"Under ¥3,000,000")</f>
        <v>Under ¥3,000,000</v>
      </c>
      <c r="G26" s="1" t="str">
        <f>IFERROR(__xludf.DUMMYFUNCTION("""COMPUTED_VALUE"""),"Kanto")</f>
        <v>Kanto</v>
      </c>
      <c r="H26" s="1" t="str">
        <f>IFERROR(__xludf.DUMMYFUNCTION("""COMPUTED_VALUE"""),"Rarely")</f>
        <v>Rarely</v>
      </c>
      <c r="I26" s="1" t="str">
        <f>IFERROR(__xludf.DUMMYFUNCTION("""COMPUTED_VALUE"""),"Latte")</f>
        <v>Latte</v>
      </c>
      <c r="J26" s="1"/>
      <c r="K26" s="1" t="str">
        <f>IFERROR(__xludf.DUMMYFUNCTION("""COMPUTED_VALUE"""),"Rarely")</f>
        <v>Rarely</v>
      </c>
      <c r="L26" s="1" t="str">
        <f>IFERROR(__xludf.DUMMYFUNCTION("""COMPUTED_VALUE"""),"Matcha Latte")</f>
        <v>Matcha Latte</v>
      </c>
      <c r="M26" s="1"/>
      <c r="N26" s="1" t="str">
        <f>IFERROR(__xludf.DUMMYFUNCTION("""COMPUTED_VALUE"""),"Taste/Flavor, Price")</f>
        <v>Taste/Flavor, Price</v>
      </c>
      <c r="O26" s="1"/>
      <c r="P26" s="1" t="str">
        <f>IFERROR(__xludf.DUMMYFUNCTION("""COMPUTED_VALUE"""),"At cafés")</f>
        <v>At cafés</v>
      </c>
      <c r="Q26" s="1"/>
      <c r="R26" s="1" t="str">
        <f>IFERROR(__xludf.DUMMYFUNCTION("""COMPUTED_VALUE"""),"A few times a month")</f>
        <v>A few times a month</v>
      </c>
      <c r="S26" s="1" t="str">
        <f>IFERROR(__xludf.DUMMYFUNCTION("""COMPUTED_VALUE"""),"To meet friends")</f>
        <v>To meet friends</v>
      </c>
      <c r="T26" s="1"/>
      <c r="U26" s="1" t="str">
        <f>IFERROR(__xludf.DUMMYFUNCTION("""COMPUTED_VALUE"""),"Atmosphere")</f>
        <v>Atmosphere</v>
      </c>
      <c r="V26" s="1"/>
      <c r="W26" s="1" t="str">
        <f>IFERROR(__xludf.DUMMYFUNCTION("""COMPUTED_VALUE"""),"Yes, Western")</f>
        <v>Yes, Western</v>
      </c>
      <c r="X26" s="1" t="str">
        <f>IFERROR(__xludf.DUMMYFUNCTION("""COMPUTED_VALUE"""),"Yes,  Japanese")</f>
        <v>Yes,  Japanese</v>
      </c>
      <c r="Y26" s="1">
        <f>IFERROR(__xludf.DUMMYFUNCTION("""COMPUTED_VALUE"""),5.0)</f>
        <v>5</v>
      </c>
      <c r="Z26" s="1">
        <f>IFERROR(__xludf.DUMMYFUNCTION("""COMPUTED_VALUE"""),6.0)</f>
        <v>6</v>
      </c>
      <c r="AA26" s="1">
        <f>IFERROR(__xludf.DUMMYFUNCTION("""COMPUTED_VALUE"""),6.0)</f>
        <v>6</v>
      </c>
      <c r="AB26" s="1" t="str">
        <f>IFERROR(__xludf.DUMMYFUNCTION("""COMPUTED_VALUE"""),"Yes")</f>
        <v>Yes</v>
      </c>
    </row>
    <row r="27">
      <c r="A27" s="1" t="str">
        <f>IFERROR(__xludf.DUMMYFUNCTION("""COMPUTED_VALUE"""),"jaAVL44")</f>
        <v>jaAVL44</v>
      </c>
      <c r="B27" s="1" t="str">
        <f>IFERROR(__xludf.DUMMYFUNCTION("""COMPUTED_VALUE"""),"2ENyYKL")</f>
        <v>2ENyYKL</v>
      </c>
      <c r="C27" s="5">
        <f>IFERROR(__xludf.DUMMYFUNCTION("""COMPUTED_VALUE"""),46036.025509259256)</f>
        <v>46036.02551</v>
      </c>
      <c r="D27" s="1" t="str">
        <f>IFERROR(__xludf.DUMMYFUNCTION("""COMPUTED_VALUE"""),"36-45")</f>
        <v>36-45</v>
      </c>
      <c r="E27" s="1" t="str">
        <f>IFERROR(__xludf.DUMMYFUNCTION("""COMPUTED_VALUE"""),"Female")</f>
        <v>Female</v>
      </c>
      <c r="F27" s="1" t="str">
        <f>IFERROR(__xludf.DUMMYFUNCTION("""COMPUTED_VALUE"""),"Under ¥3,000,000")</f>
        <v>Under ¥3,000,000</v>
      </c>
      <c r="G27" s="1" t="str">
        <f>IFERROR(__xludf.DUMMYFUNCTION("""COMPUTED_VALUE"""),"Kanto")</f>
        <v>Kanto</v>
      </c>
      <c r="H27" s="1" t="str">
        <f>IFERROR(__xludf.DUMMYFUNCTION("""COMPUTED_VALUE"""),"Daily")</f>
        <v>Daily</v>
      </c>
      <c r="I27" s="1" t="str">
        <f>IFERROR(__xludf.DUMMYFUNCTION("""COMPUTED_VALUE"""),"Drip")</f>
        <v>Drip</v>
      </c>
      <c r="J27" s="1"/>
      <c r="K27" s="1" t="str">
        <f>IFERROR(__xludf.DUMMYFUNCTION("""COMPUTED_VALUE"""),"Never")</f>
        <v>Never</v>
      </c>
      <c r="L27" s="1"/>
      <c r="M27" s="1"/>
      <c r="N27" s="1" t="str">
        <f>IFERROR(__xludf.DUMMYFUNCTION("""COMPUTED_VALUE"""),"Energy boost/Caffeine, Taste/Flavor")</f>
        <v>Energy boost/Caffeine, Taste/Flavor</v>
      </c>
      <c r="O27" s="1"/>
      <c r="P27" s="1" t="str">
        <f>IFERROR(__xludf.DUMMYFUNCTION("""COMPUTED_VALUE"""),"At cafés, At home, From convenience stores (7-Eleven, Lawson, etc.), From vending machines")</f>
        <v>At cafés, At home, From convenience stores (7-Eleven, Lawson, etc.), From vending machines</v>
      </c>
      <c r="Q27" s="1"/>
      <c r="R27" s="1" t="str">
        <f>IFERROR(__xludf.DUMMYFUNCTION("""COMPUTED_VALUE"""),"Several times a week")</f>
        <v>Several times a week</v>
      </c>
      <c r="S27" s="1" t="str">
        <f>IFERROR(__xludf.DUMMYFUNCTION("""COMPUTED_VALUE"""),"To study/work")</f>
        <v>To study/work</v>
      </c>
      <c r="T27" s="1"/>
      <c r="U27" s="1" t="str">
        <f>IFERROR(__xludf.DUMMYFUNCTION("""COMPUTED_VALUE"""),"Atmosphere")</f>
        <v>Atmosphere</v>
      </c>
      <c r="V27" s="1"/>
      <c r="W27" s="1" t="str">
        <f>IFERROR(__xludf.DUMMYFUNCTION("""COMPUTED_VALUE"""),"Yes, Western")</f>
        <v>Yes, Western</v>
      </c>
      <c r="X27" s="1" t="str">
        <f>IFERROR(__xludf.DUMMYFUNCTION("""COMPUTED_VALUE"""),"Yes,  Japanese")</f>
        <v>Yes,  Japanese</v>
      </c>
      <c r="Y27" s="1">
        <f>IFERROR(__xludf.DUMMYFUNCTION("""COMPUTED_VALUE"""),7.0)</f>
        <v>7</v>
      </c>
      <c r="Z27" s="1">
        <f>IFERROR(__xludf.DUMMYFUNCTION("""COMPUTED_VALUE"""),7.0)</f>
        <v>7</v>
      </c>
      <c r="AA27" s="1">
        <f>IFERROR(__xludf.DUMMYFUNCTION("""COMPUTED_VALUE"""),7.0)</f>
        <v>7</v>
      </c>
      <c r="AB27" s="1" t="str">
        <f>IFERROR(__xludf.DUMMYFUNCTION("""COMPUTED_VALUE"""),"No")</f>
        <v>No</v>
      </c>
    </row>
    <row r="28">
      <c r="A28" s="1" t="str">
        <f>IFERROR(__xludf.DUMMYFUNCTION("""COMPUTED_VALUE"""),"2EG61yA")</f>
        <v>2EG61yA</v>
      </c>
      <c r="B28" s="1" t="str">
        <f>IFERROR(__xludf.DUMMYFUNCTION("""COMPUTED_VALUE"""),"jaQYAYR")</f>
        <v>jaQYAYR</v>
      </c>
      <c r="C28" s="5">
        <f>IFERROR(__xludf.DUMMYFUNCTION("""COMPUTED_VALUE"""),46036.04703703704)</f>
        <v>46036.04704</v>
      </c>
      <c r="D28" s="1" t="str">
        <f>IFERROR(__xludf.DUMMYFUNCTION("""COMPUTED_VALUE"""),"46-55")</f>
        <v>46-55</v>
      </c>
      <c r="E28" s="1" t="str">
        <f>IFERROR(__xludf.DUMMYFUNCTION("""COMPUTED_VALUE"""),"Female")</f>
        <v>Female</v>
      </c>
      <c r="F28" s="1" t="str">
        <f>IFERROR(__xludf.DUMMYFUNCTION("""COMPUTED_VALUE"""),"¥3,000,000 – ¥5,999,999")</f>
        <v>¥3,000,000 – ¥5,999,999</v>
      </c>
      <c r="G28" s="1" t="str">
        <f>IFERROR(__xludf.DUMMYFUNCTION("""COMPUTED_VALUE"""),"Kanto")</f>
        <v>Kanto</v>
      </c>
      <c r="H28" s="1" t="str">
        <f>IFERROR(__xludf.DUMMYFUNCTION("""COMPUTED_VALUE"""),"Daily")</f>
        <v>Daily</v>
      </c>
      <c r="I28" s="1" t="str">
        <f>IFERROR(__xludf.DUMMYFUNCTION("""COMPUTED_VALUE"""),"Pour Over")</f>
        <v>Pour Over</v>
      </c>
      <c r="J28" s="1"/>
      <c r="K28" s="1" t="str">
        <f>IFERROR(__xludf.DUMMYFUNCTION("""COMPUTED_VALUE"""),"Rarely")</f>
        <v>Rarely</v>
      </c>
      <c r="L28" s="1" t="str">
        <f>IFERROR(__xludf.DUMMYFUNCTION("""COMPUTED_VALUE"""),"Matcha Latte")</f>
        <v>Matcha Latte</v>
      </c>
      <c r="M28" s="1"/>
      <c r="N28" s="1" t="str">
        <f>IFERROR(__xludf.DUMMYFUNCTION("""COMPUTED_VALUE"""),"Time of day")</f>
        <v>Time of day</v>
      </c>
      <c r="O28" s="1" t="str">
        <f>IFERROR(__xludf.DUMMYFUNCTION("""COMPUTED_VALUE"""),"Physical state")</f>
        <v>Physical state</v>
      </c>
      <c r="P28" s="1" t="str">
        <f>IFERROR(__xludf.DUMMYFUNCTION("""COMPUTED_VALUE"""),"At cafés")</f>
        <v>At cafés</v>
      </c>
      <c r="Q28" s="1"/>
      <c r="R28" s="1" t="str">
        <f>IFERROR(__xludf.DUMMYFUNCTION("""COMPUTED_VALUE"""),"A few times a month")</f>
        <v>A few times a month</v>
      </c>
      <c r="S28" s="1" t="str">
        <f>IFERROR(__xludf.DUMMYFUNCTION("""COMPUTED_VALUE"""),"To study/work")</f>
        <v>To study/work</v>
      </c>
      <c r="T28" s="1"/>
      <c r="U28" s="1" t="str">
        <f>IFERROR(__xludf.DUMMYFUNCTION("""COMPUTED_VALUE"""),"Atmosphere")</f>
        <v>Atmosphere</v>
      </c>
      <c r="V28" s="1"/>
      <c r="W28" s="1" t="str">
        <f>IFERROR(__xludf.DUMMYFUNCTION("""COMPUTED_VALUE"""),"Yes, Global")</f>
        <v>Yes, Global</v>
      </c>
      <c r="X28" s="1" t="str">
        <f>IFERROR(__xludf.DUMMYFUNCTION("""COMPUTED_VALUE"""),"Yes,  Japanese")</f>
        <v>Yes,  Japanese</v>
      </c>
      <c r="Y28" s="1">
        <f>IFERROR(__xludf.DUMMYFUNCTION("""COMPUTED_VALUE"""),7.0)</f>
        <v>7</v>
      </c>
      <c r="Z28" s="1">
        <f>IFERROR(__xludf.DUMMYFUNCTION("""COMPUTED_VALUE"""),7.0)</f>
        <v>7</v>
      </c>
      <c r="AA28" s="1">
        <f>IFERROR(__xludf.DUMMYFUNCTION("""COMPUTED_VALUE"""),7.0)</f>
        <v>7</v>
      </c>
      <c r="AB28" s="1" t="str">
        <f>IFERROR(__xludf.DUMMYFUNCTION("""COMPUTED_VALUE"""),"Yes")</f>
        <v>Yes</v>
      </c>
    </row>
    <row r="29">
      <c r="A29" s="1" t="str">
        <f>IFERROR(__xludf.DUMMYFUNCTION("""COMPUTED_VALUE"""),"dWeyOkr")</f>
        <v>dWeyOkr</v>
      </c>
      <c r="B29" s="1" t="str">
        <f>IFERROR(__xludf.DUMMYFUNCTION("""COMPUTED_VALUE"""),"MezQKo8")</f>
        <v>MezQKo8</v>
      </c>
      <c r="C29" s="5">
        <f>IFERROR(__xludf.DUMMYFUNCTION("""COMPUTED_VALUE"""),46036.105625)</f>
        <v>46036.10563</v>
      </c>
      <c r="D29" s="1" t="str">
        <f>IFERROR(__xludf.DUMMYFUNCTION("""COMPUTED_VALUE"""),"56-65")</f>
        <v>56-65</v>
      </c>
      <c r="E29" s="1" t="str">
        <f>IFERROR(__xludf.DUMMYFUNCTION("""COMPUTED_VALUE"""),"Male")</f>
        <v>Male</v>
      </c>
      <c r="F29" s="1" t="str">
        <f>IFERROR(__xludf.DUMMYFUNCTION("""COMPUTED_VALUE"""),"¥3,000,000 – ¥5,999,999")</f>
        <v>¥3,000,000 – ¥5,999,999</v>
      </c>
      <c r="G29" s="1" t="str">
        <f>IFERROR(__xludf.DUMMYFUNCTION("""COMPUTED_VALUE"""),"Kanto")</f>
        <v>Kanto</v>
      </c>
      <c r="H29" s="1" t="str">
        <f>IFERROR(__xludf.DUMMYFUNCTION("""COMPUTED_VALUE"""),"Daily")</f>
        <v>Daily</v>
      </c>
      <c r="I29" s="1" t="str">
        <f>IFERROR(__xludf.DUMMYFUNCTION("""COMPUTED_VALUE"""),"Latte")</f>
        <v>Latte</v>
      </c>
      <c r="J29" s="1"/>
      <c r="K29" s="1" t="str">
        <f>IFERROR(__xludf.DUMMYFUNCTION("""COMPUTED_VALUE"""),"Rarely")</f>
        <v>Rarely</v>
      </c>
      <c r="L29" s="1" t="str">
        <f>IFERROR(__xludf.DUMMYFUNCTION("""COMPUTED_VALUE"""),"Usucha")</f>
        <v>Usucha</v>
      </c>
      <c r="M29" s="1" t="str">
        <f>IFERROR(__xludf.DUMMYFUNCTION("""COMPUTED_VALUE"""),"I do not drink matcha at home. At a teahouse or tea ceremony, it would be Usucha.")</f>
        <v>I do not drink matcha at home. At a teahouse or tea ceremony, it would be Usucha.</v>
      </c>
      <c r="N29" s="1" t="str">
        <f>IFERROR(__xludf.DUMMYFUNCTION("""COMPUTED_VALUE"""),"Routine/Ritual, When there is nice Wagashi, matcha will be nice. However, at home, we usually drink regular green tea instead.")</f>
        <v>Routine/Ritual, When there is nice Wagashi, matcha will be nice. However, at home, we usually drink regular green tea instead.</v>
      </c>
      <c r="O29" s="1" t="str">
        <f>IFERROR(__xludf.DUMMYFUNCTION("""COMPUTED_VALUE"""),"As far as I know, matcha has become popular among young people in the form of ice cream or shredded ice, rather than taking matcha tea itself.")</f>
        <v>As far as I know, matcha has become popular among young people in the form of ice cream or shredded ice, rather than taking matcha tea itself.</v>
      </c>
      <c r="P29" s="1" t="str">
        <f>IFERROR(__xludf.DUMMYFUNCTION("""COMPUTED_VALUE"""),"At cafés, At home")</f>
        <v>At cafés, At home</v>
      </c>
      <c r="Q29" s="1"/>
      <c r="R29" s="1" t="str">
        <f>IFERROR(__xludf.DUMMYFUNCTION("""COMPUTED_VALUE"""),"A few times a month")</f>
        <v>A few times a month</v>
      </c>
      <c r="S29" s="1" t="str">
        <f>IFERROR(__xludf.DUMMYFUNCTION("""COMPUTED_VALUE"""),"To meet friends")</f>
        <v>To meet friends</v>
      </c>
      <c r="T29" s="1"/>
      <c r="U29" s="1" t="str">
        <f>IFERROR(__xludf.DUMMYFUNCTION("""COMPUTED_VALUE"""),"Quality of drinks")</f>
        <v>Quality of drinks</v>
      </c>
      <c r="V29" s="1"/>
      <c r="W29" s="1" t="str">
        <f>IFERROR(__xludf.DUMMYFUNCTION("""COMPUTED_VALUE"""),"Yes, Global")</f>
        <v>Yes, Global</v>
      </c>
      <c r="X29" s="1" t="str">
        <f>IFERROR(__xludf.DUMMYFUNCTION("""COMPUTED_VALUE"""),"Yes,  Japanese")</f>
        <v>Yes,  Japanese</v>
      </c>
      <c r="Y29" s="1">
        <f>IFERROR(__xludf.DUMMYFUNCTION("""COMPUTED_VALUE"""),7.0)</f>
        <v>7</v>
      </c>
      <c r="Z29" s="1">
        <f>IFERROR(__xludf.DUMMYFUNCTION("""COMPUTED_VALUE"""),7.0)</f>
        <v>7</v>
      </c>
      <c r="AA29" s="1">
        <f>IFERROR(__xludf.DUMMYFUNCTION("""COMPUTED_VALUE"""),5.0)</f>
        <v>5</v>
      </c>
      <c r="AB29" s="1" t="str">
        <f>IFERROR(__xludf.DUMMYFUNCTION("""COMPUTED_VALUE"""),"No")</f>
        <v>No</v>
      </c>
    </row>
    <row r="30">
      <c r="A30" s="1" t="str">
        <f>IFERROR(__xludf.DUMMYFUNCTION("""COMPUTED_VALUE"""),"44brLkk")</f>
        <v>44brLkk</v>
      </c>
      <c r="B30" s="1" t="str">
        <f>IFERROR(__xludf.DUMMYFUNCTION("""COMPUTED_VALUE"""),"xXaGJly")</f>
        <v>xXaGJly</v>
      </c>
      <c r="C30" s="5">
        <f>IFERROR(__xludf.DUMMYFUNCTION("""COMPUTED_VALUE"""),46038.19315972222)</f>
        <v>46038.19316</v>
      </c>
      <c r="D30" s="1" t="str">
        <f>IFERROR(__xludf.DUMMYFUNCTION("""COMPUTED_VALUE"""),"46-55")</f>
        <v>46-55</v>
      </c>
      <c r="E30" s="1" t="str">
        <f>IFERROR(__xludf.DUMMYFUNCTION("""COMPUTED_VALUE"""),"Male")</f>
        <v>Male</v>
      </c>
      <c r="F30" s="1" t="str">
        <f>IFERROR(__xludf.DUMMYFUNCTION("""COMPUTED_VALUE"""),"¥12,000,000 or more")</f>
        <v>¥12,000,000 or more</v>
      </c>
      <c r="G30" s="1" t="str">
        <f>IFERROR(__xludf.DUMMYFUNCTION("""COMPUTED_VALUE"""),"Kanto")</f>
        <v>Kanto</v>
      </c>
      <c r="H30" s="1" t="str">
        <f>IFERROR(__xludf.DUMMYFUNCTION("""COMPUTED_VALUE"""),"Several times a week")</f>
        <v>Several times a week</v>
      </c>
      <c r="I30" s="1" t="str">
        <f>IFERROR(__xludf.DUMMYFUNCTION("""COMPUTED_VALUE"""),"Drip")</f>
        <v>Drip</v>
      </c>
      <c r="J30" s="1"/>
      <c r="K30" s="1" t="str">
        <f>IFERROR(__xludf.DUMMYFUNCTION("""COMPUTED_VALUE"""),"Rarely")</f>
        <v>Rarely</v>
      </c>
      <c r="L30" s="1" t="str">
        <f>IFERROR(__xludf.DUMMYFUNCTION("""COMPUTED_VALUE"""),"I don’t drink matcha")</f>
        <v>I don’t drink matcha</v>
      </c>
      <c r="M30" s="1"/>
      <c r="N30" s="1" t="str">
        <f>IFERROR(__xludf.DUMMYFUNCTION("""COMPUTED_VALUE"""),"Taste/Flavor")</f>
        <v>Taste/Flavor</v>
      </c>
      <c r="O30" s="1"/>
      <c r="P30" s="1" t="str">
        <f>IFERROR(__xludf.DUMMYFUNCTION("""COMPUTED_VALUE"""),"Other:")</f>
        <v>Other:</v>
      </c>
      <c r="Q30" s="1"/>
      <c r="R30" s="1" t="str">
        <f>IFERROR(__xludf.DUMMYFUNCTION("""COMPUTED_VALUE"""),"Rarely")</f>
        <v>Rarely</v>
      </c>
      <c r="S30" s="1"/>
      <c r="T30" s="1" t="str">
        <f>IFERROR(__xludf.DUMMYFUNCTION("""COMPUTED_VALUE"""),"With family")</f>
        <v>With family</v>
      </c>
      <c r="U30" s="1" t="str">
        <f>IFERROR(__xludf.DUMMYFUNCTION("""COMPUTED_VALUE"""),"Atmosphere")</f>
        <v>Atmosphere</v>
      </c>
      <c r="V30" s="1"/>
      <c r="W30" s="1" t="str">
        <f>IFERROR(__xludf.DUMMYFUNCTION("""COMPUTED_VALUE"""),"No")</f>
        <v>No</v>
      </c>
      <c r="X30" s="1" t="str">
        <f>IFERROR(__xludf.DUMMYFUNCTION("""COMPUTED_VALUE"""),"Yes,  Japanese")</f>
        <v>Yes,  Japanese</v>
      </c>
      <c r="Y30" s="1">
        <f>IFERROR(__xludf.DUMMYFUNCTION("""COMPUTED_VALUE"""),7.0)</f>
        <v>7</v>
      </c>
      <c r="Z30" s="1">
        <f>IFERROR(__xludf.DUMMYFUNCTION("""COMPUTED_VALUE"""),7.0)</f>
        <v>7</v>
      </c>
      <c r="AA30" s="1">
        <f>IFERROR(__xludf.DUMMYFUNCTION("""COMPUTED_VALUE"""),7.0)</f>
        <v>7</v>
      </c>
      <c r="AB30" s="1" t="str">
        <f>IFERROR(__xludf.DUMMYFUNCTION("""COMPUTED_VALUE"""),"No")</f>
        <v>No</v>
      </c>
    </row>
    <row r="31">
      <c r="A31" s="1" t="str">
        <f>IFERROR(__xludf.DUMMYFUNCTION("""COMPUTED_VALUE"""),"Pdql05e")</f>
        <v>Pdql05e</v>
      </c>
      <c r="B31" s="1" t="str">
        <f>IFERROR(__xludf.DUMMYFUNCTION("""COMPUTED_VALUE"""),"Pd5aGrV")</f>
        <v>Pd5aGrV</v>
      </c>
      <c r="C31" s="5">
        <f>IFERROR(__xludf.DUMMYFUNCTION("""COMPUTED_VALUE"""),46039.00717592592)</f>
        <v>46039.00718</v>
      </c>
      <c r="D31" s="1" t="str">
        <f>IFERROR(__xludf.DUMMYFUNCTION("""COMPUTED_VALUE"""),"65+")</f>
        <v>65+</v>
      </c>
      <c r="E31" s="1" t="str">
        <f>IFERROR(__xludf.DUMMYFUNCTION("""COMPUTED_VALUE"""),"Female")</f>
        <v>Female</v>
      </c>
      <c r="F31" s="1" t="str">
        <f>IFERROR(__xludf.DUMMYFUNCTION("""COMPUTED_VALUE"""),"Prefer not to say")</f>
        <v>Prefer not to say</v>
      </c>
      <c r="G31" s="1" t="str">
        <f>IFERROR(__xludf.DUMMYFUNCTION("""COMPUTED_VALUE"""),"Chubu")</f>
        <v>Chubu</v>
      </c>
      <c r="H31" s="1" t="str">
        <f>IFERROR(__xludf.DUMMYFUNCTION("""COMPUTED_VALUE"""),"Daily")</f>
        <v>Daily</v>
      </c>
      <c r="I31" s="1" t="str">
        <f>IFERROR(__xludf.DUMMYFUNCTION("""COMPUTED_VALUE"""),"Drip")</f>
        <v>Drip</v>
      </c>
      <c r="J31" s="1"/>
      <c r="K31" s="1" t="str">
        <f>IFERROR(__xludf.DUMMYFUNCTION("""COMPUTED_VALUE"""),"Rarely")</f>
        <v>Rarely</v>
      </c>
      <c r="L31" s="1" t="str">
        <f>IFERROR(__xludf.DUMMYFUNCTION("""COMPUTED_VALUE"""),"I don’t drink matcha")</f>
        <v>I don’t drink matcha</v>
      </c>
      <c r="M31" s="1"/>
      <c r="N31" s="1" t="str">
        <f>IFERROR(__xludf.DUMMYFUNCTION("""COMPUTED_VALUE"""),"Energy boost/Caffeine, Routine/Ritual")</f>
        <v>Energy boost/Caffeine, Routine/Ritual</v>
      </c>
      <c r="O31" s="1"/>
      <c r="P31" s="1" t="str">
        <f>IFERROR(__xludf.DUMMYFUNCTION("""COMPUTED_VALUE"""),"From vending machines, At home, At cafés")</f>
        <v>From vending machines, At home, At cafés</v>
      </c>
      <c r="Q31" s="1"/>
      <c r="R31" s="1" t="str">
        <f>IFERROR(__xludf.DUMMYFUNCTION("""COMPUTED_VALUE"""),"Rarely")</f>
        <v>Rarely</v>
      </c>
      <c r="S31" s="1" t="str">
        <f>IFERROR(__xludf.DUMMYFUNCTION("""COMPUTED_VALUE"""),"To relax or take a break")</f>
        <v>To relax or take a break</v>
      </c>
      <c r="T31" s="1"/>
      <c r="U31" s="1" t="str">
        <f>IFERROR(__xludf.DUMMYFUNCTION("""COMPUTED_VALUE"""),"Atmosphere")</f>
        <v>Atmosphere</v>
      </c>
      <c r="V31" s="1"/>
      <c r="W31" s="1" t="str">
        <f>IFERROR(__xludf.DUMMYFUNCTION("""COMPUTED_VALUE"""),"Yes, Western")</f>
        <v>Yes, Western</v>
      </c>
      <c r="X31" s="1" t="str">
        <f>IFERROR(__xludf.DUMMYFUNCTION("""COMPUTED_VALUE"""),"Yes,  Japanese")</f>
        <v>Yes,  Japanese</v>
      </c>
      <c r="Y31" s="1">
        <f>IFERROR(__xludf.DUMMYFUNCTION("""COMPUTED_VALUE"""),7.0)</f>
        <v>7</v>
      </c>
      <c r="Z31" s="1">
        <f>IFERROR(__xludf.DUMMYFUNCTION("""COMPUTED_VALUE"""),7.0)</f>
        <v>7</v>
      </c>
      <c r="AA31" s="1">
        <f>IFERROR(__xludf.DUMMYFUNCTION("""COMPUTED_VALUE"""),7.0)</f>
        <v>7</v>
      </c>
      <c r="AB31" s="1" t="str">
        <f>IFERROR(__xludf.DUMMYFUNCTION("""COMPUTED_VALUE"""),"Yes")</f>
        <v>Yes</v>
      </c>
    </row>
    <row r="32">
      <c r="A32" s="1" t="str">
        <f>IFERROR(__xludf.DUMMYFUNCTION("""COMPUTED_VALUE"""),"PdqG6Gx")</f>
        <v>PdqG6Gx</v>
      </c>
      <c r="B32" s="1" t="str">
        <f>IFERROR(__xludf.DUMMYFUNCTION("""COMPUTED_VALUE"""),"pbKeEAP")</f>
        <v>pbKeEAP</v>
      </c>
      <c r="C32" s="5">
        <f>IFERROR(__xludf.DUMMYFUNCTION("""COMPUTED_VALUE"""),46040.394224537034)</f>
        <v>46040.39422</v>
      </c>
      <c r="D32" s="1" t="str">
        <f>IFERROR(__xludf.DUMMYFUNCTION("""COMPUTED_VALUE"""),"26-35")</f>
        <v>26-35</v>
      </c>
      <c r="E32" s="1" t="str">
        <f>IFERROR(__xludf.DUMMYFUNCTION("""COMPUTED_VALUE"""),"Male")</f>
        <v>Male</v>
      </c>
      <c r="F32" s="1" t="str">
        <f>IFERROR(__xludf.DUMMYFUNCTION("""COMPUTED_VALUE"""),"Prefer not to say")</f>
        <v>Prefer not to say</v>
      </c>
      <c r="G32" s="1" t="str">
        <f>IFERROR(__xludf.DUMMYFUNCTION("""COMPUTED_VALUE"""),"Kansai")</f>
        <v>Kansai</v>
      </c>
      <c r="H32" s="1" t="str">
        <f>IFERROR(__xludf.DUMMYFUNCTION("""COMPUTED_VALUE"""),"Several times a week")</f>
        <v>Several times a week</v>
      </c>
      <c r="I32" s="1" t="str">
        <f>IFERROR(__xludf.DUMMYFUNCTION("""COMPUTED_VALUE"""),"Cold brew")</f>
        <v>Cold brew</v>
      </c>
      <c r="J32" s="1"/>
      <c r="K32" s="1" t="str">
        <f>IFERROR(__xludf.DUMMYFUNCTION("""COMPUTED_VALUE"""),"Once a week")</f>
        <v>Once a week</v>
      </c>
      <c r="L32" s="1" t="str">
        <f>IFERROR(__xludf.DUMMYFUNCTION("""COMPUTED_VALUE"""),"Matcha Latte")</f>
        <v>Matcha Latte</v>
      </c>
      <c r="M32" s="1"/>
      <c r="N32" s="1" t="str">
        <f>IFERROR(__xludf.DUMMYFUNCTION("""COMPUTED_VALUE"""),"Taste/Flavor, Social atmosphere")</f>
        <v>Taste/Flavor, Social atmosphere</v>
      </c>
      <c r="O32" s="1"/>
      <c r="P32" s="1"/>
      <c r="Q32" s="1"/>
      <c r="R32" s="1" t="str">
        <f>IFERROR(__xludf.DUMMYFUNCTION("""COMPUTED_VALUE"""),"Several times a week")</f>
        <v>Several times a week</v>
      </c>
      <c r="S32" s="1" t="str">
        <f>IFERROR(__xludf.DUMMYFUNCTION("""COMPUTED_VALUE"""),"To relax or take a break")</f>
        <v>To relax or take a break</v>
      </c>
      <c r="T32" s="1"/>
      <c r="U32" s="1" t="str">
        <f>IFERROR(__xludf.DUMMYFUNCTION("""COMPUTED_VALUE"""),"Quality of drinks")</f>
        <v>Quality of drinks</v>
      </c>
      <c r="V32" s="1" t="str">
        <f>IFERROR(__xludf.DUMMYFUNCTION("""COMPUTED_VALUE"""),"And Atmosphere too")</f>
        <v>And Atmosphere too</v>
      </c>
      <c r="W32" s="1" t="str">
        <f>IFERROR(__xludf.DUMMYFUNCTION("""COMPUTED_VALUE"""),"Yes, Global")</f>
        <v>Yes, Global</v>
      </c>
      <c r="X32" s="1" t="str">
        <f>IFERROR(__xludf.DUMMYFUNCTION("""COMPUTED_VALUE"""),"Yes,  Japanese")</f>
        <v>Yes,  Japanese</v>
      </c>
      <c r="Y32" s="1">
        <f>IFERROR(__xludf.DUMMYFUNCTION("""COMPUTED_VALUE"""),6.0)</f>
        <v>6</v>
      </c>
      <c r="Z32" s="1">
        <f>IFERROR(__xludf.DUMMYFUNCTION("""COMPUTED_VALUE"""),6.0)</f>
        <v>6</v>
      </c>
      <c r="AA32" s="1">
        <f>IFERROR(__xludf.DUMMYFUNCTION("""COMPUTED_VALUE"""),5.0)</f>
        <v>5</v>
      </c>
      <c r="AB32" s="1" t="str">
        <f>IFERROR(__xludf.DUMMYFUNCTION("""COMPUTED_VALUE"""),"Yes")</f>
        <v>Yes</v>
      </c>
    </row>
    <row r="33">
      <c r="A33" s="1" t="str">
        <f>IFERROR(__xludf.DUMMYFUNCTION("""COMPUTED_VALUE"""),"EkOg6Bq")</f>
        <v>EkOg6Bq</v>
      </c>
      <c r="B33" s="1" t="str">
        <f>IFERROR(__xludf.DUMMYFUNCTION("""COMPUTED_VALUE"""),"GxzpdZo")</f>
        <v>GxzpdZo</v>
      </c>
      <c r="C33" s="5">
        <f>IFERROR(__xludf.DUMMYFUNCTION("""COMPUTED_VALUE"""),46041.28030092592)</f>
        <v>46041.2803</v>
      </c>
      <c r="D33" s="1" t="str">
        <f>IFERROR(__xludf.DUMMYFUNCTION("""COMPUTED_VALUE"""),"36-45")</f>
        <v>36-45</v>
      </c>
      <c r="E33" s="1" t="str">
        <f>IFERROR(__xludf.DUMMYFUNCTION("""COMPUTED_VALUE"""),"Female")</f>
        <v>Female</v>
      </c>
      <c r="F33" s="1" t="str">
        <f>IFERROR(__xludf.DUMMYFUNCTION("""COMPUTED_VALUE"""),"¥6,000,000 – ¥8,999,999")</f>
        <v>¥6,000,000 – ¥8,999,999</v>
      </c>
      <c r="G33" s="1" t="str">
        <f>IFERROR(__xludf.DUMMYFUNCTION("""COMPUTED_VALUE"""),"Kanto")</f>
        <v>Kanto</v>
      </c>
      <c r="H33" s="1" t="str">
        <f>IFERROR(__xludf.DUMMYFUNCTION("""COMPUTED_VALUE"""),"Daily")</f>
        <v>Daily</v>
      </c>
      <c r="I33" s="1" t="str">
        <f>IFERROR(__xludf.DUMMYFUNCTION("""COMPUTED_VALUE"""),"Americano")</f>
        <v>Americano</v>
      </c>
      <c r="J33" s="1"/>
      <c r="K33" s="1" t="str">
        <f>IFERROR(__xludf.DUMMYFUNCTION("""COMPUTED_VALUE"""),"Never")</f>
        <v>Never</v>
      </c>
      <c r="L33" s="1"/>
      <c r="M33" s="1"/>
      <c r="N33" s="1" t="str">
        <f>IFERROR(__xludf.DUMMYFUNCTION("""COMPUTED_VALUE"""),"Price, Branding/Imagery")</f>
        <v>Price, Branding/Imagery</v>
      </c>
      <c r="O33" s="1"/>
      <c r="P33" s="1" t="str">
        <f>IFERROR(__xludf.DUMMYFUNCTION("""COMPUTED_VALUE"""),"At cafés, At home, Other:")</f>
        <v>At cafés, At home, Other:</v>
      </c>
      <c r="Q33" s="1" t="str">
        <f>IFERROR(__xludf.DUMMYFUNCTION("""COMPUTED_VALUE"""),"Work ")</f>
        <v>Work </v>
      </c>
      <c r="R33" s="1" t="str">
        <f>IFERROR(__xludf.DUMMYFUNCTION("""COMPUTED_VALUE"""),"Several times a week")</f>
        <v>Several times a week</v>
      </c>
      <c r="S33" s="1" t="str">
        <f>IFERROR(__xludf.DUMMYFUNCTION("""COMPUTED_VALUE"""),"To meet friends")</f>
        <v>To meet friends</v>
      </c>
      <c r="T33" s="1"/>
      <c r="U33" s="1" t="str">
        <f>IFERROR(__xludf.DUMMYFUNCTION("""COMPUTED_VALUE"""),"Atmosphere")</f>
        <v>Atmosphere</v>
      </c>
      <c r="V33" s="1"/>
      <c r="W33" s="1" t="str">
        <f>IFERROR(__xludf.DUMMYFUNCTION("""COMPUTED_VALUE"""),"Yes, Global")</f>
        <v>Yes, Global</v>
      </c>
      <c r="X33" s="1" t="str">
        <f>IFERROR(__xludf.DUMMYFUNCTION("""COMPUTED_VALUE"""),"Yes,  Japanese")</f>
        <v>Yes,  Japanese</v>
      </c>
      <c r="Y33" s="1">
        <f>IFERROR(__xludf.DUMMYFUNCTION("""COMPUTED_VALUE"""),7.0)</f>
        <v>7</v>
      </c>
      <c r="Z33" s="1">
        <f>IFERROR(__xludf.DUMMYFUNCTION("""COMPUTED_VALUE"""),3.0)</f>
        <v>3</v>
      </c>
      <c r="AA33" s="1">
        <f>IFERROR(__xludf.DUMMYFUNCTION("""COMPUTED_VALUE"""),7.0)</f>
        <v>7</v>
      </c>
      <c r="AB33" s="1" t="str">
        <f>IFERROR(__xludf.DUMMYFUNCTION("""COMPUTED_VALUE"""),"Yes")</f>
        <v>Yes</v>
      </c>
    </row>
    <row r="34">
      <c r="A34" s="1" t="str">
        <f>IFERROR(__xludf.DUMMYFUNCTION("""COMPUTED_VALUE"""),"vG9b9bA")</f>
        <v>vG9b9bA</v>
      </c>
      <c r="B34" s="1" t="str">
        <f>IFERROR(__xludf.DUMMYFUNCTION("""COMPUTED_VALUE"""),"gD0qVrd")</f>
        <v>gD0qVrd</v>
      </c>
      <c r="C34" s="5">
        <f>IFERROR(__xludf.DUMMYFUNCTION("""COMPUTED_VALUE"""),46041.41137731481)</f>
        <v>46041.41138</v>
      </c>
      <c r="D34" s="1" t="str">
        <f>IFERROR(__xludf.DUMMYFUNCTION("""COMPUTED_VALUE"""),"36-45")</f>
        <v>36-45</v>
      </c>
      <c r="E34" s="1" t="str">
        <f>IFERROR(__xludf.DUMMYFUNCTION("""COMPUTED_VALUE"""),"Female")</f>
        <v>Female</v>
      </c>
      <c r="F34" s="1" t="str">
        <f>IFERROR(__xludf.DUMMYFUNCTION("""COMPUTED_VALUE"""),"¥3,000,000 – ¥5,999,999")</f>
        <v>¥3,000,000 – ¥5,999,999</v>
      </c>
      <c r="G34" s="1" t="str">
        <f>IFERROR(__xludf.DUMMYFUNCTION("""COMPUTED_VALUE"""),"Kanto")</f>
        <v>Kanto</v>
      </c>
      <c r="H34" s="1" t="str">
        <f>IFERROR(__xludf.DUMMYFUNCTION("""COMPUTED_VALUE"""),"Rarely")</f>
        <v>Rarely</v>
      </c>
      <c r="I34" s="1" t="str">
        <f>IFERROR(__xludf.DUMMYFUNCTION("""COMPUTED_VALUE"""),"Latte")</f>
        <v>Latte</v>
      </c>
      <c r="J34" s="1"/>
      <c r="K34" s="1" t="str">
        <f>IFERROR(__xludf.DUMMYFUNCTION("""COMPUTED_VALUE"""),"Never")</f>
        <v>Never</v>
      </c>
      <c r="L34" s="1"/>
      <c r="M34" s="1"/>
      <c r="N34" s="1" t="str">
        <f>IFERROR(__xludf.DUMMYFUNCTION("""COMPUTED_VALUE"""),"Energy boost/Caffeine, Taste/Flavor")</f>
        <v>Energy boost/Caffeine, Taste/Flavor</v>
      </c>
      <c r="O34" s="1"/>
      <c r="P34" s="1" t="str">
        <f>IFERROR(__xludf.DUMMYFUNCTION("""COMPUTED_VALUE"""),"At cafés")</f>
        <v>At cafés</v>
      </c>
      <c r="Q34" s="1"/>
      <c r="R34" s="1" t="str">
        <f>IFERROR(__xludf.DUMMYFUNCTION("""COMPUTED_VALUE"""),"Rarely")</f>
        <v>Rarely</v>
      </c>
      <c r="S34" s="1" t="str">
        <f>IFERROR(__xludf.DUMMYFUNCTION("""COMPUTED_VALUE"""),"To meet friends")</f>
        <v>To meet friends</v>
      </c>
      <c r="T34" s="1"/>
      <c r="U34" s="1" t="str">
        <f>IFERROR(__xludf.DUMMYFUNCTION("""COMPUTED_VALUE"""),"Quality of drinks")</f>
        <v>Quality of drinks</v>
      </c>
      <c r="V34" s="1"/>
      <c r="W34" s="1" t="str">
        <f>IFERROR(__xludf.DUMMYFUNCTION("""COMPUTED_VALUE"""),"Yes, Global")</f>
        <v>Yes, Global</v>
      </c>
      <c r="X34" s="1" t="str">
        <f>IFERROR(__xludf.DUMMYFUNCTION("""COMPUTED_VALUE"""),"Yes,  Japanese")</f>
        <v>Yes,  Japanese</v>
      </c>
      <c r="Y34" s="1">
        <f>IFERROR(__xludf.DUMMYFUNCTION("""COMPUTED_VALUE"""),6.0)</f>
        <v>6</v>
      </c>
      <c r="Z34" s="1">
        <f>IFERROR(__xludf.DUMMYFUNCTION("""COMPUTED_VALUE"""),7.0)</f>
        <v>7</v>
      </c>
      <c r="AA34" s="1">
        <f>IFERROR(__xludf.DUMMYFUNCTION("""COMPUTED_VALUE"""),7.0)</f>
        <v>7</v>
      </c>
      <c r="AB34" s="1" t="str">
        <f>IFERROR(__xludf.DUMMYFUNCTION("""COMPUTED_VALUE"""),"No")</f>
        <v>No</v>
      </c>
    </row>
    <row r="35">
      <c r="A35" s="1" t="str">
        <f>IFERROR(__xludf.DUMMYFUNCTION("""COMPUTED_VALUE"""),"5BAD77Z")</f>
        <v>5BAD77Z</v>
      </c>
      <c r="B35" s="1" t="str">
        <f>IFERROR(__xludf.DUMMYFUNCTION("""COMPUTED_VALUE"""),"81KZe5x")</f>
        <v>81KZe5x</v>
      </c>
      <c r="C35" s="5">
        <f>IFERROR(__xludf.DUMMYFUNCTION("""COMPUTED_VALUE"""),46041.52307870371)</f>
        <v>46041.52308</v>
      </c>
      <c r="D35" s="1" t="str">
        <f>IFERROR(__xludf.DUMMYFUNCTION("""COMPUTED_VALUE"""),"26-35")</f>
        <v>26-35</v>
      </c>
      <c r="E35" s="1" t="str">
        <f>IFERROR(__xludf.DUMMYFUNCTION("""COMPUTED_VALUE"""),"Male")</f>
        <v>Male</v>
      </c>
      <c r="F35" s="1" t="str">
        <f>IFERROR(__xludf.DUMMYFUNCTION("""COMPUTED_VALUE"""),"¥12,000,000 or more")</f>
        <v>¥12,000,000 or more</v>
      </c>
      <c r="G35" s="1" t="str">
        <f>IFERROR(__xludf.DUMMYFUNCTION("""COMPUTED_VALUE"""),"Kanto")</f>
        <v>Kanto</v>
      </c>
      <c r="H35" s="1" t="str">
        <f>IFERROR(__xludf.DUMMYFUNCTION("""COMPUTED_VALUE"""),"Several times a week")</f>
        <v>Several times a week</v>
      </c>
      <c r="I35" s="1" t="str">
        <f>IFERROR(__xludf.DUMMYFUNCTION("""COMPUTED_VALUE"""),"Drip")</f>
        <v>Drip</v>
      </c>
      <c r="J35" s="1"/>
      <c r="K35" s="1" t="str">
        <f>IFERROR(__xludf.DUMMYFUNCTION("""COMPUTED_VALUE"""),"Never")</f>
        <v>Never</v>
      </c>
      <c r="L35" s="1"/>
      <c r="M35" s="1"/>
      <c r="N35" s="1" t="str">
        <f>IFERROR(__xludf.DUMMYFUNCTION("""COMPUTED_VALUE"""),"Energy boost/Caffeine, Taste/Flavor")</f>
        <v>Energy boost/Caffeine, Taste/Flavor</v>
      </c>
      <c r="O35" s="1"/>
      <c r="P35" s="1" t="str">
        <f>IFERROR(__xludf.DUMMYFUNCTION("""COMPUTED_VALUE"""),"At cafés, At home, From convenience stores (7-Eleven, Lawson, etc.), From vending machines")</f>
        <v>At cafés, At home, From convenience stores (7-Eleven, Lawson, etc.), From vending machines</v>
      </c>
      <c r="Q35" s="1"/>
      <c r="R35" s="1" t="str">
        <f>IFERROR(__xludf.DUMMYFUNCTION("""COMPUTED_VALUE"""),"Several times a week")</f>
        <v>Several times a week</v>
      </c>
      <c r="S35" s="1" t="str">
        <f>IFERROR(__xludf.DUMMYFUNCTION("""COMPUTED_VALUE"""),"To study/work")</f>
        <v>To study/work</v>
      </c>
      <c r="T35" s="1"/>
      <c r="U35" s="1" t="str">
        <f>IFERROR(__xludf.DUMMYFUNCTION("""COMPUTED_VALUE"""),"Atmosphere")</f>
        <v>Atmosphere</v>
      </c>
      <c r="V35" s="1"/>
      <c r="W35" s="1" t="str">
        <f>IFERROR(__xludf.DUMMYFUNCTION("""COMPUTED_VALUE"""),"Yes, Western")</f>
        <v>Yes, Western</v>
      </c>
      <c r="X35" s="1" t="str">
        <f>IFERROR(__xludf.DUMMYFUNCTION("""COMPUTED_VALUE"""),"Yes,  Japanese")</f>
        <v>Yes,  Japanese</v>
      </c>
      <c r="Y35" s="1">
        <f>IFERROR(__xludf.DUMMYFUNCTION("""COMPUTED_VALUE"""),5.0)</f>
        <v>5</v>
      </c>
      <c r="Z35" s="1">
        <f>IFERROR(__xludf.DUMMYFUNCTION("""COMPUTED_VALUE"""),6.0)</f>
        <v>6</v>
      </c>
      <c r="AA35" s="1">
        <f>IFERROR(__xludf.DUMMYFUNCTION("""COMPUTED_VALUE"""),6.0)</f>
        <v>6</v>
      </c>
      <c r="AB35" s="1" t="str">
        <f>IFERROR(__xludf.DUMMYFUNCTION("""COMPUTED_VALUE"""),"Yes")</f>
        <v>Yes</v>
      </c>
    </row>
    <row r="36">
      <c r="A36" s="1" t="str">
        <f>IFERROR(__xludf.DUMMYFUNCTION("""COMPUTED_VALUE"""),"obPdBV1")</f>
        <v>obPdBV1</v>
      </c>
      <c r="B36" s="1" t="str">
        <f>IFERROR(__xludf.DUMMYFUNCTION("""COMPUTED_VALUE"""),"1AlOr7M")</f>
        <v>1AlOr7M</v>
      </c>
      <c r="C36" s="5">
        <f>IFERROR(__xludf.DUMMYFUNCTION("""COMPUTED_VALUE"""),46045.92815972222)</f>
        <v>46045.92816</v>
      </c>
      <c r="D36" s="1" t="str">
        <f>IFERROR(__xludf.DUMMYFUNCTION("""COMPUTED_VALUE"""),"26-35")</f>
        <v>26-35</v>
      </c>
      <c r="E36" s="1" t="str">
        <f>IFERROR(__xludf.DUMMYFUNCTION("""COMPUTED_VALUE"""),"Female")</f>
        <v>Female</v>
      </c>
      <c r="F36" s="1" t="str">
        <f>IFERROR(__xludf.DUMMYFUNCTION("""COMPUTED_VALUE"""),"¥6,000,000 – ¥8,999,999")</f>
        <v>¥6,000,000 – ¥8,999,999</v>
      </c>
      <c r="G36" s="1" t="str">
        <f>IFERROR(__xludf.DUMMYFUNCTION("""COMPUTED_VALUE"""),"Kansai")</f>
        <v>Kansai</v>
      </c>
      <c r="H36" s="1" t="str">
        <f>IFERROR(__xludf.DUMMYFUNCTION("""COMPUTED_VALUE"""),"Several times a week")</f>
        <v>Several times a week</v>
      </c>
      <c r="I36" s="1" t="str">
        <f>IFERROR(__xludf.DUMMYFUNCTION("""COMPUTED_VALUE"""),"Drip")</f>
        <v>Drip</v>
      </c>
      <c r="J36" s="1"/>
      <c r="K36" s="1" t="str">
        <f>IFERROR(__xludf.DUMMYFUNCTION("""COMPUTED_VALUE"""),"Rarely")</f>
        <v>Rarely</v>
      </c>
      <c r="L36" s="1" t="str">
        <f>IFERROR(__xludf.DUMMYFUNCTION("""COMPUTED_VALUE"""),"Matcha Latte")</f>
        <v>Matcha Latte</v>
      </c>
      <c r="M36" s="1"/>
      <c r="N36" s="1" t="str">
        <f>IFERROR(__xludf.DUMMYFUNCTION("""COMPUTED_VALUE"""),"Taste/Flavor, To try new things")</f>
        <v>Taste/Flavor, To try new things</v>
      </c>
      <c r="O36" s="1"/>
      <c r="P36" s="1" t="str">
        <f>IFERROR(__xludf.DUMMYFUNCTION("""COMPUTED_VALUE"""),"At cafés, At home")</f>
        <v>At cafés, At home</v>
      </c>
      <c r="Q36" s="1"/>
      <c r="R36" s="1" t="str">
        <f>IFERROR(__xludf.DUMMYFUNCTION("""COMPUTED_VALUE"""),"A few times a month")</f>
        <v>A few times a month</v>
      </c>
      <c r="S36" s="1" t="str">
        <f>IFERROR(__xludf.DUMMYFUNCTION("""COMPUTED_VALUE"""),"To try a new drink")</f>
        <v>To try a new drink</v>
      </c>
      <c r="T36" s="1"/>
      <c r="U36" s="1" t="str">
        <f>IFERROR(__xludf.DUMMYFUNCTION("""COMPUTED_VALUE"""),"Quality of drinks")</f>
        <v>Quality of drinks</v>
      </c>
      <c r="V36" s="1"/>
      <c r="W36" s="1" t="str">
        <f>IFERROR(__xludf.DUMMYFUNCTION("""COMPUTED_VALUE"""),"No")</f>
        <v>No</v>
      </c>
      <c r="X36" s="1" t="str">
        <f>IFERROR(__xludf.DUMMYFUNCTION("""COMPUTED_VALUE"""),"Yes,  Japanese")</f>
        <v>Yes,  Japanese</v>
      </c>
      <c r="Y36" s="1">
        <f>IFERROR(__xludf.DUMMYFUNCTION("""COMPUTED_VALUE"""),7.0)</f>
        <v>7</v>
      </c>
      <c r="Z36" s="1">
        <f>IFERROR(__xludf.DUMMYFUNCTION("""COMPUTED_VALUE"""),3.0)</f>
        <v>3</v>
      </c>
      <c r="AA36" s="1">
        <f>IFERROR(__xludf.DUMMYFUNCTION("""COMPUTED_VALUE"""),7.0)</f>
        <v>7</v>
      </c>
      <c r="AB36" s="1" t="str">
        <f>IFERROR(__xludf.DUMMYFUNCTION("""COMPUTED_VALUE"""),"Yes")</f>
        <v>Yes</v>
      </c>
    </row>
    <row r="37">
      <c r="A37" s="1" t="str">
        <f>IFERROR(__xludf.DUMMYFUNCTION("""COMPUTED_VALUE"""),"kdogErJ")</f>
        <v>kdogErJ</v>
      </c>
      <c r="B37" s="1" t="str">
        <f>IFERROR(__xludf.DUMMYFUNCTION("""COMPUTED_VALUE"""),"ZjNkrLv")</f>
        <v>ZjNkrLv</v>
      </c>
      <c r="C37" s="5">
        <f>IFERROR(__xludf.DUMMYFUNCTION("""COMPUTED_VALUE"""),46048.16440972222)</f>
        <v>46048.16441</v>
      </c>
      <c r="D37" s="1" t="str">
        <f>IFERROR(__xludf.DUMMYFUNCTION("""COMPUTED_VALUE"""),"56-65")</f>
        <v>56-65</v>
      </c>
      <c r="E37" s="1" t="str">
        <f>IFERROR(__xludf.DUMMYFUNCTION("""COMPUTED_VALUE"""),"Male")</f>
        <v>Male</v>
      </c>
      <c r="F37" s="1" t="str">
        <f>IFERROR(__xludf.DUMMYFUNCTION("""COMPUTED_VALUE"""),"Prefer not to say")</f>
        <v>Prefer not to say</v>
      </c>
      <c r="G37" s="1" t="str">
        <f>IFERROR(__xludf.DUMMYFUNCTION("""COMPUTED_VALUE"""),"Kansai")</f>
        <v>Kansai</v>
      </c>
      <c r="H37" s="1" t="str">
        <f>IFERROR(__xludf.DUMMYFUNCTION("""COMPUTED_VALUE"""),"Daily")</f>
        <v>Daily</v>
      </c>
      <c r="I37" s="1" t="str">
        <f>IFERROR(__xludf.DUMMYFUNCTION("""COMPUTED_VALUE"""),"Drip")</f>
        <v>Drip</v>
      </c>
      <c r="J37" s="1"/>
      <c r="K37" s="1" t="str">
        <f>IFERROR(__xludf.DUMMYFUNCTION("""COMPUTED_VALUE"""),"Once a week")</f>
        <v>Once a week</v>
      </c>
      <c r="L37" s="1" t="str">
        <f>IFERROR(__xludf.DUMMYFUNCTION("""COMPUTED_VALUE"""),"Matcha Latte")</f>
        <v>Matcha Latte</v>
      </c>
      <c r="M37" s="1"/>
      <c r="N37" s="1" t="str">
        <f>IFERROR(__xludf.DUMMYFUNCTION("""COMPUTED_VALUE"""),"because I feel like drinking it at the time")</f>
        <v>because I feel like drinking it at the time</v>
      </c>
      <c r="O37" s="1"/>
      <c r="P37" s="1" t="str">
        <f>IFERROR(__xludf.DUMMYFUNCTION("""COMPUTED_VALUE"""),"At cafés, At home")</f>
        <v>At cafés, At home</v>
      </c>
      <c r="Q37" s="1"/>
      <c r="R37" s="1" t="str">
        <f>IFERROR(__xludf.DUMMYFUNCTION("""COMPUTED_VALUE"""),"Once a week")</f>
        <v>Once a week</v>
      </c>
      <c r="S37" s="1" t="str">
        <f>IFERROR(__xludf.DUMMYFUNCTION("""COMPUTED_VALUE"""),"To meet friends")</f>
        <v>To meet friends</v>
      </c>
      <c r="T37" s="1"/>
      <c r="U37" s="1" t="str">
        <f>IFERROR(__xludf.DUMMYFUNCTION("""COMPUTED_VALUE"""),"Quality of drinks")</f>
        <v>Quality of drinks</v>
      </c>
      <c r="V37" s="1"/>
      <c r="W37" s="1" t="str">
        <f>IFERROR(__xludf.DUMMYFUNCTION("""COMPUTED_VALUE"""),"No")</f>
        <v>No</v>
      </c>
      <c r="X37" s="1" t="str">
        <f>IFERROR(__xludf.DUMMYFUNCTION("""COMPUTED_VALUE"""),"No")</f>
        <v>No</v>
      </c>
      <c r="Y37" s="1">
        <f>IFERROR(__xludf.DUMMYFUNCTION("""COMPUTED_VALUE"""),7.0)</f>
        <v>7</v>
      </c>
      <c r="Z37" s="1">
        <f>IFERROR(__xludf.DUMMYFUNCTION("""COMPUTED_VALUE"""),2.0)</f>
        <v>2</v>
      </c>
      <c r="AA37" s="1">
        <f>IFERROR(__xludf.DUMMYFUNCTION("""COMPUTED_VALUE"""),7.0)</f>
        <v>7</v>
      </c>
      <c r="AB37" s="1" t="str">
        <f>IFERROR(__xludf.DUMMYFUNCTION("""COMPUTED_VALUE"""),"No")</f>
        <v>No</v>
      </c>
    </row>
    <row r="38">
      <c r="A38" s="1" t="str">
        <f>IFERROR(__xludf.DUMMYFUNCTION("""COMPUTED_VALUE"""),"4465L9Y")</f>
        <v>4465L9Y</v>
      </c>
      <c r="B38" s="1" t="str">
        <f>IFERROR(__xludf.DUMMYFUNCTION("""COMPUTED_VALUE"""),"QKD6jZG")</f>
        <v>QKD6jZG</v>
      </c>
      <c r="C38" s="5">
        <f>IFERROR(__xludf.DUMMYFUNCTION("""COMPUTED_VALUE"""),46050.18612268518)</f>
        <v>46050.18612</v>
      </c>
      <c r="D38" s="1" t="str">
        <f>IFERROR(__xludf.DUMMYFUNCTION("""COMPUTED_VALUE"""),"26-35")</f>
        <v>26-35</v>
      </c>
      <c r="E38" s="1" t="str">
        <f>IFERROR(__xludf.DUMMYFUNCTION("""COMPUTED_VALUE"""),"Male")</f>
        <v>Male</v>
      </c>
      <c r="F38" s="1" t="str">
        <f>IFERROR(__xludf.DUMMYFUNCTION("""COMPUTED_VALUE"""),"¥3,000,000 – ¥5,999,999")</f>
        <v>¥3,000,000 – ¥5,999,999</v>
      </c>
      <c r="G38" s="1" t="str">
        <f>IFERROR(__xludf.DUMMYFUNCTION("""COMPUTED_VALUE"""),"Kanto")</f>
        <v>Kanto</v>
      </c>
      <c r="H38" s="1" t="str">
        <f>IFERROR(__xludf.DUMMYFUNCTION("""COMPUTED_VALUE"""),"Daily")</f>
        <v>Daily</v>
      </c>
      <c r="I38" s="1" t="str">
        <f>IFERROR(__xludf.DUMMYFUNCTION("""COMPUTED_VALUE"""),"Drip")</f>
        <v>Drip</v>
      </c>
      <c r="J38" s="1"/>
      <c r="K38" s="1" t="str">
        <f>IFERROR(__xludf.DUMMYFUNCTION("""COMPUTED_VALUE"""),"Rarely")</f>
        <v>Rarely</v>
      </c>
      <c r="L38" s="1" t="str">
        <f>IFERROR(__xludf.DUMMYFUNCTION("""COMPUTED_VALUE"""),"Matcha Latte")</f>
        <v>Matcha Latte</v>
      </c>
      <c r="M38" s="1"/>
      <c r="N38" s="1" t="str">
        <f>IFERROR(__xludf.DUMMYFUNCTION("""COMPUTED_VALUE"""),"Energy boost/Caffeine, Price")</f>
        <v>Energy boost/Caffeine, Price</v>
      </c>
      <c r="O38" s="1"/>
      <c r="P38" s="1" t="str">
        <f>IFERROR(__xludf.DUMMYFUNCTION("""COMPUTED_VALUE"""),"At cafés, At home")</f>
        <v>At cafés, At home</v>
      </c>
      <c r="Q38" s="1"/>
      <c r="R38" s="1" t="str">
        <f>IFERROR(__xludf.DUMMYFUNCTION("""COMPUTED_VALUE"""),"Once a week")</f>
        <v>Once a week</v>
      </c>
      <c r="S38" s="1" t="str">
        <f>IFERROR(__xludf.DUMMYFUNCTION("""COMPUTED_VALUE"""),"To study/work")</f>
        <v>To study/work</v>
      </c>
      <c r="T38" s="1"/>
      <c r="U38" s="1" t="str">
        <f>IFERROR(__xludf.DUMMYFUNCTION("""COMPUTED_VALUE"""),"Atmosphere")</f>
        <v>Atmosphere</v>
      </c>
      <c r="V38" s="1"/>
      <c r="W38" s="1" t="str">
        <f>IFERROR(__xludf.DUMMYFUNCTION("""COMPUTED_VALUE"""),"Yes, Global")</f>
        <v>Yes, Global</v>
      </c>
      <c r="X38" s="1" t="str">
        <f>IFERROR(__xludf.DUMMYFUNCTION("""COMPUTED_VALUE"""),"Yes, Global")</f>
        <v>Yes, Global</v>
      </c>
      <c r="Y38" s="1">
        <f>IFERROR(__xludf.DUMMYFUNCTION("""COMPUTED_VALUE"""),3.0)</f>
        <v>3</v>
      </c>
      <c r="Z38" s="1">
        <f>IFERROR(__xludf.DUMMYFUNCTION("""COMPUTED_VALUE"""),3.0)</f>
        <v>3</v>
      </c>
      <c r="AA38" s="1">
        <f>IFERROR(__xludf.DUMMYFUNCTION("""COMPUTED_VALUE"""),4.0)</f>
        <v>4</v>
      </c>
      <c r="AB38" s="1" t="str">
        <f>IFERROR(__xludf.DUMMYFUNCTION("""COMPUTED_VALUE"""),"Yes")</f>
        <v>Yes</v>
      </c>
    </row>
    <row r="39">
      <c r="A39" s="1" t="str">
        <f>IFERROR(__xludf.DUMMYFUNCTION("""COMPUTED_VALUE"""),"vGlDZYA")</f>
        <v>vGlDZYA</v>
      </c>
      <c r="B39" s="1" t="str">
        <f>IFERROR(__xludf.DUMMYFUNCTION("""COMPUTED_VALUE"""),"68djRZN")</f>
        <v>68djRZN</v>
      </c>
      <c r="C39" s="5">
        <f>IFERROR(__xludf.DUMMYFUNCTION("""COMPUTED_VALUE"""),46051.70711805556)</f>
        <v>46051.70712</v>
      </c>
      <c r="D39" s="1" t="str">
        <f>IFERROR(__xludf.DUMMYFUNCTION("""COMPUTED_VALUE"""),"18-25")</f>
        <v>18-25</v>
      </c>
      <c r="E39" s="1" t="str">
        <f>IFERROR(__xludf.DUMMYFUNCTION("""COMPUTED_VALUE"""),"Male")</f>
        <v>Male</v>
      </c>
      <c r="F39" s="1" t="str">
        <f>IFERROR(__xludf.DUMMYFUNCTION("""COMPUTED_VALUE"""),"Under ¥3,000,000")</f>
        <v>Under ¥3,000,000</v>
      </c>
      <c r="G39" s="1" t="str">
        <f>IFERROR(__xludf.DUMMYFUNCTION("""COMPUTED_VALUE"""),"Chubu")</f>
        <v>Chubu</v>
      </c>
      <c r="H39" s="1" t="str">
        <f>IFERROR(__xludf.DUMMYFUNCTION("""COMPUTED_VALUE"""),"Daily")</f>
        <v>Daily</v>
      </c>
      <c r="I39" s="1" t="str">
        <f>IFERROR(__xludf.DUMMYFUNCTION("""COMPUTED_VALUE"""),"Pour Over")</f>
        <v>Pour Over</v>
      </c>
      <c r="J39" s="1"/>
      <c r="K39" s="1" t="str">
        <f>IFERROR(__xludf.DUMMYFUNCTION("""COMPUTED_VALUE"""),"Rarely")</f>
        <v>Rarely</v>
      </c>
      <c r="L39" s="1" t="str">
        <f>IFERROR(__xludf.DUMMYFUNCTION("""COMPUTED_VALUE"""),"Matcha Latte")</f>
        <v>Matcha Latte</v>
      </c>
      <c r="M39" s="1"/>
      <c r="N39" s="1" t="str">
        <f>IFERROR(__xludf.DUMMYFUNCTION("""COMPUTED_VALUE"""),"Other:")</f>
        <v>Other:</v>
      </c>
      <c r="O39" s="1" t="str">
        <f>IFERROR(__xludf.DUMMYFUNCTION("""COMPUTED_VALUE"""),"I’m just a coffee guy and I rarely choose between coffee and matcha. The only occasion I drink matcha is when I wanna drink something sweet")</f>
        <v>I’m just a coffee guy and I rarely choose between coffee and matcha. The only occasion I drink matcha is when I wanna drink something sweet</v>
      </c>
      <c r="P39" s="1" t="str">
        <f>IFERROR(__xludf.DUMMYFUNCTION("""COMPUTED_VALUE"""),"At home, At cafés")</f>
        <v>At home, At cafés</v>
      </c>
      <c r="Q39" s="1"/>
      <c r="R39" s="1" t="str">
        <f>IFERROR(__xludf.DUMMYFUNCTION("""COMPUTED_VALUE"""),"A few times a month")</f>
        <v>A few times a month</v>
      </c>
      <c r="S39" s="1" t="str">
        <f>IFERROR(__xludf.DUMMYFUNCTION("""COMPUTED_VALUE"""),"To meet friends")</f>
        <v>To meet friends</v>
      </c>
      <c r="T39" s="1"/>
      <c r="U39" s="1" t="str">
        <f>IFERROR(__xludf.DUMMYFUNCTION("""COMPUTED_VALUE"""),"Quality of drinks")</f>
        <v>Quality of drinks</v>
      </c>
      <c r="V39" s="1"/>
      <c r="W39" s="1" t="str">
        <f>IFERROR(__xludf.DUMMYFUNCTION("""COMPUTED_VALUE"""),"No")</f>
        <v>No</v>
      </c>
      <c r="X39" s="1" t="str">
        <f>IFERROR(__xludf.DUMMYFUNCTION("""COMPUTED_VALUE"""),"Yes,  Japanese")</f>
        <v>Yes,  Japanese</v>
      </c>
      <c r="Y39" s="1">
        <f>IFERROR(__xludf.DUMMYFUNCTION("""COMPUTED_VALUE"""),5.0)</f>
        <v>5</v>
      </c>
      <c r="Z39" s="1">
        <f>IFERROR(__xludf.DUMMYFUNCTION("""COMPUTED_VALUE"""),6.0)</f>
        <v>6</v>
      </c>
      <c r="AA39" s="1">
        <f>IFERROR(__xludf.DUMMYFUNCTION("""COMPUTED_VALUE"""),5.0)</f>
        <v>5</v>
      </c>
      <c r="AB39" s="1" t="str">
        <f>IFERROR(__xludf.DUMMYFUNCTION("""COMPUTED_VALUE"""),"Yes")</f>
        <v>Yes</v>
      </c>
    </row>
    <row r="40">
      <c r="A40" s="1" t="str">
        <f>IFERROR(__xludf.DUMMYFUNCTION("""COMPUTED_VALUE"""),"68gKgRe")</f>
        <v>68gKgRe</v>
      </c>
      <c r="B40" s="1" t="str">
        <f>IFERROR(__xludf.DUMMYFUNCTION("""COMPUTED_VALUE"""),"obAeoWx")</f>
        <v>obAeoWx</v>
      </c>
      <c r="C40" s="5">
        <f>IFERROR(__xludf.DUMMYFUNCTION("""COMPUTED_VALUE"""),46051.71021990741)</f>
        <v>46051.71022</v>
      </c>
      <c r="D40" s="1" t="str">
        <f>IFERROR(__xludf.DUMMYFUNCTION("""COMPUTED_VALUE"""),"18-25")</f>
        <v>18-25</v>
      </c>
      <c r="E40" s="1" t="str">
        <f>IFERROR(__xludf.DUMMYFUNCTION("""COMPUTED_VALUE"""),"Male")</f>
        <v>Male</v>
      </c>
      <c r="F40" s="1" t="str">
        <f>IFERROR(__xludf.DUMMYFUNCTION("""COMPUTED_VALUE"""),"Prefer not to say")</f>
        <v>Prefer not to say</v>
      </c>
      <c r="G40" s="1" t="str">
        <f>IFERROR(__xludf.DUMMYFUNCTION("""COMPUTED_VALUE"""),"Kanto")</f>
        <v>Kanto</v>
      </c>
      <c r="H40" s="1" t="str">
        <f>IFERROR(__xludf.DUMMYFUNCTION("""COMPUTED_VALUE"""),"Rarely")</f>
        <v>Rarely</v>
      </c>
      <c r="I40" s="1"/>
      <c r="J40" s="1" t="str">
        <f>IFERROR(__xludf.DUMMYFUNCTION("""COMPUTED_VALUE"""),"turkish coffee")</f>
        <v>turkish coffee</v>
      </c>
      <c r="K40" s="1" t="str">
        <f>IFERROR(__xludf.DUMMYFUNCTION("""COMPUTED_VALUE"""),"Once a week")</f>
        <v>Once a week</v>
      </c>
      <c r="L40" s="1" t="str">
        <f>IFERROR(__xludf.DUMMYFUNCTION("""COMPUTED_VALUE"""),"Matcha Latte")</f>
        <v>Matcha Latte</v>
      </c>
      <c r="M40" s="1"/>
      <c r="N40" s="1" t="str">
        <f>IFERROR(__xludf.DUMMYFUNCTION("""COMPUTED_VALUE"""),"Taste/Flavor, Social atmosphere")</f>
        <v>Taste/Flavor, Social atmosphere</v>
      </c>
      <c r="O40" s="1"/>
      <c r="P40" s="1" t="str">
        <f>IFERROR(__xludf.DUMMYFUNCTION("""COMPUTED_VALUE"""),"At cafés")</f>
        <v>At cafés</v>
      </c>
      <c r="Q40" s="1"/>
      <c r="R40" s="1" t="str">
        <f>IFERROR(__xludf.DUMMYFUNCTION("""COMPUTED_VALUE"""),"A few times a month")</f>
        <v>A few times a month</v>
      </c>
      <c r="S40" s="1" t="str">
        <f>IFERROR(__xludf.DUMMYFUNCTION("""COMPUTED_VALUE"""),"To meet friends")</f>
        <v>To meet friends</v>
      </c>
      <c r="T40" s="1"/>
      <c r="U40" s="1" t="str">
        <f>IFERROR(__xludf.DUMMYFUNCTION("""COMPUTED_VALUE"""),"Atmosphere")</f>
        <v>Atmosphere</v>
      </c>
      <c r="V40" s="1"/>
      <c r="W40" s="1" t="str">
        <f>IFERROR(__xludf.DUMMYFUNCTION("""COMPUTED_VALUE"""),"Yes, Global")</f>
        <v>Yes, Global</v>
      </c>
      <c r="X40" s="1" t="str">
        <f>IFERROR(__xludf.DUMMYFUNCTION("""COMPUTED_VALUE"""),"Yes,  Japanese")</f>
        <v>Yes,  Japanese</v>
      </c>
      <c r="Y40" s="1">
        <f>IFERROR(__xludf.DUMMYFUNCTION("""COMPUTED_VALUE"""),5.0)</f>
        <v>5</v>
      </c>
      <c r="Z40" s="1">
        <f>IFERROR(__xludf.DUMMYFUNCTION("""COMPUTED_VALUE"""),5.0)</f>
        <v>5</v>
      </c>
      <c r="AA40" s="1">
        <f>IFERROR(__xludf.DUMMYFUNCTION("""COMPUTED_VALUE"""),3.0)</f>
        <v>3</v>
      </c>
      <c r="AB40" s="1" t="str">
        <f>IFERROR(__xludf.DUMMYFUNCTION("""COMPUTED_VALUE"""),"Yes")</f>
        <v>Yes</v>
      </c>
    </row>
    <row r="41">
      <c r="A41" s="1" t="str">
        <f>IFERROR(__xludf.DUMMYFUNCTION("""COMPUTED_VALUE"""),"jajXJAR")</f>
        <v>jajXJAR</v>
      </c>
      <c r="B41" s="1" t="str">
        <f>IFERROR(__xludf.DUMMYFUNCTION("""COMPUTED_VALUE"""),"rjlJoo5")</f>
        <v>rjlJoo5</v>
      </c>
      <c r="C41" s="5">
        <f>IFERROR(__xludf.DUMMYFUNCTION("""COMPUTED_VALUE"""),46055.99177083333)</f>
        <v>46055.99177</v>
      </c>
      <c r="D41" s="1" t="str">
        <f>IFERROR(__xludf.DUMMYFUNCTION("""COMPUTED_VALUE"""),"26-35")</f>
        <v>26-35</v>
      </c>
      <c r="E41" s="1" t="str">
        <f>IFERROR(__xludf.DUMMYFUNCTION("""COMPUTED_VALUE"""),"Male")</f>
        <v>Male</v>
      </c>
      <c r="F41" s="1" t="str">
        <f>IFERROR(__xludf.DUMMYFUNCTION("""COMPUTED_VALUE"""),"¥3,000,000 – ¥5,999,999")</f>
        <v>¥3,000,000 – ¥5,999,999</v>
      </c>
      <c r="G41" s="1" t="str">
        <f>IFERROR(__xludf.DUMMYFUNCTION("""COMPUTED_VALUE"""),"Kanto")</f>
        <v>Kanto</v>
      </c>
      <c r="H41" s="1" t="str">
        <f>IFERROR(__xludf.DUMMYFUNCTION("""COMPUTED_VALUE"""),"Daily")</f>
        <v>Daily</v>
      </c>
      <c r="I41" s="1" t="str">
        <f>IFERROR(__xludf.DUMMYFUNCTION("""COMPUTED_VALUE"""),"Pour Over")</f>
        <v>Pour Over</v>
      </c>
      <c r="J41" s="1"/>
      <c r="K41" s="1" t="str">
        <f>IFERROR(__xludf.DUMMYFUNCTION("""COMPUTED_VALUE"""),"Rarely")</f>
        <v>Rarely</v>
      </c>
      <c r="L41" s="1" t="str">
        <f>IFERROR(__xludf.DUMMYFUNCTION("""COMPUTED_VALUE"""),"Usucha")</f>
        <v>Usucha</v>
      </c>
      <c r="M41" s="1"/>
      <c r="N41" s="1" t="str">
        <f>IFERROR(__xludf.DUMMYFUNCTION("""COMPUTED_VALUE"""),"Taste/Flavor, convenience (have everything at home)")</f>
        <v>Taste/Flavor, convenience (have everything at home)</v>
      </c>
      <c r="O41" s="1"/>
      <c r="P41" s="1" t="str">
        <f>IFERROR(__xludf.DUMMYFUNCTION("""COMPUTED_VALUE"""),"At home, From convenience stores (7-Eleven, Lawson, etc.), From vending machines")</f>
        <v>At home, From convenience stores (7-Eleven, Lawson, etc.), From vending machines</v>
      </c>
      <c r="Q41" s="1"/>
      <c r="R41" s="1" t="str">
        <f>IFERROR(__xludf.DUMMYFUNCTION("""COMPUTED_VALUE"""),"Rarely")</f>
        <v>Rarely</v>
      </c>
      <c r="S41" s="1" t="str">
        <f>IFERROR(__xludf.DUMMYFUNCTION("""COMPUTED_VALUE"""),"To meet friends")</f>
        <v>To meet friends</v>
      </c>
      <c r="T41" s="1"/>
      <c r="U41" s="1" t="str">
        <f>IFERROR(__xludf.DUMMYFUNCTION("""COMPUTED_VALUE"""),"Atmosphere")</f>
        <v>Atmosphere</v>
      </c>
      <c r="V41" s="1"/>
      <c r="W41" s="1" t="str">
        <f>IFERROR(__xludf.DUMMYFUNCTION("""COMPUTED_VALUE"""),"Yes, Global")</f>
        <v>Yes, Global</v>
      </c>
      <c r="X41" s="1" t="str">
        <f>IFERROR(__xludf.DUMMYFUNCTION("""COMPUTED_VALUE"""),"Yes,  Japanese")</f>
        <v>Yes,  Japanese</v>
      </c>
      <c r="Y41" s="1">
        <f>IFERROR(__xludf.DUMMYFUNCTION("""COMPUTED_VALUE"""),5.0)</f>
        <v>5</v>
      </c>
      <c r="Z41" s="1">
        <f>IFERROR(__xludf.DUMMYFUNCTION("""COMPUTED_VALUE"""),5.0)</f>
        <v>5</v>
      </c>
      <c r="AA41" s="1">
        <f>IFERROR(__xludf.DUMMYFUNCTION("""COMPUTED_VALUE"""),6.0)</f>
        <v>6</v>
      </c>
      <c r="AB41" s="1" t="str">
        <f>IFERROR(__xludf.DUMMYFUNCTION("""COMPUTED_VALUE"""),"Yes")</f>
        <v>Yes</v>
      </c>
    </row>
    <row r="42">
      <c r="A42" s="1" t="str">
        <f>IFERROR(__xludf.DUMMYFUNCTION("""COMPUTED_VALUE"""),"1AjpG2O")</f>
        <v>1AjpG2O</v>
      </c>
      <c r="B42" s="1" t="str">
        <f>IFERROR(__xludf.DUMMYFUNCTION("""COMPUTED_VALUE"""),"NpAKJzQ")</f>
        <v>NpAKJzQ</v>
      </c>
      <c r="C42" s="5">
        <f>IFERROR(__xludf.DUMMYFUNCTION("""COMPUTED_VALUE"""),46062.163298611114)</f>
        <v>46062.1633</v>
      </c>
      <c r="D42" s="1" t="str">
        <f>IFERROR(__xludf.DUMMYFUNCTION("""COMPUTED_VALUE"""),"26-35")</f>
        <v>26-35</v>
      </c>
      <c r="E42" s="1" t="str">
        <f>IFERROR(__xludf.DUMMYFUNCTION("""COMPUTED_VALUE"""),"Male")</f>
        <v>Male</v>
      </c>
      <c r="F42" s="1" t="str">
        <f>IFERROR(__xludf.DUMMYFUNCTION("""COMPUTED_VALUE"""),"Under ¥3,000,000")</f>
        <v>Under ¥3,000,000</v>
      </c>
      <c r="G42" s="1" t="str">
        <f>IFERROR(__xludf.DUMMYFUNCTION("""COMPUTED_VALUE"""),"Kanto")</f>
        <v>Kanto</v>
      </c>
      <c r="H42" s="1" t="str">
        <f>IFERROR(__xludf.DUMMYFUNCTION("""COMPUTED_VALUE"""),"Several times a week")</f>
        <v>Several times a week</v>
      </c>
      <c r="I42" s="1" t="str">
        <f>IFERROR(__xludf.DUMMYFUNCTION("""COMPUTED_VALUE"""),"Latte")</f>
        <v>Latte</v>
      </c>
      <c r="J42" s="1"/>
      <c r="K42" s="1" t="str">
        <f>IFERROR(__xludf.DUMMYFUNCTION("""COMPUTED_VALUE"""),"Several times a week")</f>
        <v>Several times a week</v>
      </c>
      <c r="L42" s="1" t="str">
        <f>IFERROR(__xludf.DUMMYFUNCTION("""COMPUTED_VALUE"""),"Matcha Latte")</f>
        <v>Matcha Latte</v>
      </c>
      <c r="M42" s="1"/>
      <c r="N42" s="1" t="str">
        <f>IFERROR(__xludf.DUMMYFUNCTION("""COMPUTED_VALUE"""),"Taste/Flavor, Routine/Ritual")</f>
        <v>Taste/Flavor, Routine/Ritual</v>
      </c>
      <c r="O42" s="1"/>
      <c r="P42" s="1" t="str">
        <f>IFERROR(__xludf.DUMMYFUNCTION("""COMPUTED_VALUE"""),"At home, At cafés")</f>
        <v>At home, At cafés</v>
      </c>
      <c r="Q42" s="1"/>
      <c r="R42" s="1" t="str">
        <f>IFERROR(__xludf.DUMMYFUNCTION("""COMPUTED_VALUE"""),"Several times a week")</f>
        <v>Several times a week</v>
      </c>
      <c r="S42" s="1" t="str">
        <f>IFERROR(__xludf.DUMMYFUNCTION("""COMPUTED_VALUE"""),"To meet friends")</f>
        <v>To meet friends</v>
      </c>
      <c r="T42" s="1"/>
      <c r="U42" s="1" t="str">
        <f>IFERROR(__xludf.DUMMYFUNCTION("""COMPUTED_VALUE"""),"Atmosphere")</f>
        <v>Atmosphere</v>
      </c>
      <c r="V42" s="1"/>
      <c r="W42" s="1" t="str">
        <f>IFERROR(__xludf.DUMMYFUNCTION("""COMPUTED_VALUE"""),"Yes, Global")</f>
        <v>Yes, Global</v>
      </c>
      <c r="X42" s="1" t="str">
        <f>IFERROR(__xludf.DUMMYFUNCTION("""COMPUTED_VALUE"""),"Yes,  Japanese")</f>
        <v>Yes,  Japanese</v>
      </c>
      <c r="Y42" s="1">
        <f>IFERROR(__xludf.DUMMYFUNCTION("""COMPUTED_VALUE"""),6.0)</f>
        <v>6</v>
      </c>
      <c r="Z42" s="1">
        <f>IFERROR(__xludf.DUMMYFUNCTION("""COMPUTED_VALUE"""),6.0)</f>
        <v>6</v>
      </c>
      <c r="AA42" s="1">
        <f>IFERROR(__xludf.DUMMYFUNCTION("""COMPUTED_VALUE"""),6.0)</f>
        <v>6</v>
      </c>
      <c r="AB42" s="1" t="str">
        <f>IFERROR(__xludf.DUMMYFUNCTION("""COMPUTED_VALUE"""),"Yes")</f>
        <v>Yes</v>
      </c>
    </row>
    <row r="43">
      <c r="A43" s="1" t="str">
        <f>IFERROR(__xludf.DUMMYFUNCTION("""COMPUTED_VALUE"""),"EkpNEao")</f>
        <v>EkpNEao</v>
      </c>
      <c r="B43" s="1" t="str">
        <f>IFERROR(__xludf.DUMMYFUNCTION("""COMPUTED_VALUE"""),"1ArZp9L")</f>
        <v>1ArZp9L</v>
      </c>
      <c r="C43" s="5">
        <f>IFERROR(__xludf.DUMMYFUNCTION("""COMPUTED_VALUE"""),46062.21340277778)</f>
        <v>46062.2134</v>
      </c>
      <c r="D43" s="1" t="str">
        <f>IFERROR(__xludf.DUMMYFUNCTION("""COMPUTED_VALUE"""),"26-35")</f>
        <v>26-35</v>
      </c>
      <c r="E43" s="1" t="str">
        <f>IFERROR(__xludf.DUMMYFUNCTION("""COMPUTED_VALUE"""),"Female")</f>
        <v>Female</v>
      </c>
      <c r="F43" s="1" t="str">
        <f>IFERROR(__xludf.DUMMYFUNCTION("""COMPUTED_VALUE"""),"¥3,000,000 – ¥5,999,999")</f>
        <v>¥3,000,000 – ¥5,999,999</v>
      </c>
      <c r="G43" s="1" t="str">
        <f>IFERROR(__xludf.DUMMYFUNCTION("""COMPUTED_VALUE"""),"Kanto")</f>
        <v>Kanto</v>
      </c>
      <c r="H43" s="1" t="str">
        <f>IFERROR(__xludf.DUMMYFUNCTION("""COMPUTED_VALUE"""),"Daily")</f>
        <v>Daily</v>
      </c>
      <c r="I43" s="1" t="str">
        <f>IFERROR(__xludf.DUMMYFUNCTION("""COMPUTED_VALUE"""),"Drip")</f>
        <v>Drip</v>
      </c>
      <c r="J43" s="1"/>
      <c r="K43" s="1" t="str">
        <f>IFERROR(__xludf.DUMMYFUNCTION("""COMPUTED_VALUE"""),"Several times a week")</f>
        <v>Several times a week</v>
      </c>
      <c r="L43" s="1" t="str">
        <f>IFERROR(__xludf.DUMMYFUNCTION("""COMPUTED_VALUE"""),"Koicha")</f>
        <v>Koicha</v>
      </c>
      <c r="M43" s="1"/>
      <c r="N43" s="1" t="str">
        <f>IFERROR(__xludf.DUMMYFUNCTION("""COMPUTED_VALUE"""),"Energy boost/Caffeine, Social norms / influence (what people around me usually drink)")</f>
        <v>Energy boost/Caffeine, Social norms / influence (what people around me usually drink)</v>
      </c>
      <c r="O43" s="1"/>
      <c r="P43" s="1" t="str">
        <f>IFERROR(__xludf.DUMMYFUNCTION("""COMPUTED_VALUE"""),"At home, From vending machines, From convenience stores (7-Eleven, Lawson, etc.)")</f>
        <v>At home, From vending machines, From convenience stores (7-Eleven, Lawson, etc.)</v>
      </c>
      <c r="Q43" s="1"/>
      <c r="R43" s="1" t="str">
        <f>IFERROR(__xludf.DUMMYFUNCTION("""COMPUTED_VALUE"""),"A few times a month")</f>
        <v>A few times a month</v>
      </c>
      <c r="S43" s="1" t="str">
        <f>IFERROR(__xludf.DUMMYFUNCTION("""COMPUTED_VALUE"""),"To meet friends")</f>
        <v>To meet friends</v>
      </c>
      <c r="T43" s="1"/>
      <c r="U43" s="1" t="str">
        <f>IFERROR(__xludf.DUMMYFUNCTION("""COMPUTED_VALUE"""),"Atmosphere")</f>
        <v>Atmosphere</v>
      </c>
      <c r="V43" s="1"/>
      <c r="W43" s="1" t="str">
        <f>IFERROR(__xludf.DUMMYFUNCTION("""COMPUTED_VALUE"""),"Yes, Western")</f>
        <v>Yes, Western</v>
      </c>
      <c r="X43" s="1" t="str">
        <f>IFERROR(__xludf.DUMMYFUNCTION("""COMPUTED_VALUE"""),"Yes,  Japanese")</f>
        <v>Yes,  Japanese</v>
      </c>
      <c r="Y43" s="1">
        <f>IFERROR(__xludf.DUMMYFUNCTION("""COMPUTED_VALUE"""),5.0)</f>
        <v>5</v>
      </c>
      <c r="Z43" s="1">
        <f>IFERROR(__xludf.DUMMYFUNCTION("""COMPUTED_VALUE"""),7.0)</f>
        <v>7</v>
      </c>
      <c r="AA43" s="1">
        <f>IFERROR(__xludf.DUMMYFUNCTION("""COMPUTED_VALUE"""),3.0)</f>
        <v>3</v>
      </c>
      <c r="AB43" s="1" t="str">
        <f>IFERROR(__xludf.DUMMYFUNCTION("""COMPUTED_VALUE"""),"No")</f>
        <v>No</v>
      </c>
    </row>
    <row r="44">
      <c r="A44" s="1" t="str">
        <f>IFERROR(__xludf.DUMMYFUNCTION("""COMPUTED_VALUE"""),"9qeoPaV")</f>
        <v>9qeoPaV</v>
      </c>
      <c r="B44" s="1" t="str">
        <f>IFERROR(__xludf.DUMMYFUNCTION("""COMPUTED_VALUE"""),"NpAKdLb")</f>
        <v>NpAKdLb</v>
      </c>
      <c r="C44" s="5">
        <f>IFERROR(__xludf.DUMMYFUNCTION("""COMPUTED_VALUE"""),46062.22430555556)</f>
        <v>46062.22431</v>
      </c>
      <c r="D44" s="1" t="str">
        <f>IFERROR(__xludf.DUMMYFUNCTION("""COMPUTED_VALUE"""),"36-45")</f>
        <v>36-45</v>
      </c>
      <c r="E44" s="1" t="str">
        <f>IFERROR(__xludf.DUMMYFUNCTION("""COMPUTED_VALUE"""),"Male")</f>
        <v>Male</v>
      </c>
      <c r="F44" s="1" t="str">
        <f>IFERROR(__xludf.DUMMYFUNCTION("""COMPUTED_VALUE"""),"¥9,000,000 – ¥11,999,999")</f>
        <v>¥9,000,000 – ¥11,999,999</v>
      </c>
      <c r="G44" s="1" t="str">
        <f>IFERROR(__xludf.DUMMYFUNCTION("""COMPUTED_VALUE"""),"Kanto")</f>
        <v>Kanto</v>
      </c>
      <c r="H44" s="1" t="str">
        <f>IFERROR(__xludf.DUMMYFUNCTION("""COMPUTED_VALUE"""),"Daily")</f>
        <v>Daily</v>
      </c>
      <c r="I44" s="1" t="str">
        <f>IFERROR(__xludf.DUMMYFUNCTION("""COMPUTED_VALUE"""),"Drip")</f>
        <v>Drip</v>
      </c>
      <c r="J44" s="1"/>
      <c r="K44" s="1" t="str">
        <f>IFERROR(__xludf.DUMMYFUNCTION("""COMPUTED_VALUE"""),"Rarely")</f>
        <v>Rarely</v>
      </c>
      <c r="L44" s="1" t="str">
        <f>IFERROR(__xludf.DUMMYFUNCTION("""COMPUTED_VALUE"""),"Usucha")</f>
        <v>Usucha</v>
      </c>
      <c r="M44" s="1"/>
      <c r="N44" s="1" t="str">
        <f>IFERROR(__xludf.DUMMYFUNCTION("""COMPUTED_VALUE"""),"Taste/Flavor, Price")</f>
        <v>Taste/Flavor, Price</v>
      </c>
      <c r="O44" s="1"/>
      <c r="P44" s="1" t="str">
        <f>IFERROR(__xludf.DUMMYFUNCTION("""COMPUTED_VALUE"""),"At cafés, At home, From convenience stores (7-Eleven, Lawson, etc.)")</f>
        <v>At cafés, At home, From convenience stores (7-Eleven, Lawson, etc.)</v>
      </c>
      <c r="Q44" s="1"/>
      <c r="R44" s="1" t="str">
        <f>IFERROR(__xludf.DUMMYFUNCTION("""COMPUTED_VALUE"""),"Once a week")</f>
        <v>Once a week</v>
      </c>
      <c r="S44" s="1" t="str">
        <f>IFERROR(__xludf.DUMMYFUNCTION("""COMPUTED_VALUE"""),"To relax or take a break")</f>
        <v>To relax or take a break</v>
      </c>
      <c r="T44" s="1"/>
      <c r="U44" s="1" t="str">
        <f>IFERROR(__xludf.DUMMYFUNCTION("""COMPUTED_VALUE"""),"Atmosphere")</f>
        <v>Atmosphere</v>
      </c>
      <c r="V44" s="1"/>
      <c r="W44" s="1" t="str">
        <f>IFERROR(__xludf.DUMMYFUNCTION("""COMPUTED_VALUE"""),"Yes, Global")</f>
        <v>Yes, Global</v>
      </c>
      <c r="X44" s="1" t="str">
        <f>IFERROR(__xludf.DUMMYFUNCTION("""COMPUTED_VALUE"""),"Yes,  Japanese")</f>
        <v>Yes,  Japanese</v>
      </c>
      <c r="Y44" s="1">
        <f>IFERROR(__xludf.DUMMYFUNCTION("""COMPUTED_VALUE"""),2.0)</f>
        <v>2</v>
      </c>
      <c r="Z44" s="1">
        <f>IFERROR(__xludf.DUMMYFUNCTION("""COMPUTED_VALUE"""),2.0)</f>
        <v>2</v>
      </c>
      <c r="AA44" s="1">
        <f>IFERROR(__xludf.DUMMYFUNCTION("""COMPUTED_VALUE"""),4.0)</f>
        <v>4</v>
      </c>
      <c r="AB44" s="1" t="str">
        <f>IFERROR(__xludf.DUMMYFUNCTION("""COMPUTED_VALUE"""),"No")</f>
        <v>No</v>
      </c>
    </row>
    <row r="45">
      <c r="A45" s="1" t="str">
        <f>IFERROR(__xludf.DUMMYFUNCTION("""COMPUTED_VALUE"""),"kdLvrNR")</f>
        <v>kdLvrNR</v>
      </c>
      <c r="B45" s="1" t="str">
        <f>IFERROR(__xludf.DUMMYFUNCTION("""COMPUTED_VALUE"""),"yPyZZPx")</f>
        <v>yPyZZPx</v>
      </c>
      <c r="C45" s="5">
        <f>IFERROR(__xludf.DUMMYFUNCTION("""COMPUTED_VALUE"""),46062.3674537037)</f>
        <v>46062.36745</v>
      </c>
      <c r="D45" s="1" t="str">
        <f>IFERROR(__xludf.DUMMYFUNCTION("""COMPUTED_VALUE"""),"36-45")</f>
        <v>36-45</v>
      </c>
      <c r="E45" s="1" t="str">
        <f>IFERROR(__xludf.DUMMYFUNCTION("""COMPUTED_VALUE"""),"Male")</f>
        <v>Male</v>
      </c>
      <c r="F45" s="1" t="str">
        <f>IFERROR(__xludf.DUMMYFUNCTION("""COMPUTED_VALUE"""),"¥6,000,000 – ¥8,999,999")</f>
        <v>¥6,000,000 – ¥8,999,999</v>
      </c>
      <c r="G45" s="1" t="str">
        <f>IFERROR(__xludf.DUMMYFUNCTION("""COMPUTED_VALUE"""),"Kanto")</f>
        <v>Kanto</v>
      </c>
      <c r="H45" s="1" t="str">
        <f>IFERROR(__xludf.DUMMYFUNCTION("""COMPUTED_VALUE"""),"Daily")</f>
        <v>Daily</v>
      </c>
      <c r="I45" s="1" t="str">
        <f>IFERROR(__xludf.DUMMYFUNCTION("""COMPUTED_VALUE"""),"Latte")</f>
        <v>Latte</v>
      </c>
      <c r="J45" s="1"/>
      <c r="K45" s="1" t="str">
        <f>IFERROR(__xludf.DUMMYFUNCTION("""COMPUTED_VALUE"""),"Rarely")</f>
        <v>Rarely</v>
      </c>
      <c r="L45" s="1"/>
      <c r="M45" s="1"/>
      <c r="N45" s="1" t="str">
        <f>IFERROR(__xludf.DUMMYFUNCTION("""COMPUTED_VALUE"""),"Availability (green tea is easily available everywhere, but not matcha)")</f>
        <v>Availability (green tea is easily available everywhere, but not matcha)</v>
      </c>
      <c r="O45" s="1"/>
      <c r="P45" s="1" t="str">
        <f>IFERROR(__xludf.DUMMYFUNCTION("""COMPUTED_VALUE"""),"From vending machines")</f>
        <v>From vending machines</v>
      </c>
      <c r="Q45" s="1"/>
      <c r="R45" s="1" t="str">
        <f>IFERROR(__xludf.DUMMYFUNCTION("""COMPUTED_VALUE"""),"Several times a week")</f>
        <v>Several times a week</v>
      </c>
      <c r="S45" s="1" t="str">
        <f>IFERROR(__xludf.DUMMYFUNCTION("""COMPUTED_VALUE"""),"To relax or take a break")</f>
        <v>To relax or take a break</v>
      </c>
      <c r="T45" s="1"/>
      <c r="U45" s="1" t="str">
        <f>IFERROR(__xludf.DUMMYFUNCTION("""COMPUTED_VALUE"""),"Atmosphere")</f>
        <v>Atmosphere</v>
      </c>
      <c r="V45" s="1"/>
      <c r="W45" s="1" t="str">
        <f>IFERROR(__xludf.DUMMYFUNCTION("""COMPUTED_VALUE"""),"Yes, Global")</f>
        <v>Yes, Global</v>
      </c>
      <c r="X45" s="1" t="str">
        <f>IFERROR(__xludf.DUMMYFUNCTION("""COMPUTED_VALUE"""),"Yes,  Japanese")</f>
        <v>Yes,  Japanese</v>
      </c>
      <c r="Y45" s="1">
        <f>IFERROR(__xludf.DUMMYFUNCTION("""COMPUTED_VALUE"""),4.0)</f>
        <v>4</v>
      </c>
      <c r="Z45" s="1">
        <f>IFERROR(__xludf.DUMMYFUNCTION("""COMPUTED_VALUE"""),7.0)</f>
        <v>7</v>
      </c>
      <c r="AA45" s="1">
        <f>IFERROR(__xludf.DUMMYFUNCTION("""COMPUTED_VALUE"""),4.0)</f>
        <v>4</v>
      </c>
      <c r="AB45" s="1" t="str">
        <f>IFERROR(__xludf.DUMMYFUNCTION("""COMPUTED_VALUE"""),"No")</f>
        <v>No</v>
      </c>
    </row>
    <row r="46">
      <c r="A46" s="1" t="str">
        <f>IFERROR(__xludf.DUMMYFUNCTION("""COMPUTED_VALUE"""),"pb8pdx1")</f>
        <v>pb8pdx1</v>
      </c>
      <c r="B46" s="1" t="str">
        <f>IFERROR(__xludf.DUMMYFUNCTION("""COMPUTED_VALUE"""),"vG2qaKl")</f>
        <v>vG2qaKl</v>
      </c>
      <c r="C46" s="5">
        <f>IFERROR(__xludf.DUMMYFUNCTION("""COMPUTED_VALUE"""),46079.57585648148)</f>
        <v>46079.57586</v>
      </c>
      <c r="D46" s="1" t="str">
        <f>IFERROR(__xludf.DUMMYFUNCTION("""COMPUTED_VALUE"""),"36-45")</f>
        <v>36-45</v>
      </c>
      <c r="E46" s="1" t="str">
        <f>IFERROR(__xludf.DUMMYFUNCTION("""COMPUTED_VALUE"""),"Female")</f>
        <v>Female</v>
      </c>
      <c r="F46" s="1" t="str">
        <f>IFERROR(__xludf.DUMMYFUNCTION("""COMPUTED_VALUE"""),"¥12,000,000 or more")</f>
        <v>¥12,000,000 or more</v>
      </c>
      <c r="G46" s="1" t="str">
        <f>IFERROR(__xludf.DUMMYFUNCTION("""COMPUTED_VALUE"""),"Kanto")</f>
        <v>Kanto</v>
      </c>
      <c r="H46" s="1" t="str">
        <f>IFERROR(__xludf.DUMMYFUNCTION("""COMPUTED_VALUE"""),"Rarely")</f>
        <v>Rarely</v>
      </c>
      <c r="I46" s="1" t="str">
        <f>IFERROR(__xludf.DUMMYFUNCTION("""COMPUTED_VALUE"""),"Latte")</f>
        <v>Latte</v>
      </c>
      <c r="J46" s="1" t="str">
        <f>IFERROR(__xludf.DUMMYFUNCTION("""COMPUTED_VALUE"""),"Espresso tonic")</f>
        <v>Espresso tonic</v>
      </c>
      <c r="K46" s="1" t="str">
        <f>IFERROR(__xludf.DUMMYFUNCTION("""COMPUTED_VALUE"""),"Rarely")</f>
        <v>Rarely</v>
      </c>
      <c r="L46" s="1" t="str">
        <f>IFERROR(__xludf.DUMMYFUNCTION("""COMPUTED_VALUE"""),"Matcha Latte")</f>
        <v>Matcha Latte</v>
      </c>
      <c r="M46" s="1" t="str">
        <f>IFERROR(__xludf.DUMMYFUNCTION("""COMPUTED_VALUE"""),"Matcha lemonade")</f>
        <v>Matcha lemonade</v>
      </c>
      <c r="N46" s="1" t="str">
        <f>IFERROR(__xludf.DUMMYFUNCTION("""COMPUTED_VALUE"""),"Taste/Flavor, Energy boost/Caffeine")</f>
        <v>Taste/Flavor, Energy boost/Caffeine</v>
      </c>
      <c r="O46" s="1"/>
      <c r="P46" s="1" t="str">
        <f>IFERROR(__xludf.DUMMYFUNCTION("""COMPUTED_VALUE"""),"At cafés, Other:")</f>
        <v>At cafés, Other:</v>
      </c>
      <c r="Q46" s="1" t="str">
        <f>IFERROR(__xludf.DUMMYFUNCTION("""COMPUTED_VALUE"""),"Take away (workplace or park)")</f>
        <v>Take away (workplace or park)</v>
      </c>
      <c r="R46" s="1" t="str">
        <f>IFERROR(__xludf.DUMMYFUNCTION("""COMPUTED_VALUE"""),"Once a week")</f>
        <v>Once a week</v>
      </c>
      <c r="S46" s="1" t="str">
        <f>IFERROR(__xludf.DUMMYFUNCTION("""COMPUTED_VALUE"""),"To relax or take a break")</f>
        <v>To relax or take a break</v>
      </c>
      <c r="T46" s="1"/>
      <c r="U46" s="1" t="str">
        <f>IFERROR(__xludf.DUMMYFUNCTION("""COMPUTED_VALUE"""),"Atmosphere")</f>
        <v>Atmosphere</v>
      </c>
      <c r="V46" s="1"/>
      <c r="W46" s="1" t="str">
        <f>IFERROR(__xludf.DUMMYFUNCTION("""COMPUTED_VALUE"""),"No")</f>
        <v>No</v>
      </c>
      <c r="X46" s="1" t="str">
        <f>IFERROR(__xludf.DUMMYFUNCTION("""COMPUTED_VALUE"""),"Yes,  Japanese")</f>
        <v>Yes,  Japanese</v>
      </c>
      <c r="Y46" s="1">
        <f>IFERROR(__xludf.DUMMYFUNCTION("""COMPUTED_VALUE"""),7.0)</f>
        <v>7</v>
      </c>
      <c r="Z46" s="1">
        <f>IFERROR(__xludf.DUMMYFUNCTION("""COMPUTED_VALUE"""),7.0)</f>
        <v>7</v>
      </c>
      <c r="AA46" s="1">
        <f>IFERROR(__xludf.DUMMYFUNCTION("""COMPUTED_VALUE"""),7.0)</f>
        <v>7</v>
      </c>
      <c r="AB46" s="1" t="str">
        <f>IFERROR(__xludf.DUMMYFUNCTION("""COMPUTED_VALUE"""),"Yes")</f>
        <v>Yes</v>
      </c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227</v>
      </c>
      <c r="E1" s="4" t="s">
        <v>228</v>
      </c>
      <c r="F1" s="4" t="s">
        <v>229</v>
      </c>
      <c r="G1" s="4" t="s">
        <v>230</v>
      </c>
      <c r="H1" s="4" t="s">
        <v>231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9</v>
      </c>
      <c r="N1" s="4" t="s">
        <v>12</v>
      </c>
      <c r="O1" s="4" t="s">
        <v>9</v>
      </c>
      <c r="P1" s="4" t="s">
        <v>13</v>
      </c>
      <c r="Q1" s="4" t="s">
        <v>9</v>
      </c>
      <c r="R1" s="4" t="s">
        <v>14</v>
      </c>
      <c r="S1" s="4" t="s">
        <v>15</v>
      </c>
      <c r="T1" s="4" t="s">
        <v>9</v>
      </c>
      <c r="U1" s="4" t="s">
        <v>16</v>
      </c>
      <c r="V1" s="4" t="s">
        <v>9</v>
      </c>
      <c r="W1" s="4" t="s">
        <v>17</v>
      </c>
      <c r="X1" s="4" t="s">
        <v>18</v>
      </c>
      <c r="Y1" s="3" t="s">
        <v>232</v>
      </c>
      <c r="Z1" s="3" t="s">
        <v>233</v>
      </c>
      <c r="AA1" s="3" t="s">
        <v>234</v>
      </c>
      <c r="AB1" s="4" t="s">
        <v>21</v>
      </c>
      <c r="AC1" s="4"/>
    </row>
    <row r="2">
      <c r="A2" s="1" t="str">
        <f>IFERROR(__xludf.DUMMYFUNCTION("FILTER('English Results'!A1:AC1000, 'English Results'!A1:A1000&lt;&gt;"""")"),"ODxjxJ8")</f>
        <v>ODxjxJ8</v>
      </c>
      <c r="B2" s="1" t="str">
        <f>IFERROR(__xludf.DUMMYFUNCTION("""COMPUTED_VALUE"""),"dWdJZkK")</f>
        <v>dWdJZkK</v>
      </c>
      <c r="C2" s="5">
        <f>IFERROR(__xludf.DUMMYFUNCTION("""COMPUTED_VALUE"""),46026.96828703704)</f>
        <v>46026.96829</v>
      </c>
      <c r="D2" s="1" t="str">
        <f>IFERROR(__xludf.DUMMYFUNCTION("""COMPUTED_VALUE"""),"46-55")</f>
        <v>46-55</v>
      </c>
      <c r="E2" s="1" t="str">
        <f>IFERROR(__xludf.DUMMYFUNCTION("""COMPUTED_VALUE"""),"Male")</f>
        <v>Male</v>
      </c>
      <c r="F2" s="1" t="str">
        <f>IFERROR(__xludf.DUMMYFUNCTION("""COMPUTED_VALUE"""),"¥12,000,000 or more")</f>
        <v>¥12,000,000 or more</v>
      </c>
      <c r="G2" s="1" t="str">
        <f>IFERROR(__xludf.DUMMYFUNCTION("""COMPUTED_VALUE"""),"Kanto")</f>
        <v>Kanto</v>
      </c>
      <c r="H2" s="1" t="str">
        <f>IFERROR(__xludf.DUMMYFUNCTION("""COMPUTED_VALUE"""),"Daily")</f>
        <v>Daily</v>
      </c>
      <c r="I2" s="1" t="str">
        <f>IFERROR(__xludf.DUMMYFUNCTION("""COMPUTED_VALUE"""),"Latte")</f>
        <v>Latte</v>
      </c>
      <c r="J2" s="1"/>
      <c r="K2" s="1" t="str">
        <f>IFERROR(__xludf.DUMMYFUNCTION("""COMPUTED_VALUE"""),"Rarely")</f>
        <v>Rarely</v>
      </c>
      <c r="L2" s="1" t="str">
        <f>IFERROR(__xludf.DUMMYFUNCTION("""COMPUTED_VALUE"""),"Other:")</f>
        <v>Other:</v>
      </c>
      <c r="M2" s="1" t="str">
        <f>IFERROR(__xludf.DUMMYFUNCTION("""COMPUTED_VALUE"""),"I don't know!!")</f>
        <v>I don't know!!</v>
      </c>
      <c r="N2" s="1" t="str">
        <f>IFERROR(__xludf.DUMMYFUNCTION("""COMPUTED_VALUE"""),"Routine/Ritual, Social atmosphere")</f>
        <v>Routine/Ritual, Social atmosphere</v>
      </c>
      <c r="O2" s="1"/>
      <c r="P2" s="1" t="str">
        <f>IFERROR(__xludf.DUMMYFUNCTION("""COMPUTED_VALUE"""),"At cafés, At home")</f>
        <v>At cafés, At home</v>
      </c>
      <c r="Q2" s="1"/>
      <c r="R2" s="1" t="str">
        <f>IFERROR(__xludf.DUMMYFUNCTION("""COMPUTED_VALUE"""),"Several times a week")</f>
        <v>Several times a week</v>
      </c>
      <c r="S2" s="1" t="str">
        <f>IFERROR(__xludf.DUMMYFUNCTION("""COMPUTED_VALUE"""),"To relax or take a break")</f>
        <v>To relax or take a break</v>
      </c>
      <c r="T2" s="1"/>
      <c r="U2" s="1" t="str">
        <f>IFERROR(__xludf.DUMMYFUNCTION("""COMPUTED_VALUE"""),"Quality of drinks")</f>
        <v>Quality of drinks</v>
      </c>
      <c r="V2" s="1"/>
      <c r="W2" s="1" t="str">
        <f>IFERROR(__xludf.DUMMYFUNCTION("""COMPUTED_VALUE"""),"Yes, Western")</f>
        <v>Yes, Western</v>
      </c>
      <c r="X2" s="1" t="str">
        <f>IFERROR(__xludf.DUMMYFUNCTION("""COMPUTED_VALUE"""),"Yes,  Japanese")</f>
        <v>Yes,  Japanese</v>
      </c>
      <c r="Y2" s="1">
        <f>IFERROR(__xludf.DUMMYFUNCTION("""COMPUTED_VALUE"""),5.0)</f>
        <v>5</v>
      </c>
      <c r="Z2" s="1">
        <f>IFERROR(__xludf.DUMMYFUNCTION("""COMPUTED_VALUE"""),7.0)</f>
        <v>7</v>
      </c>
      <c r="AA2" s="1">
        <f>IFERROR(__xludf.DUMMYFUNCTION("""COMPUTED_VALUE"""),7.0)</f>
        <v>7</v>
      </c>
      <c r="AB2" s="1" t="str">
        <f>IFERROR(__xludf.DUMMYFUNCTION("""COMPUTED_VALUE"""),"Yes")</f>
        <v>Yes</v>
      </c>
      <c r="AC2" s="1"/>
    </row>
    <row r="3">
      <c r="A3" s="1" t="str">
        <f>IFERROR(__xludf.DUMMYFUNCTION("""COMPUTED_VALUE"""),"PdZVGdx")</f>
        <v>PdZVGdx</v>
      </c>
      <c r="B3" s="1" t="str">
        <f>IFERROR(__xludf.DUMMYFUNCTION("""COMPUTED_VALUE"""),"lbdea2N")</f>
        <v>lbdea2N</v>
      </c>
      <c r="C3" s="5">
        <f>IFERROR(__xludf.DUMMYFUNCTION("""COMPUTED_VALUE"""),46030.33025462963)</f>
        <v>46030.33025</v>
      </c>
      <c r="D3" s="1" t="str">
        <f>IFERROR(__xludf.DUMMYFUNCTION("""COMPUTED_VALUE"""),"26-35")</f>
        <v>26-35</v>
      </c>
      <c r="E3" s="1" t="str">
        <f>IFERROR(__xludf.DUMMYFUNCTION("""COMPUTED_VALUE"""),"Male")</f>
        <v>Male</v>
      </c>
      <c r="F3" s="1" t="str">
        <f>IFERROR(__xludf.DUMMYFUNCTION("""COMPUTED_VALUE"""),"¥3,000,000 – ¥5,999,999")</f>
        <v>¥3,000,000 – ¥5,999,999</v>
      </c>
      <c r="G3" s="1" t="str">
        <f>IFERROR(__xludf.DUMMYFUNCTION("""COMPUTED_VALUE"""),"Kanto")</f>
        <v>Kanto</v>
      </c>
      <c r="H3" s="1" t="str">
        <f>IFERROR(__xludf.DUMMYFUNCTION("""COMPUTED_VALUE"""),"Daily")</f>
        <v>Daily</v>
      </c>
      <c r="I3" s="1" t="str">
        <f>IFERROR(__xludf.DUMMYFUNCTION("""COMPUTED_VALUE"""),"Pour Over")</f>
        <v>Pour Over</v>
      </c>
      <c r="J3" s="1"/>
      <c r="K3" s="1" t="str">
        <f>IFERROR(__xludf.DUMMYFUNCTION("""COMPUTED_VALUE"""),"Rarely")</f>
        <v>Rarely</v>
      </c>
      <c r="L3" s="1" t="str">
        <f>IFERROR(__xludf.DUMMYFUNCTION("""COMPUTED_VALUE"""),"I don’t drink matcha")</f>
        <v>I don’t drink matcha</v>
      </c>
      <c r="M3" s="1"/>
      <c r="N3" s="1" t="str">
        <f>IFERROR(__xludf.DUMMYFUNCTION("""COMPUTED_VALUE"""),"Taste/Flavor")</f>
        <v>Taste/Flavor</v>
      </c>
      <c r="O3" s="1"/>
      <c r="P3" s="1" t="str">
        <f>IFERROR(__xludf.DUMMYFUNCTION("""COMPUTED_VALUE"""),"At home")</f>
        <v>At home</v>
      </c>
      <c r="Q3" s="1"/>
      <c r="R3" s="1" t="str">
        <f>IFERROR(__xludf.DUMMYFUNCTION("""COMPUTED_VALUE"""),"Every day")</f>
        <v>Every day</v>
      </c>
      <c r="S3" s="1" t="str">
        <f>IFERROR(__xludf.DUMMYFUNCTION("""COMPUTED_VALUE"""),"To relax or take a break")</f>
        <v>To relax or take a break</v>
      </c>
      <c r="T3" s="1"/>
      <c r="U3" s="1" t="str">
        <f>IFERROR(__xludf.DUMMYFUNCTION("""COMPUTED_VALUE"""),"Quality of drinks")</f>
        <v>Quality of drinks</v>
      </c>
      <c r="V3" s="1"/>
      <c r="W3" s="1" t="str">
        <f>IFERROR(__xludf.DUMMYFUNCTION("""COMPUTED_VALUE"""),"Yes, Global")</f>
        <v>Yes, Global</v>
      </c>
      <c r="X3" s="1" t="str">
        <f>IFERROR(__xludf.DUMMYFUNCTION("""COMPUTED_VALUE"""),"Yes, Western")</f>
        <v>Yes, Western</v>
      </c>
      <c r="Y3" s="1">
        <f>IFERROR(__xludf.DUMMYFUNCTION("""COMPUTED_VALUE"""),6.0)</f>
        <v>6</v>
      </c>
      <c r="Z3" s="1">
        <f>IFERROR(__xludf.DUMMYFUNCTION("""COMPUTED_VALUE"""),4.0)</f>
        <v>4</v>
      </c>
      <c r="AA3" s="1">
        <f>IFERROR(__xludf.DUMMYFUNCTION("""COMPUTED_VALUE"""),6.0)</f>
        <v>6</v>
      </c>
      <c r="AB3" s="1" t="str">
        <f>IFERROR(__xludf.DUMMYFUNCTION("""COMPUTED_VALUE"""),"No")</f>
        <v>No</v>
      </c>
      <c r="AC3" s="1"/>
    </row>
    <row r="4">
      <c r="A4" s="1" t="str">
        <f>IFERROR(__xludf.DUMMYFUNCTION("""COMPUTED_VALUE"""),"ODxONvY")</f>
        <v>ODxONvY</v>
      </c>
      <c r="B4" s="1" t="str">
        <f>IFERROR(__xludf.DUMMYFUNCTION("""COMPUTED_VALUE"""),"KYl5lEM")</f>
        <v>KYl5lEM</v>
      </c>
      <c r="C4" s="5">
        <f>IFERROR(__xludf.DUMMYFUNCTION("""COMPUTED_VALUE"""),46030.37069444444)</f>
        <v>46030.37069</v>
      </c>
      <c r="D4" s="1" t="str">
        <f>IFERROR(__xludf.DUMMYFUNCTION("""COMPUTED_VALUE"""),"36-45")</f>
        <v>36-45</v>
      </c>
      <c r="E4" s="1" t="str">
        <f>IFERROR(__xludf.DUMMYFUNCTION("""COMPUTED_VALUE"""),"Male")</f>
        <v>Male</v>
      </c>
      <c r="F4" s="1" t="str">
        <f>IFERROR(__xludf.DUMMYFUNCTION("""COMPUTED_VALUE"""),"¥3,000,000 – ¥5,999,999")</f>
        <v>¥3,000,000 – ¥5,999,999</v>
      </c>
      <c r="G4" s="1" t="str">
        <f>IFERROR(__xludf.DUMMYFUNCTION("""COMPUTED_VALUE"""),"Kanto")</f>
        <v>Kanto</v>
      </c>
      <c r="H4" s="1" t="str">
        <f>IFERROR(__xludf.DUMMYFUNCTION("""COMPUTED_VALUE"""),"Daily")</f>
        <v>Daily</v>
      </c>
      <c r="I4" s="1" t="str">
        <f>IFERROR(__xludf.DUMMYFUNCTION("""COMPUTED_VALUE"""),"Latte")</f>
        <v>Latte</v>
      </c>
      <c r="J4" s="1"/>
      <c r="K4" s="1" t="str">
        <f>IFERROR(__xludf.DUMMYFUNCTION("""COMPUTED_VALUE"""),"Once a week")</f>
        <v>Once a week</v>
      </c>
      <c r="L4" s="1" t="str">
        <f>IFERROR(__xludf.DUMMYFUNCTION("""COMPUTED_VALUE"""),"Matcha Latte")</f>
        <v>Matcha Latte</v>
      </c>
      <c r="M4" s="1"/>
      <c r="N4" s="1" t="str">
        <f>IFERROR(__xludf.DUMMYFUNCTION("""COMPUTED_VALUE"""),"Taste/Flavor")</f>
        <v>Taste/Flavor</v>
      </c>
      <c r="O4" s="1" t="str">
        <f>IFERROR(__xludf.DUMMYFUNCTION("""COMPUTED_VALUE"""),"What the shop is famous for")</f>
        <v>What the shop is famous for</v>
      </c>
      <c r="P4" s="1" t="str">
        <f>IFERROR(__xludf.DUMMYFUNCTION("""COMPUTED_VALUE"""),"At cafés")</f>
        <v>At cafés</v>
      </c>
      <c r="Q4" s="1"/>
      <c r="R4" s="1" t="str">
        <f>IFERROR(__xludf.DUMMYFUNCTION("""COMPUTED_VALUE"""),"Once a week")</f>
        <v>Once a week</v>
      </c>
      <c r="S4" s="1" t="str">
        <f>IFERROR(__xludf.DUMMYFUNCTION("""COMPUTED_VALUE"""),"To relax or take a break")</f>
        <v>To relax or take a break</v>
      </c>
      <c r="T4" s="1"/>
      <c r="U4" s="1" t="str">
        <f>IFERROR(__xludf.DUMMYFUNCTION("""COMPUTED_VALUE"""),"Quality of drinks")</f>
        <v>Quality of drinks</v>
      </c>
      <c r="V4" s="1"/>
      <c r="W4" s="1" t="str">
        <f>IFERROR(__xludf.DUMMYFUNCTION("""COMPUTED_VALUE"""),"Yes, Global")</f>
        <v>Yes, Global</v>
      </c>
      <c r="X4" s="1" t="str">
        <f>IFERROR(__xludf.DUMMYFUNCTION("""COMPUTED_VALUE"""),"Yes, Western")</f>
        <v>Yes, Western</v>
      </c>
      <c r="Y4" s="1">
        <f>IFERROR(__xludf.DUMMYFUNCTION("""COMPUTED_VALUE"""),7.0)</f>
        <v>7</v>
      </c>
      <c r="Z4" s="1">
        <f>IFERROR(__xludf.DUMMYFUNCTION("""COMPUTED_VALUE"""),7.0)</f>
        <v>7</v>
      </c>
      <c r="AA4" s="1">
        <f>IFERROR(__xludf.DUMMYFUNCTION("""COMPUTED_VALUE"""),7.0)</f>
        <v>7</v>
      </c>
      <c r="AB4" s="1" t="str">
        <f>IFERROR(__xludf.DUMMYFUNCTION("""COMPUTED_VALUE"""),"No")</f>
        <v>No</v>
      </c>
      <c r="AC4" s="1"/>
    </row>
    <row r="5">
      <c r="A5" s="1" t="str">
        <f>IFERROR(__xludf.DUMMYFUNCTION("""COMPUTED_VALUE"""),"44VXbKA")</f>
        <v>44VXbKA</v>
      </c>
      <c r="B5" s="1" t="str">
        <f>IFERROR(__xludf.DUMMYFUNCTION("""COMPUTED_VALUE"""),"xXaJrqk")</f>
        <v>xXaJrqk</v>
      </c>
      <c r="C5" s="5">
        <f>IFERROR(__xludf.DUMMYFUNCTION("""COMPUTED_VALUE"""),46030.72068287037)</f>
        <v>46030.72068</v>
      </c>
      <c r="D5" s="1" t="str">
        <f>IFERROR(__xludf.DUMMYFUNCTION("""COMPUTED_VALUE"""),"46-55")</f>
        <v>46-55</v>
      </c>
      <c r="E5" s="1" t="str">
        <f>IFERROR(__xludf.DUMMYFUNCTION("""COMPUTED_VALUE"""),"Female")</f>
        <v>Female</v>
      </c>
      <c r="F5" s="1" t="str">
        <f>IFERROR(__xludf.DUMMYFUNCTION("""COMPUTED_VALUE"""),"¥12,000,000 or more")</f>
        <v>¥12,000,000 or more</v>
      </c>
      <c r="G5" s="1" t="str">
        <f>IFERROR(__xludf.DUMMYFUNCTION("""COMPUTED_VALUE"""),"Kanto")</f>
        <v>Kanto</v>
      </c>
      <c r="H5" s="1" t="str">
        <f>IFERROR(__xludf.DUMMYFUNCTION("""COMPUTED_VALUE"""),"Daily")</f>
        <v>Daily</v>
      </c>
      <c r="I5" s="1" t="str">
        <f>IFERROR(__xludf.DUMMYFUNCTION("""COMPUTED_VALUE"""),"Pour Over")</f>
        <v>Pour Over</v>
      </c>
      <c r="J5" s="1"/>
      <c r="K5" s="1" t="str">
        <f>IFERROR(__xludf.DUMMYFUNCTION("""COMPUTED_VALUE"""),"Rarely")</f>
        <v>Rarely</v>
      </c>
      <c r="L5" s="1" t="str">
        <f>IFERROR(__xludf.DUMMYFUNCTION("""COMPUTED_VALUE"""),"Matcha Latte")</f>
        <v>Matcha Latte</v>
      </c>
      <c r="M5" s="1"/>
      <c r="N5" s="1" t="str">
        <f>IFERROR(__xludf.DUMMYFUNCTION("""COMPUTED_VALUE"""),"Taste/Flavor")</f>
        <v>Taste/Flavor</v>
      </c>
      <c r="O5" s="1"/>
      <c r="P5" s="1" t="str">
        <f>IFERROR(__xludf.DUMMYFUNCTION("""COMPUTED_VALUE"""),"At home")</f>
        <v>At home</v>
      </c>
      <c r="Q5" s="1"/>
      <c r="R5" s="1" t="str">
        <f>IFERROR(__xludf.DUMMYFUNCTION("""COMPUTED_VALUE"""),"A few times a month")</f>
        <v>A few times a month</v>
      </c>
      <c r="S5" s="1" t="str">
        <f>IFERROR(__xludf.DUMMYFUNCTION("""COMPUTED_VALUE"""),"To meet friends")</f>
        <v>To meet friends</v>
      </c>
      <c r="T5" s="1"/>
      <c r="U5" s="1" t="str">
        <f>IFERROR(__xludf.DUMMYFUNCTION("""COMPUTED_VALUE"""),"Atmosphere")</f>
        <v>Atmosphere</v>
      </c>
      <c r="V5" s="1"/>
      <c r="W5" s="1" t="str">
        <f>IFERROR(__xludf.DUMMYFUNCTION("""COMPUTED_VALUE"""),"Yes, Global")</f>
        <v>Yes, Global</v>
      </c>
      <c r="X5" s="1" t="str">
        <f>IFERROR(__xludf.DUMMYFUNCTION("""COMPUTED_VALUE"""),"Yes,  Japanese")</f>
        <v>Yes,  Japanese</v>
      </c>
      <c r="Y5" s="1">
        <f>IFERROR(__xludf.DUMMYFUNCTION("""COMPUTED_VALUE"""),7.0)</f>
        <v>7</v>
      </c>
      <c r="Z5" s="1">
        <f>IFERROR(__xludf.DUMMYFUNCTION("""COMPUTED_VALUE"""),7.0)</f>
        <v>7</v>
      </c>
      <c r="AA5" s="1">
        <f>IFERROR(__xludf.DUMMYFUNCTION("""COMPUTED_VALUE"""),7.0)</f>
        <v>7</v>
      </c>
      <c r="AB5" s="1" t="str">
        <f>IFERROR(__xludf.DUMMYFUNCTION("""COMPUTED_VALUE"""),"Yes")</f>
        <v>Yes</v>
      </c>
      <c r="AC5" s="1"/>
    </row>
    <row r="6">
      <c r="A6" s="1" t="str">
        <f>IFERROR(__xludf.DUMMYFUNCTION("""COMPUTED_VALUE"""),"kdBll9e")</f>
        <v>kdBll9e</v>
      </c>
      <c r="B6" s="1" t="str">
        <f>IFERROR(__xludf.DUMMYFUNCTION("""COMPUTED_VALUE"""),"NpWo9Wb")</f>
        <v>NpWo9Wb</v>
      </c>
      <c r="C6" s="5">
        <f>IFERROR(__xludf.DUMMYFUNCTION("""COMPUTED_VALUE"""),46031.07336805556)</f>
        <v>46031.07337</v>
      </c>
      <c r="D6" s="1" t="str">
        <f>IFERROR(__xludf.DUMMYFUNCTION("""COMPUTED_VALUE"""),"56-65")</f>
        <v>56-65</v>
      </c>
      <c r="E6" s="1" t="str">
        <f>IFERROR(__xludf.DUMMYFUNCTION("""COMPUTED_VALUE"""),"Male")</f>
        <v>Male</v>
      </c>
      <c r="F6" s="1" t="str">
        <f>IFERROR(__xludf.DUMMYFUNCTION("""COMPUTED_VALUE"""),"Prefer not to say")</f>
        <v>Prefer not to say</v>
      </c>
      <c r="G6" s="1" t="str">
        <f>IFERROR(__xludf.DUMMYFUNCTION("""COMPUTED_VALUE"""),"Kanto")</f>
        <v>Kanto</v>
      </c>
      <c r="H6" s="1" t="str">
        <f>IFERROR(__xludf.DUMMYFUNCTION("""COMPUTED_VALUE"""),"Daily")</f>
        <v>Daily</v>
      </c>
      <c r="I6" s="1" t="str">
        <f>IFERROR(__xludf.DUMMYFUNCTION("""COMPUTED_VALUE"""),"Drip")</f>
        <v>Drip</v>
      </c>
      <c r="J6" s="1"/>
      <c r="K6" s="1" t="str">
        <f>IFERROR(__xludf.DUMMYFUNCTION("""COMPUTED_VALUE"""),"Rarely")</f>
        <v>Rarely</v>
      </c>
      <c r="L6" s="1"/>
      <c r="M6" s="1"/>
      <c r="N6" s="1" t="str">
        <f>IFERROR(__xludf.DUMMYFUNCTION("""COMPUTED_VALUE"""),"It is never really a choice; I just drink coffee")</f>
        <v>It is never really a choice; I just drink coffee</v>
      </c>
      <c r="O6" s="1"/>
      <c r="P6" s="1" t="str">
        <f>IFERROR(__xludf.DUMMYFUNCTION("""COMPUTED_VALUE"""),"At home")</f>
        <v>At home</v>
      </c>
      <c r="Q6" s="1"/>
      <c r="R6" s="1" t="str">
        <f>IFERROR(__xludf.DUMMYFUNCTION("""COMPUTED_VALUE"""),"A few times a month")</f>
        <v>A few times a month</v>
      </c>
      <c r="S6" s="1" t="str">
        <f>IFERROR(__xludf.DUMMYFUNCTION("""COMPUTED_VALUE"""),"Other:")</f>
        <v>Other:</v>
      </c>
      <c r="T6" s="1" t="str">
        <f>IFERROR(__xludf.DUMMYFUNCTION("""COMPUTED_VALUE"""),"To spend time when I am out and have a gap between obligations")</f>
        <v>To spend time when I am out and have a gap between obligations</v>
      </c>
      <c r="U6" s="1" t="str">
        <f>IFERROR(__xludf.DUMMYFUNCTION("""COMPUTED_VALUE"""),"Atmosphere")</f>
        <v>Atmosphere</v>
      </c>
      <c r="V6" s="1"/>
      <c r="W6" s="1" t="str">
        <f>IFERROR(__xludf.DUMMYFUNCTION("""COMPUTED_VALUE"""),"No")</f>
        <v>No</v>
      </c>
      <c r="X6" s="1" t="str">
        <f>IFERROR(__xludf.DUMMYFUNCTION("""COMPUTED_VALUE"""),"Yes,  Japanese")</f>
        <v>Yes,  Japanese</v>
      </c>
      <c r="Y6" s="1">
        <f>IFERROR(__xludf.DUMMYFUNCTION("""COMPUTED_VALUE"""),5.0)</f>
        <v>5</v>
      </c>
      <c r="Z6" s="1">
        <f>IFERROR(__xludf.DUMMYFUNCTION("""COMPUTED_VALUE"""),7.0)</f>
        <v>7</v>
      </c>
      <c r="AA6" s="1">
        <f>IFERROR(__xludf.DUMMYFUNCTION("""COMPUTED_VALUE"""),6.0)</f>
        <v>6</v>
      </c>
      <c r="AB6" s="1" t="str">
        <f>IFERROR(__xludf.DUMMYFUNCTION("""COMPUTED_VALUE"""),"Yes")</f>
        <v>Yes</v>
      </c>
      <c r="AC6" s="1"/>
    </row>
    <row r="7">
      <c r="A7" s="1" t="str">
        <f>IFERROR(__xludf.DUMMYFUNCTION("""COMPUTED_VALUE"""),"gD6aqNP")</f>
        <v>gD6aqNP</v>
      </c>
      <c r="B7" s="1" t="str">
        <f>IFERROR(__xludf.DUMMYFUNCTION("""COMPUTED_VALUE"""),"9qDQY95")</f>
        <v>9qDQY95</v>
      </c>
      <c r="C7" s="5">
        <f>IFERROR(__xludf.DUMMYFUNCTION("""COMPUTED_VALUE"""),46031.08563657408)</f>
        <v>46031.08564</v>
      </c>
      <c r="D7" s="1" t="str">
        <f>IFERROR(__xludf.DUMMYFUNCTION("""COMPUTED_VALUE"""),"36-45")</f>
        <v>36-45</v>
      </c>
      <c r="E7" s="1" t="str">
        <f>IFERROR(__xludf.DUMMYFUNCTION("""COMPUTED_VALUE"""),"Female")</f>
        <v>Female</v>
      </c>
      <c r="F7" s="1" t="str">
        <f>IFERROR(__xludf.DUMMYFUNCTION("""COMPUTED_VALUE"""),"¥12,000,000 or more")</f>
        <v>¥12,000,000 or more</v>
      </c>
      <c r="G7" s="1" t="str">
        <f>IFERROR(__xludf.DUMMYFUNCTION("""COMPUTED_VALUE"""),"Kanto")</f>
        <v>Kanto</v>
      </c>
      <c r="H7" s="1" t="str">
        <f>IFERROR(__xludf.DUMMYFUNCTION("""COMPUTED_VALUE"""),"Rarely")</f>
        <v>Rarely</v>
      </c>
      <c r="I7" s="1" t="str">
        <f>IFERROR(__xludf.DUMMYFUNCTION("""COMPUTED_VALUE"""),"Cappuccino")</f>
        <v>Cappuccino</v>
      </c>
      <c r="J7" s="1"/>
      <c r="K7" s="1" t="str">
        <f>IFERROR(__xludf.DUMMYFUNCTION("""COMPUTED_VALUE"""),"Rarely")</f>
        <v>Rarely</v>
      </c>
      <c r="L7" s="1" t="str">
        <f>IFERROR(__xludf.DUMMYFUNCTION("""COMPUTED_VALUE"""),"Usucha")</f>
        <v>Usucha</v>
      </c>
      <c r="M7" s="1"/>
      <c r="N7" s="1" t="str">
        <f>IFERROR(__xludf.DUMMYFUNCTION("""COMPUTED_VALUE"""),"Social norms / influence (what people around me usually drink), Routine/Ritual")</f>
        <v>Social norms / influence (what people around me usually drink), Routine/Ritual</v>
      </c>
      <c r="O7" s="1"/>
      <c r="P7" s="1" t="str">
        <f>IFERROR(__xludf.DUMMYFUNCTION("""COMPUTED_VALUE"""),"At cafés")</f>
        <v>At cafés</v>
      </c>
      <c r="Q7" s="1"/>
      <c r="R7" s="1" t="str">
        <f>IFERROR(__xludf.DUMMYFUNCTION("""COMPUTED_VALUE"""),"A few times a month")</f>
        <v>A few times a month</v>
      </c>
      <c r="S7" s="1" t="str">
        <f>IFERROR(__xludf.DUMMYFUNCTION("""COMPUTED_VALUE"""),"To meet friends")</f>
        <v>To meet friends</v>
      </c>
      <c r="T7" s="1"/>
      <c r="U7" s="1" t="str">
        <f>IFERROR(__xludf.DUMMYFUNCTION("""COMPUTED_VALUE"""),"Atmosphere")</f>
        <v>Atmosphere</v>
      </c>
      <c r="V7" s="1"/>
      <c r="W7" s="1" t="str">
        <f>IFERROR(__xludf.DUMMYFUNCTION("""COMPUTED_VALUE"""),"Yes, Global")</f>
        <v>Yes, Global</v>
      </c>
      <c r="X7" s="1" t="str">
        <f>IFERROR(__xludf.DUMMYFUNCTION("""COMPUTED_VALUE"""),"Yes,  Japanese")</f>
        <v>Yes,  Japanese</v>
      </c>
      <c r="Y7" s="1">
        <f>IFERROR(__xludf.DUMMYFUNCTION("""COMPUTED_VALUE"""),6.0)</f>
        <v>6</v>
      </c>
      <c r="Z7" s="1">
        <f>IFERROR(__xludf.DUMMYFUNCTION("""COMPUTED_VALUE"""),7.0)</f>
        <v>7</v>
      </c>
      <c r="AA7" s="1">
        <f>IFERROR(__xludf.DUMMYFUNCTION("""COMPUTED_VALUE"""),5.0)</f>
        <v>5</v>
      </c>
      <c r="AB7" s="1" t="str">
        <f>IFERROR(__xludf.DUMMYFUNCTION("""COMPUTED_VALUE"""),"No")</f>
        <v>No</v>
      </c>
      <c r="AC7" s="1"/>
    </row>
    <row r="8">
      <c r="A8" s="1" t="str">
        <f>IFERROR(__xludf.DUMMYFUNCTION("""COMPUTED_VALUE"""),"jaAyLo6")</f>
        <v>jaAyLo6</v>
      </c>
      <c r="B8" s="1" t="str">
        <f>IFERROR(__xludf.DUMMYFUNCTION("""COMPUTED_VALUE"""),"QK50r8A")</f>
        <v>QK50r8A</v>
      </c>
      <c r="C8" s="5">
        <f>IFERROR(__xludf.DUMMYFUNCTION("""COMPUTED_VALUE"""),46032.075902777775)</f>
        <v>46032.0759</v>
      </c>
      <c r="D8" s="1" t="str">
        <f>IFERROR(__xludf.DUMMYFUNCTION("""COMPUTED_VALUE"""),"26-35")</f>
        <v>26-35</v>
      </c>
      <c r="E8" s="1" t="str">
        <f>IFERROR(__xludf.DUMMYFUNCTION("""COMPUTED_VALUE"""),"Female")</f>
        <v>Female</v>
      </c>
      <c r="F8" s="1" t="str">
        <f>IFERROR(__xludf.DUMMYFUNCTION("""COMPUTED_VALUE"""),"¥3,000,000 – ¥5,999,999")</f>
        <v>¥3,000,000 – ¥5,999,999</v>
      </c>
      <c r="G8" s="1" t="str">
        <f>IFERROR(__xludf.DUMMYFUNCTION("""COMPUTED_VALUE"""),"Kanto")</f>
        <v>Kanto</v>
      </c>
      <c r="H8" s="1" t="str">
        <f>IFERROR(__xludf.DUMMYFUNCTION("""COMPUTED_VALUE"""),"Daily")</f>
        <v>Daily</v>
      </c>
      <c r="I8" s="1" t="str">
        <f>IFERROR(__xludf.DUMMYFUNCTION("""COMPUTED_VALUE"""),"Drip")</f>
        <v>Drip</v>
      </c>
      <c r="J8" s="1"/>
      <c r="K8" s="1" t="str">
        <f>IFERROR(__xludf.DUMMYFUNCTION("""COMPUTED_VALUE"""),"Rarely")</f>
        <v>Rarely</v>
      </c>
      <c r="L8" s="1" t="str">
        <f>IFERROR(__xludf.DUMMYFUNCTION("""COMPUTED_VALUE"""),"Other:")</f>
        <v>Other:</v>
      </c>
      <c r="M8" s="1" t="str">
        <f>IFERROR(__xludf.DUMMYFUNCTION("""COMPUTED_VALUE"""),"I drink dark sencha (green tea) at home several times a week but matcha only with friends who are visiting ")</f>
        <v>I drink dark sencha (green tea) at home several times a week but matcha only with friends who are visiting </v>
      </c>
      <c r="N8" s="1" t="str">
        <f>IFERROR(__xludf.DUMMYFUNCTION("""COMPUTED_VALUE"""),"Routine/Ritual")</f>
        <v>Routine/Ritual</v>
      </c>
      <c r="O8" s="1"/>
      <c r="P8" s="1" t="str">
        <f>IFERROR(__xludf.DUMMYFUNCTION("""COMPUTED_VALUE"""),"At home, At cafés, From convenience stores (7-Eleven, Lawson, etc.), From vending machines")</f>
        <v>At home, At cafés, From convenience stores (7-Eleven, Lawson, etc.), From vending machines</v>
      </c>
      <c r="Q8" s="1"/>
      <c r="R8" s="1" t="str">
        <f>IFERROR(__xludf.DUMMYFUNCTION("""COMPUTED_VALUE"""),"Several times a week")</f>
        <v>Several times a week</v>
      </c>
      <c r="S8" s="1" t="str">
        <f>IFERROR(__xludf.DUMMYFUNCTION("""COMPUTED_VALUE"""),"To relax or take a break")</f>
        <v>To relax or take a break</v>
      </c>
      <c r="T8" s="1"/>
      <c r="U8" s="1" t="str">
        <f>IFERROR(__xludf.DUMMYFUNCTION("""COMPUTED_VALUE"""),"Atmosphere")</f>
        <v>Atmosphere</v>
      </c>
      <c r="V8" s="1"/>
      <c r="W8" s="1" t="str">
        <f>IFERROR(__xludf.DUMMYFUNCTION("""COMPUTED_VALUE"""),"Yes, Global")</f>
        <v>Yes, Global</v>
      </c>
      <c r="X8" s="1" t="str">
        <f>IFERROR(__xludf.DUMMYFUNCTION("""COMPUTED_VALUE"""),"Yes, Western")</f>
        <v>Yes, Western</v>
      </c>
      <c r="Y8" s="1">
        <f>IFERROR(__xludf.DUMMYFUNCTION("""COMPUTED_VALUE"""),7.0)</f>
        <v>7</v>
      </c>
      <c r="Z8" s="1">
        <f>IFERROR(__xludf.DUMMYFUNCTION("""COMPUTED_VALUE"""),6.0)</f>
        <v>6</v>
      </c>
      <c r="AA8" s="1">
        <f>IFERROR(__xludf.DUMMYFUNCTION("""COMPUTED_VALUE"""),7.0)</f>
        <v>7</v>
      </c>
      <c r="AB8" s="1" t="str">
        <f>IFERROR(__xludf.DUMMYFUNCTION("""COMPUTED_VALUE"""),"Yes")</f>
        <v>Yes</v>
      </c>
      <c r="AC8" s="1"/>
    </row>
    <row r="9">
      <c r="A9" s="1" t="str">
        <f>IFERROR(__xludf.DUMMYFUNCTION("""COMPUTED_VALUE"""),"2EGLdp9")</f>
        <v>2EGLdp9</v>
      </c>
      <c r="B9" s="1" t="str">
        <f>IFERROR(__xludf.DUMMYFUNCTION("""COMPUTED_VALUE"""),"jaQWdA9")</f>
        <v>jaQWdA9</v>
      </c>
      <c r="C9" s="5">
        <f>IFERROR(__xludf.DUMMYFUNCTION("""COMPUTED_VALUE"""),46032.78150462963)</f>
        <v>46032.7815</v>
      </c>
      <c r="D9" s="1" t="str">
        <f>IFERROR(__xludf.DUMMYFUNCTION("""COMPUTED_VALUE"""),"36-45")</f>
        <v>36-45</v>
      </c>
      <c r="E9" s="1" t="str">
        <f>IFERROR(__xludf.DUMMYFUNCTION("""COMPUTED_VALUE"""),"Female")</f>
        <v>Female</v>
      </c>
      <c r="F9" s="1" t="str">
        <f>IFERROR(__xludf.DUMMYFUNCTION("""COMPUTED_VALUE"""),"¥6,000,000 – ¥8,999,999")</f>
        <v>¥6,000,000 – ¥8,999,999</v>
      </c>
      <c r="G9" s="1" t="str">
        <f>IFERROR(__xludf.DUMMYFUNCTION("""COMPUTED_VALUE"""),"Kanto")</f>
        <v>Kanto</v>
      </c>
      <c r="H9" s="1" t="str">
        <f>IFERROR(__xludf.DUMMYFUNCTION("""COMPUTED_VALUE"""),"Several times a week")</f>
        <v>Several times a week</v>
      </c>
      <c r="I9" s="1" t="str">
        <f>IFERROR(__xludf.DUMMYFUNCTION("""COMPUTED_VALUE"""),"Cappuccino")</f>
        <v>Cappuccino</v>
      </c>
      <c r="J9" s="1"/>
      <c r="K9" s="1" t="str">
        <f>IFERROR(__xludf.DUMMYFUNCTION("""COMPUTED_VALUE"""),"Rarely")</f>
        <v>Rarely</v>
      </c>
      <c r="L9" s="1" t="str">
        <f>IFERROR(__xludf.DUMMYFUNCTION("""COMPUTED_VALUE"""),"I don’t drink matcha")</f>
        <v>I don’t drink matcha</v>
      </c>
      <c r="M9" s="1"/>
      <c r="N9" s="1" t="str">
        <f>IFERROR(__xludf.DUMMYFUNCTION("""COMPUTED_VALUE"""),"To try new things")</f>
        <v>To try new things</v>
      </c>
      <c r="O9" s="1"/>
      <c r="P9" s="1" t="str">
        <f>IFERROR(__xludf.DUMMYFUNCTION("""COMPUTED_VALUE"""),"At cafés")</f>
        <v>At cafés</v>
      </c>
      <c r="Q9" s="1"/>
      <c r="R9" s="1" t="str">
        <f>IFERROR(__xludf.DUMMYFUNCTION("""COMPUTED_VALUE"""),"Once a week")</f>
        <v>Once a week</v>
      </c>
      <c r="S9" s="1" t="str">
        <f>IFERROR(__xludf.DUMMYFUNCTION("""COMPUTED_VALUE"""),"To study/work")</f>
        <v>To study/work</v>
      </c>
      <c r="T9" s="1"/>
      <c r="U9" s="1" t="str">
        <f>IFERROR(__xludf.DUMMYFUNCTION("""COMPUTED_VALUE"""),"Quality of drinks")</f>
        <v>Quality of drinks</v>
      </c>
      <c r="V9" s="1"/>
      <c r="W9" s="1" t="str">
        <f>IFERROR(__xludf.DUMMYFUNCTION("""COMPUTED_VALUE"""),"No")</f>
        <v>No</v>
      </c>
      <c r="X9" s="1" t="str">
        <f>IFERROR(__xludf.DUMMYFUNCTION("""COMPUTED_VALUE"""),"Yes,  Japanese")</f>
        <v>Yes,  Japanese</v>
      </c>
      <c r="Y9" s="1">
        <f>IFERROR(__xludf.DUMMYFUNCTION("""COMPUTED_VALUE"""),6.0)</f>
        <v>6</v>
      </c>
      <c r="Z9" s="1">
        <f>IFERROR(__xludf.DUMMYFUNCTION("""COMPUTED_VALUE"""),4.0)</f>
        <v>4</v>
      </c>
      <c r="AA9" s="1">
        <f>IFERROR(__xludf.DUMMYFUNCTION("""COMPUTED_VALUE"""),6.0)</f>
        <v>6</v>
      </c>
      <c r="AB9" s="1" t="str">
        <f>IFERROR(__xludf.DUMMYFUNCTION("""COMPUTED_VALUE"""),"No")</f>
        <v>No</v>
      </c>
      <c r="AC9" s="1"/>
    </row>
    <row r="10">
      <c r="A10" s="1" t="str">
        <f>IFERROR(__xludf.DUMMYFUNCTION("""COMPUTED_VALUE"""),"GxAD4Ep")</f>
        <v>GxAD4Ep</v>
      </c>
      <c r="B10" s="1" t="str">
        <f>IFERROR(__xludf.DUMMYFUNCTION("""COMPUTED_VALUE"""),"MezJll8")</f>
        <v>MezJll8</v>
      </c>
      <c r="C10" s="5">
        <f>IFERROR(__xludf.DUMMYFUNCTION("""COMPUTED_VALUE"""),46032.9597337963)</f>
        <v>46032.95973</v>
      </c>
      <c r="D10" s="1" t="str">
        <f>IFERROR(__xludf.DUMMYFUNCTION("""COMPUTED_VALUE"""),"46-55")</f>
        <v>46-55</v>
      </c>
      <c r="E10" s="1" t="str">
        <f>IFERROR(__xludf.DUMMYFUNCTION("""COMPUTED_VALUE"""),"Female")</f>
        <v>Female</v>
      </c>
      <c r="F10" s="1" t="str">
        <f>IFERROR(__xludf.DUMMYFUNCTION("""COMPUTED_VALUE"""),"¥12,000,000 or more")</f>
        <v>¥12,000,000 or more</v>
      </c>
      <c r="G10" s="1" t="str">
        <f>IFERROR(__xludf.DUMMYFUNCTION("""COMPUTED_VALUE"""),"Kanto")</f>
        <v>Kanto</v>
      </c>
      <c r="H10" s="1" t="str">
        <f>IFERROR(__xludf.DUMMYFUNCTION("""COMPUTED_VALUE"""),"Once a week")</f>
        <v>Once a week</v>
      </c>
      <c r="I10" s="1" t="str">
        <f>IFERROR(__xludf.DUMMYFUNCTION("""COMPUTED_VALUE"""),"Latte")</f>
        <v>Latte</v>
      </c>
      <c r="J10" s="1"/>
      <c r="K10" s="1" t="str">
        <f>IFERROR(__xludf.DUMMYFUNCTION("""COMPUTED_VALUE"""),"Rarely")</f>
        <v>Rarely</v>
      </c>
      <c r="L10" s="1" t="str">
        <f>IFERROR(__xludf.DUMMYFUNCTION("""COMPUTED_VALUE"""),"Koicha")</f>
        <v>Koicha</v>
      </c>
      <c r="M10" s="1"/>
      <c r="N10" s="1" t="str">
        <f>IFERROR(__xludf.DUMMYFUNCTION("""COMPUTED_VALUE"""),"Taste/Flavor, Health benefits")</f>
        <v>Taste/Flavor, Health benefits</v>
      </c>
      <c r="O10" s="1"/>
      <c r="P10" s="1" t="str">
        <f>IFERROR(__xludf.DUMMYFUNCTION("""COMPUTED_VALUE"""),"At cafés, At home")</f>
        <v>At cafés, At home</v>
      </c>
      <c r="Q10" s="1"/>
      <c r="R10" s="1" t="str">
        <f>IFERROR(__xludf.DUMMYFUNCTION("""COMPUTED_VALUE"""),"Once a week")</f>
        <v>Once a week</v>
      </c>
      <c r="S10" s="1" t="str">
        <f>IFERROR(__xludf.DUMMYFUNCTION("""COMPUTED_VALUE"""),"To try a new drink")</f>
        <v>To try a new drink</v>
      </c>
      <c r="T10" s="1"/>
      <c r="U10" s="1" t="str">
        <f>IFERROR(__xludf.DUMMYFUNCTION("""COMPUTED_VALUE"""),"Quality of drinks")</f>
        <v>Quality of drinks</v>
      </c>
      <c r="V10" s="1"/>
      <c r="W10" s="1" t="str">
        <f>IFERROR(__xludf.DUMMYFUNCTION("""COMPUTED_VALUE"""),"Yes, Global")</f>
        <v>Yes, Global</v>
      </c>
      <c r="X10" s="1" t="str">
        <f>IFERROR(__xludf.DUMMYFUNCTION("""COMPUTED_VALUE"""),"Yes,  Japanese")</f>
        <v>Yes,  Japanese</v>
      </c>
      <c r="Y10" s="1">
        <f>IFERROR(__xludf.DUMMYFUNCTION("""COMPUTED_VALUE"""),4.0)</f>
        <v>4</v>
      </c>
      <c r="Z10" s="1">
        <f>IFERROR(__xludf.DUMMYFUNCTION("""COMPUTED_VALUE"""),7.0)</f>
        <v>7</v>
      </c>
      <c r="AA10" s="1">
        <f>IFERROR(__xludf.DUMMYFUNCTION("""COMPUTED_VALUE"""),6.0)</f>
        <v>6</v>
      </c>
      <c r="AB10" s="1" t="str">
        <f>IFERROR(__xludf.DUMMYFUNCTION("""COMPUTED_VALUE"""),"Yes")</f>
        <v>Yes</v>
      </c>
      <c r="AC10" s="1"/>
    </row>
    <row r="11">
      <c r="A11" s="1" t="str">
        <f>IFERROR(__xludf.DUMMYFUNCTION("""COMPUTED_VALUE"""),"jaAJg66")</f>
        <v>jaAJg66</v>
      </c>
      <c r="B11" s="1" t="str">
        <f>IFERROR(__xludf.DUMMYFUNCTION("""COMPUTED_VALUE"""),"0Q61NJ0")</f>
        <v>0Q61NJ0</v>
      </c>
      <c r="C11" s="5">
        <f>IFERROR(__xludf.DUMMYFUNCTION("""COMPUTED_VALUE"""),46034.05678240741)</f>
        <v>46034.05678</v>
      </c>
      <c r="D11" s="1" t="str">
        <f>IFERROR(__xludf.DUMMYFUNCTION("""COMPUTED_VALUE"""),"26-35")</f>
        <v>26-35</v>
      </c>
      <c r="E11" s="1" t="str">
        <f>IFERROR(__xludf.DUMMYFUNCTION("""COMPUTED_VALUE"""),"Female")</f>
        <v>Female</v>
      </c>
      <c r="F11" s="1" t="str">
        <f>IFERROR(__xludf.DUMMYFUNCTION("""COMPUTED_VALUE"""),"¥3,000,000 – ¥5,999,999")</f>
        <v>¥3,000,000 – ¥5,999,999</v>
      </c>
      <c r="G11" s="1" t="str">
        <f>IFERROR(__xludf.DUMMYFUNCTION("""COMPUTED_VALUE"""),"Kanto")</f>
        <v>Kanto</v>
      </c>
      <c r="H11" s="1" t="str">
        <f>IFERROR(__xludf.DUMMYFUNCTION("""COMPUTED_VALUE"""),"Rarely")</f>
        <v>Rarely</v>
      </c>
      <c r="I11" s="1" t="str">
        <f>IFERROR(__xludf.DUMMYFUNCTION("""COMPUTED_VALUE"""),"Latte")</f>
        <v>Latte</v>
      </c>
      <c r="J11" s="1"/>
      <c r="K11" s="1" t="str">
        <f>IFERROR(__xludf.DUMMYFUNCTION("""COMPUTED_VALUE"""),"Once a week")</f>
        <v>Once a week</v>
      </c>
      <c r="L11" s="1" t="str">
        <f>IFERROR(__xludf.DUMMYFUNCTION("""COMPUTED_VALUE"""),"Matcha Latte")</f>
        <v>Matcha Latte</v>
      </c>
      <c r="M11" s="1"/>
      <c r="N11" s="1" t="str">
        <f>IFERROR(__xludf.DUMMYFUNCTION("""COMPUTED_VALUE"""),"Energy boost/Caffeine, Routine/Ritual")</f>
        <v>Energy boost/Caffeine, Routine/Ritual</v>
      </c>
      <c r="O11" s="1"/>
      <c r="P11" s="1" t="str">
        <f>IFERROR(__xludf.DUMMYFUNCTION("""COMPUTED_VALUE"""),"At cafés")</f>
        <v>At cafés</v>
      </c>
      <c r="Q11" s="1"/>
      <c r="R11" s="1" t="str">
        <f>IFERROR(__xludf.DUMMYFUNCTION("""COMPUTED_VALUE"""),"Once a week")</f>
        <v>Once a week</v>
      </c>
      <c r="S11" s="1" t="str">
        <f>IFERROR(__xludf.DUMMYFUNCTION("""COMPUTED_VALUE"""),"To study/work")</f>
        <v>To study/work</v>
      </c>
      <c r="T11" s="1"/>
      <c r="U11" s="1" t="str">
        <f>IFERROR(__xludf.DUMMYFUNCTION("""COMPUTED_VALUE"""),"Atmosphere")</f>
        <v>Atmosphere</v>
      </c>
      <c r="V11" s="1"/>
      <c r="W11" s="1" t="str">
        <f>IFERROR(__xludf.DUMMYFUNCTION("""COMPUTED_VALUE"""),"Yes, Global")</f>
        <v>Yes, Global</v>
      </c>
      <c r="X11" s="1" t="str">
        <f>IFERROR(__xludf.DUMMYFUNCTION("""COMPUTED_VALUE"""),"Yes,  Japanese")</f>
        <v>Yes,  Japanese</v>
      </c>
      <c r="Y11" s="1">
        <f>IFERROR(__xludf.DUMMYFUNCTION("""COMPUTED_VALUE"""),1.0)</f>
        <v>1</v>
      </c>
      <c r="Z11" s="1">
        <f>IFERROR(__xludf.DUMMYFUNCTION("""COMPUTED_VALUE"""),6.0)</f>
        <v>6</v>
      </c>
      <c r="AA11" s="1">
        <f>IFERROR(__xludf.DUMMYFUNCTION("""COMPUTED_VALUE"""),6.0)</f>
        <v>6</v>
      </c>
      <c r="AB11" s="1" t="str">
        <f>IFERROR(__xludf.DUMMYFUNCTION("""COMPUTED_VALUE"""),"Yes")</f>
        <v>Yes</v>
      </c>
      <c r="AC11" s="1"/>
    </row>
    <row r="12">
      <c r="A12" s="1" t="str">
        <f>IFERROR(__xludf.DUMMYFUNCTION("""COMPUTED_VALUE"""),"q41JgOO")</f>
        <v>q41JgOO</v>
      </c>
      <c r="B12" s="1" t="str">
        <f>IFERROR(__xludf.DUMMYFUNCTION("""COMPUTED_VALUE"""),"1A7Dqpb")</f>
        <v>1A7Dqpb</v>
      </c>
      <c r="C12" s="5">
        <f>IFERROR(__xludf.DUMMYFUNCTION("""COMPUTED_VALUE"""),46034.0577662037)</f>
        <v>46034.05777</v>
      </c>
      <c r="D12" s="1" t="str">
        <f>IFERROR(__xludf.DUMMYFUNCTION("""COMPUTED_VALUE"""),"46-55")</f>
        <v>46-55</v>
      </c>
      <c r="E12" s="1" t="str">
        <f>IFERROR(__xludf.DUMMYFUNCTION("""COMPUTED_VALUE"""),"Male")</f>
        <v>Male</v>
      </c>
      <c r="F12" s="1" t="str">
        <f>IFERROR(__xludf.DUMMYFUNCTION("""COMPUTED_VALUE"""),"¥12,000,000 or more")</f>
        <v>¥12,000,000 or more</v>
      </c>
      <c r="G12" s="1" t="str">
        <f>IFERROR(__xludf.DUMMYFUNCTION("""COMPUTED_VALUE"""),"Kanto")</f>
        <v>Kanto</v>
      </c>
      <c r="H12" s="1" t="str">
        <f>IFERROR(__xludf.DUMMYFUNCTION("""COMPUTED_VALUE"""),"Daily")</f>
        <v>Daily</v>
      </c>
      <c r="I12" s="1" t="str">
        <f>IFERROR(__xludf.DUMMYFUNCTION("""COMPUTED_VALUE"""),"Other:")</f>
        <v>Other:</v>
      </c>
      <c r="J12" s="1" t="str">
        <f>IFERROR(__xludf.DUMMYFUNCTION("""COMPUTED_VALUE"""),"Espresso")</f>
        <v>Espresso</v>
      </c>
      <c r="K12" s="1" t="str">
        <f>IFERROR(__xludf.DUMMYFUNCTION("""COMPUTED_VALUE"""),"Never")</f>
        <v>Never</v>
      </c>
      <c r="L12" s="1"/>
      <c r="M12" s="1"/>
      <c r="N12" s="1" t="str">
        <f>IFERROR(__xludf.DUMMYFUNCTION("""COMPUTED_VALUE"""),"Taste/Flavor")</f>
        <v>Taste/Flavor</v>
      </c>
      <c r="O12" s="1"/>
      <c r="P12" s="1" t="str">
        <f>IFERROR(__xludf.DUMMYFUNCTION("""COMPUTED_VALUE"""),"At home, At cafés")</f>
        <v>At home, At cafés</v>
      </c>
      <c r="Q12" s="1"/>
      <c r="R12" s="1" t="str">
        <f>IFERROR(__xludf.DUMMYFUNCTION("""COMPUTED_VALUE"""),"Several times a week")</f>
        <v>Several times a week</v>
      </c>
      <c r="S12" s="1" t="str">
        <f>IFERROR(__xludf.DUMMYFUNCTION("""COMPUTED_VALUE"""),"To meet friends")</f>
        <v>To meet friends</v>
      </c>
      <c r="T12" s="1"/>
      <c r="U12" s="1" t="str">
        <f>IFERROR(__xludf.DUMMYFUNCTION("""COMPUTED_VALUE"""),"Atmosphere")</f>
        <v>Atmosphere</v>
      </c>
      <c r="V12" s="1"/>
      <c r="W12" s="1" t="str">
        <f>IFERROR(__xludf.DUMMYFUNCTION("""COMPUTED_VALUE"""),"No")</f>
        <v>No</v>
      </c>
      <c r="X12" s="1" t="str">
        <f>IFERROR(__xludf.DUMMYFUNCTION("""COMPUTED_VALUE"""),"No")</f>
        <v>No</v>
      </c>
      <c r="Y12" s="1">
        <f>IFERROR(__xludf.DUMMYFUNCTION("""COMPUTED_VALUE"""),7.0)</f>
        <v>7</v>
      </c>
      <c r="Z12" s="1">
        <f>IFERROR(__xludf.DUMMYFUNCTION("""COMPUTED_VALUE"""),3.0)</f>
        <v>3</v>
      </c>
      <c r="AA12" s="1">
        <f>IFERROR(__xludf.DUMMYFUNCTION("""COMPUTED_VALUE"""),7.0)</f>
        <v>7</v>
      </c>
      <c r="AB12" s="1" t="str">
        <f>IFERROR(__xludf.DUMMYFUNCTION("""COMPUTED_VALUE"""),"Yes")</f>
        <v>Yes</v>
      </c>
      <c r="AC12" s="1"/>
    </row>
    <row r="13">
      <c r="A13" s="1" t="str">
        <f>IFERROR(__xludf.DUMMYFUNCTION("""COMPUTED_VALUE"""),"jaAJpD4")</f>
        <v>jaAJpD4</v>
      </c>
      <c r="B13" s="1" t="str">
        <f>IFERROR(__xludf.DUMMYFUNCTION("""COMPUTED_VALUE"""),"J9AX5N7")</f>
        <v>J9AX5N7</v>
      </c>
      <c r="C13" s="5">
        <f>IFERROR(__xludf.DUMMYFUNCTION("""COMPUTED_VALUE"""),46034.060902777775)</f>
        <v>46034.0609</v>
      </c>
      <c r="D13" s="1" t="str">
        <f>IFERROR(__xludf.DUMMYFUNCTION("""COMPUTED_VALUE"""),"46-55")</f>
        <v>46-55</v>
      </c>
      <c r="E13" s="1" t="str">
        <f>IFERROR(__xludf.DUMMYFUNCTION("""COMPUTED_VALUE"""),"Female")</f>
        <v>Female</v>
      </c>
      <c r="F13" s="1" t="str">
        <f>IFERROR(__xludf.DUMMYFUNCTION("""COMPUTED_VALUE"""),"¥12,000,000 or more")</f>
        <v>¥12,000,000 or more</v>
      </c>
      <c r="G13" s="1" t="str">
        <f>IFERROR(__xludf.DUMMYFUNCTION("""COMPUTED_VALUE"""),"Kanto")</f>
        <v>Kanto</v>
      </c>
      <c r="H13" s="1" t="str">
        <f>IFERROR(__xludf.DUMMYFUNCTION("""COMPUTED_VALUE"""),"Daily")</f>
        <v>Daily</v>
      </c>
      <c r="I13" s="1" t="str">
        <f>IFERROR(__xludf.DUMMYFUNCTION("""COMPUTED_VALUE"""),"Drip")</f>
        <v>Drip</v>
      </c>
      <c r="J13" s="1"/>
      <c r="K13" s="1" t="str">
        <f>IFERROR(__xludf.DUMMYFUNCTION("""COMPUTED_VALUE"""),"Rarely")</f>
        <v>Rarely</v>
      </c>
      <c r="L13" s="1" t="str">
        <f>IFERROR(__xludf.DUMMYFUNCTION("""COMPUTED_VALUE"""),"Matcha Latte")</f>
        <v>Matcha Latte</v>
      </c>
      <c r="M13" s="1"/>
      <c r="N13" s="1" t="str">
        <f>IFERROR(__xludf.DUMMYFUNCTION("""COMPUTED_VALUE"""),"Routine/Ritual, Taste/Flavor")</f>
        <v>Routine/Ritual, Taste/Flavor</v>
      </c>
      <c r="O13" s="1"/>
      <c r="P13" s="1" t="str">
        <f>IFERROR(__xludf.DUMMYFUNCTION("""COMPUTED_VALUE"""),"At home, At cafés")</f>
        <v>At home, At cafés</v>
      </c>
      <c r="Q13" s="1"/>
      <c r="R13" s="1" t="str">
        <f>IFERROR(__xludf.DUMMYFUNCTION("""COMPUTED_VALUE"""),"A few times a month")</f>
        <v>A few times a month</v>
      </c>
      <c r="S13" s="1" t="str">
        <f>IFERROR(__xludf.DUMMYFUNCTION("""COMPUTED_VALUE"""),"To relax or take a break")</f>
        <v>To relax or take a break</v>
      </c>
      <c r="T13" s="1"/>
      <c r="U13" s="1" t="str">
        <f>IFERROR(__xludf.DUMMYFUNCTION("""COMPUTED_VALUE"""),"Atmosphere")</f>
        <v>Atmosphere</v>
      </c>
      <c r="V13" s="1"/>
      <c r="W13" s="1" t="str">
        <f>IFERROR(__xludf.DUMMYFUNCTION("""COMPUTED_VALUE"""),"Yes, Western")</f>
        <v>Yes, Western</v>
      </c>
      <c r="X13" s="1" t="str">
        <f>IFERROR(__xludf.DUMMYFUNCTION("""COMPUTED_VALUE"""),"Yes,  Japanese")</f>
        <v>Yes,  Japanese</v>
      </c>
      <c r="Y13" s="1">
        <f>IFERROR(__xludf.DUMMYFUNCTION("""COMPUTED_VALUE"""),7.0)</f>
        <v>7</v>
      </c>
      <c r="Z13" s="1">
        <f>IFERROR(__xludf.DUMMYFUNCTION("""COMPUTED_VALUE"""),7.0)</f>
        <v>7</v>
      </c>
      <c r="AA13" s="1">
        <f>IFERROR(__xludf.DUMMYFUNCTION("""COMPUTED_VALUE"""),7.0)</f>
        <v>7</v>
      </c>
      <c r="AB13" s="1" t="str">
        <f>IFERROR(__xludf.DUMMYFUNCTION("""COMPUTED_VALUE"""),"No")</f>
        <v>No</v>
      </c>
      <c r="AC13" s="1"/>
    </row>
    <row r="14">
      <c r="A14" s="1" t="str">
        <f>IFERROR(__xludf.DUMMYFUNCTION("""COMPUTED_VALUE"""),"dWe8XLV")</f>
        <v>dWe8XLV</v>
      </c>
      <c r="B14" s="1" t="str">
        <f>IFERROR(__xludf.DUMMYFUNCTION("""COMPUTED_VALUE"""),"vGyJGrD")</f>
        <v>vGyJGrD</v>
      </c>
      <c r="C14" s="5">
        <f>IFERROR(__xludf.DUMMYFUNCTION("""COMPUTED_VALUE"""),46034.081875)</f>
        <v>46034.08188</v>
      </c>
      <c r="D14" s="1" t="str">
        <f>IFERROR(__xludf.DUMMYFUNCTION("""COMPUTED_VALUE"""),"46-55")</f>
        <v>46-55</v>
      </c>
      <c r="E14" s="1" t="str">
        <f>IFERROR(__xludf.DUMMYFUNCTION("""COMPUTED_VALUE"""),"Male")</f>
        <v>Male</v>
      </c>
      <c r="F14" s="1" t="str">
        <f>IFERROR(__xludf.DUMMYFUNCTION("""COMPUTED_VALUE"""),"¥12,000,000 or more")</f>
        <v>¥12,000,000 or more</v>
      </c>
      <c r="G14" s="1" t="str">
        <f>IFERROR(__xludf.DUMMYFUNCTION("""COMPUTED_VALUE"""),"Kanto")</f>
        <v>Kanto</v>
      </c>
      <c r="H14" s="1" t="str">
        <f>IFERROR(__xludf.DUMMYFUNCTION("""COMPUTED_VALUE"""),"Daily")</f>
        <v>Daily</v>
      </c>
      <c r="I14" s="1" t="str">
        <f>IFERROR(__xludf.DUMMYFUNCTION("""COMPUTED_VALUE"""),"Pour Over")</f>
        <v>Pour Over</v>
      </c>
      <c r="J14" s="1"/>
      <c r="K14" s="1" t="str">
        <f>IFERROR(__xludf.DUMMYFUNCTION("""COMPUTED_VALUE"""),"Rarely")</f>
        <v>Rarely</v>
      </c>
      <c r="L14" s="1" t="str">
        <f>IFERROR(__xludf.DUMMYFUNCTION("""COMPUTED_VALUE"""),"Matcha Latte")</f>
        <v>Matcha Latte</v>
      </c>
      <c r="M14" s="1"/>
      <c r="N14" s="1" t="str">
        <f>IFERROR(__xludf.DUMMYFUNCTION("""COMPUTED_VALUE"""),"Energy boost/Caffeine")</f>
        <v>Energy boost/Caffeine</v>
      </c>
      <c r="O14" s="1"/>
      <c r="P14" s="1" t="str">
        <f>IFERROR(__xludf.DUMMYFUNCTION("""COMPUTED_VALUE"""),"At home, Other:")</f>
        <v>At home, Other:</v>
      </c>
      <c r="Q14" s="1" t="str">
        <f>IFERROR(__xludf.DUMMYFUNCTION("""COMPUTED_VALUE"""),"matcha at cafe")</f>
        <v>matcha at cafe</v>
      </c>
      <c r="R14" s="1" t="str">
        <f>IFERROR(__xludf.DUMMYFUNCTION("""COMPUTED_VALUE"""),"A few times a month")</f>
        <v>A few times a month</v>
      </c>
      <c r="S14" s="1" t="str">
        <f>IFERROR(__xludf.DUMMYFUNCTION("""COMPUTED_VALUE"""),"To relax or take a break")</f>
        <v>To relax or take a break</v>
      </c>
      <c r="T14" s="1"/>
      <c r="U14" s="1" t="str">
        <f>IFERROR(__xludf.DUMMYFUNCTION("""COMPUTED_VALUE"""),"Service")</f>
        <v>Service</v>
      </c>
      <c r="V14" s="1"/>
      <c r="W14" s="1" t="str">
        <f>IFERROR(__xludf.DUMMYFUNCTION("""COMPUTED_VALUE"""),"Yes, Western")</f>
        <v>Yes, Western</v>
      </c>
      <c r="X14" s="1" t="str">
        <f>IFERROR(__xludf.DUMMYFUNCTION("""COMPUTED_VALUE"""),"Yes,  Japanese")</f>
        <v>Yes,  Japanese</v>
      </c>
      <c r="Y14" s="1">
        <f>IFERROR(__xludf.DUMMYFUNCTION("""COMPUTED_VALUE"""),5.0)</f>
        <v>5</v>
      </c>
      <c r="Z14" s="1">
        <f>IFERROR(__xludf.DUMMYFUNCTION("""COMPUTED_VALUE"""),7.0)</f>
        <v>7</v>
      </c>
      <c r="AA14" s="1">
        <f>IFERROR(__xludf.DUMMYFUNCTION("""COMPUTED_VALUE"""),5.0)</f>
        <v>5</v>
      </c>
      <c r="AB14" s="1" t="str">
        <f>IFERROR(__xludf.DUMMYFUNCTION("""COMPUTED_VALUE"""),"No")</f>
        <v>No</v>
      </c>
      <c r="AC14" s="1"/>
    </row>
    <row r="15">
      <c r="A15" s="1" t="str">
        <f>IFERROR(__xludf.DUMMYFUNCTION("""COMPUTED_VALUE"""),"XxP865O")</f>
        <v>XxP865O</v>
      </c>
      <c r="B15" s="1" t="str">
        <f>IFERROR(__xludf.DUMMYFUNCTION("""COMPUTED_VALUE"""),"vGyJXLQ")</f>
        <v>vGyJXLQ</v>
      </c>
      <c r="C15" s="5">
        <f>IFERROR(__xludf.DUMMYFUNCTION("""COMPUTED_VALUE"""),46034.090532407405)</f>
        <v>46034.09053</v>
      </c>
      <c r="D15" s="1" t="str">
        <f>IFERROR(__xludf.DUMMYFUNCTION("""COMPUTED_VALUE"""),"26-35")</f>
        <v>26-35</v>
      </c>
      <c r="E15" s="1" t="str">
        <f>IFERROR(__xludf.DUMMYFUNCTION("""COMPUTED_VALUE"""),"Male")</f>
        <v>Male</v>
      </c>
      <c r="F15" s="1" t="str">
        <f>IFERROR(__xludf.DUMMYFUNCTION("""COMPUTED_VALUE"""),"¥3,000,000 – ¥5,999,999")</f>
        <v>¥3,000,000 – ¥5,999,999</v>
      </c>
      <c r="G15" s="1" t="str">
        <f>IFERROR(__xludf.DUMMYFUNCTION("""COMPUTED_VALUE"""),"Kanto")</f>
        <v>Kanto</v>
      </c>
      <c r="H15" s="1" t="str">
        <f>IFERROR(__xludf.DUMMYFUNCTION("""COMPUTED_VALUE"""),"Several times a week")</f>
        <v>Several times a week</v>
      </c>
      <c r="I15" s="1" t="str">
        <f>IFERROR(__xludf.DUMMYFUNCTION("""COMPUTED_VALUE"""),"Americano")</f>
        <v>Americano</v>
      </c>
      <c r="J15" s="1"/>
      <c r="K15" s="1" t="str">
        <f>IFERROR(__xludf.DUMMYFUNCTION("""COMPUTED_VALUE"""),"Rarely")</f>
        <v>Rarely</v>
      </c>
      <c r="L15" s="1" t="str">
        <f>IFERROR(__xludf.DUMMYFUNCTION("""COMPUTED_VALUE"""),"I don’t drink matcha")</f>
        <v>I don’t drink matcha</v>
      </c>
      <c r="M15" s="1"/>
      <c r="N15" s="1" t="str">
        <f>IFERROR(__xludf.DUMMYFUNCTION("""COMPUTED_VALUE"""),"Taste")</f>
        <v>Taste</v>
      </c>
      <c r="O15" s="1"/>
      <c r="P15" s="1" t="str">
        <f>IFERROR(__xludf.DUMMYFUNCTION("""COMPUTED_VALUE"""),"At cafés, At home, From convenience stores (7-Eleven, Lawson, etc.)")</f>
        <v>At cafés, At home, From convenience stores (7-Eleven, Lawson, etc.)</v>
      </c>
      <c r="Q15" s="1"/>
      <c r="R15" s="1" t="str">
        <f>IFERROR(__xludf.DUMMYFUNCTION("""COMPUTED_VALUE"""),"Several times a week")</f>
        <v>Several times a week</v>
      </c>
      <c r="S15" s="1" t="str">
        <f>IFERROR(__xludf.DUMMYFUNCTION("""COMPUTED_VALUE"""),"Other:")</f>
        <v>Other:</v>
      </c>
      <c r="T15" s="1" t="str">
        <f>IFERROR(__xludf.DUMMYFUNCTION("""COMPUTED_VALUE"""),"A, B, and C")</f>
        <v>A, B, and C</v>
      </c>
      <c r="U15" s="1" t="str">
        <f>IFERROR(__xludf.DUMMYFUNCTION("""COMPUTED_VALUE"""),"Atmosphere")</f>
        <v>Atmosphere</v>
      </c>
      <c r="V15" s="1"/>
      <c r="W15" s="1" t="str">
        <f>IFERROR(__xludf.DUMMYFUNCTION("""COMPUTED_VALUE"""),"Unsure")</f>
        <v>Unsure</v>
      </c>
      <c r="X15" s="1" t="str">
        <f>IFERROR(__xludf.DUMMYFUNCTION("""COMPUTED_VALUE"""),"Unsure")</f>
        <v>Unsure</v>
      </c>
      <c r="Y15" s="1">
        <f>IFERROR(__xludf.DUMMYFUNCTION("""COMPUTED_VALUE"""),7.0)</f>
        <v>7</v>
      </c>
      <c r="Z15" s="1">
        <f>IFERROR(__xludf.DUMMYFUNCTION("""COMPUTED_VALUE"""),5.0)</f>
        <v>5</v>
      </c>
      <c r="AA15" s="1">
        <f>IFERROR(__xludf.DUMMYFUNCTION("""COMPUTED_VALUE"""),7.0)</f>
        <v>7</v>
      </c>
      <c r="AB15" s="1" t="str">
        <f>IFERROR(__xludf.DUMMYFUNCTION("""COMPUTED_VALUE"""),"No")</f>
        <v>No</v>
      </c>
      <c r="AC15" s="1"/>
    </row>
    <row r="16">
      <c r="A16" s="1" t="str">
        <f>IFERROR(__xludf.DUMMYFUNCTION("""COMPUTED_VALUE"""),"A7ejP6o")</f>
        <v>A7ejP6o</v>
      </c>
      <c r="B16" s="1" t="str">
        <f>IFERROR(__xludf.DUMMYFUNCTION("""COMPUTED_VALUE"""),"81Q6xjz")</f>
        <v>81Q6xjz</v>
      </c>
      <c r="C16" s="5">
        <f>IFERROR(__xludf.DUMMYFUNCTION("""COMPUTED_VALUE"""),46034.13444444445)</f>
        <v>46034.13444</v>
      </c>
      <c r="D16" s="1" t="str">
        <f>IFERROR(__xludf.DUMMYFUNCTION("""COMPUTED_VALUE"""),"46-55")</f>
        <v>46-55</v>
      </c>
      <c r="E16" s="1" t="str">
        <f>IFERROR(__xludf.DUMMYFUNCTION("""COMPUTED_VALUE"""),"Male")</f>
        <v>Male</v>
      </c>
      <c r="F16" s="1" t="str">
        <f>IFERROR(__xludf.DUMMYFUNCTION("""COMPUTED_VALUE"""),"¥12,000,000 or more")</f>
        <v>¥12,000,000 or more</v>
      </c>
      <c r="G16" s="1" t="str">
        <f>IFERROR(__xludf.DUMMYFUNCTION("""COMPUTED_VALUE"""),"Kanto")</f>
        <v>Kanto</v>
      </c>
      <c r="H16" s="1" t="str">
        <f>IFERROR(__xludf.DUMMYFUNCTION("""COMPUTED_VALUE"""),"Several times a week")</f>
        <v>Several times a week</v>
      </c>
      <c r="I16" s="1" t="str">
        <f>IFERROR(__xludf.DUMMYFUNCTION("""COMPUTED_VALUE"""),"Pour Over")</f>
        <v>Pour Over</v>
      </c>
      <c r="J16" s="1"/>
      <c r="K16" s="1" t="str">
        <f>IFERROR(__xludf.DUMMYFUNCTION("""COMPUTED_VALUE"""),"Rarely")</f>
        <v>Rarely</v>
      </c>
      <c r="L16" s="1" t="str">
        <f>IFERROR(__xludf.DUMMYFUNCTION("""COMPUTED_VALUE"""),"Matcha Latte")</f>
        <v>Matcha Latte</v>
      </c>
      <c r="M16" s="1"/>
      <c r="N16" s="1" t="str">
        <f>IFERROR(__xludf.DUMMYFUNCTION("""COMPUTED_VALUE"""),"Taste/Flavor, Energy boost/Caffeine")</f>
        <v>Taste/Flavor, Energy boost/Caffeine</v>
      </c>
      <c r="O16" s="1"/>
      <c r="P16" s="1" t="str">
        <f>IFERROR(__xludf.DUMMYFUNCTION("""COMPUTED_VALUE"""),"At home, At cafés, From convenience stores (7-Eleven, Lawson, etc.)")</f>
        <v>At home, At cafés, From convenience stores (7-Eleven, Lawson, etc.)</v>
      </c>
      <c r="Q16" s="1"/>
      <c r="R16" s="1" t="str">
        <f>IFERROR(__xludf.DUMMYFUNCTION("""COMPUTED_VALUE"""),"Several times a week")</f>
        <v>Several times a week</v>
      </c>
      <c r="S16" s="1" t="str">
        <f>IFERROR(__xludf.DUMMYFUNCTION("""COMPUTED_VALUE"""),"To study/work")</f>
        <v>To study/work</v>
      </c>
      <c r="T16" s="1"/>
      <c r="U16" s="1" t="str">
        <f>IFERROR(__xludf.DUMMYFUNCTION("""COMPUTED_VALUE"""),"Quality of drinks")</f>
        <v>Quality of drinks</v>
      </c>
      <c r="V16" s="1"/>
      <c r="W16" s="1" t="str">
        <f>IFERROR(__xludf.DUMMYFUNCTION("""COMPUTED_VALUE"""),"Yes, Western")</f>
        <v>Yes, Western</v>
      </c>
      <c r="X16" s="1" t="str">
        <f>IFERROR(__xludf.DUMMYFUNCTION("""COMPUTED_VALUE"""),"Yes,  Japanese")</f>
        <v>Yes,  Japanese</v>
      </c>
      <c r="Y16" s="1">
        <f>IFERROR(__xludf.DUMMYFUNCTION("""COMPUTED_VALUE"""),7.0)</f>
        <v>7</v>
      </c>
      <c r="Z16" s="1">
        <f>IFERROR(__xludf.DUMMYFUNCTION("""COMPUTED_VALUE"""),7.0)</f>
        <v>7</v>
      </c>
      <c r="AA16" s="1">
        <f>IFERROR(__xludf.DUMMYFUNCTION("""COMPUTED_VALUE"""),7.0)</f>
        <v>7</v>
      </c>
      <c r="AB16" s="1" t="str">
        <f>IFERROR(__xludf.DUMMYFUNCTION("""COMPUTED_VALUE"""),"No")</f>
        <v>No</v>
      </c>
      <c r="AC16" s="1"/>
    </row>
    <row r="17">
      <c r="A17" s="1" t="str">
        <f>IFERROR(__xludf.DUMMYFUNCTION("""COMPUTED_VALUE"""),"9qjoN6p")</f>
        <v>9qjoN6p</v>
      </c>
      <c r="B17" s="1" t="str">
        <f>IFERROR(__xludf.DUMMYFUNCTION("""COMPUTED_VALUE"""),"1A7N7Ng")</f>
        <v>1A7N7Ng</v>
      </c>
      <c r="C17" s="5">
        <f>IFERROR(__xludf.DUMMYFUNCTION("""COMPUTED_VALUE"""),46034.1430787037)</f>
        <v>46034.14308</v>
      </c>
      <c r="D17" s="1" t="str">
        <f>IFERROR(__xludf.DUMMYFUNCTION("""COMPUTED_VALUE"""),"26-35")</f>
        <v>26-35</v>
      </c>
      <c r="E17" s="1" t="str">
        <f>IFERROR(__xludf.DUMMYFUNCTION("""COMPUTED_VALUE"""),"Female")</f>
        <v>Female</v>
      </c>
      <c r="F17" s="1" t="str">
        <f>IFERROR(__xludf.DUMMYFUNCTION("""COMPUTED_VALUE"""),"¥12,000,000 or more")</f>
        <v>¥12,000,000 or more</v>
      </c>
      <c r="G17" s="1" t="str">
        <f>IFERROR(__xludf.DUMMYFUNCTION("""COMPUTED_VALUE"""),"Kanto")</f>
        <v>Kanto</v>
      </c>
      <c r="H17" s="1" t="str">
        <f>IFERROR(__xludf.DUMMYFUNCTION("""COMPUTED_VALUE"""),"Several times a week")</f>
        <v>Several times a week</v>
      </c>
      <c r="I17" s="1" t="str">
        <f>IFERROR(__xludf.DUMMYFUNCTION("""COMPUTED_VALUE"""),"Americano")</f>
        <v>Americano</v>
      </c>
      <c r="J17" s="1"/>
      <c r="K17" s="1" t="str">
        <f>IFERROR(__xludf.DUMMYFUNCTION("""COMPUTED_VALUE"""),"Rarely")</f>
        <v>Rarely</v>
      </c>
      <c r="L17" s="1" t="str">
        <f>IFERROR(__xludf.DUMMYFUNCTION("""COMPUTED_VALUE"""),"Usucha")</f>
        <v>Usucha</v>
      </c>
      <c r="M17" s="1"/>
      <c r="N17" s="1" t="str">
        <f>IFERROR(__xludf.DUMMYFUNCTION("""COMPUTED_VALUE"""),"Routine/Ritual, Availability")</f>
        <v>Routine/Ritual, Availability</v>
      </c>
      <c r="O17" s="1"/>
      <c r="P17" s="1" t="str">
        <f>IFERROR(__xludf.DUMMYFUNCTION("""COMPUTED_VALUE"""),"At cafés, At home")</f>
        <v>At cafés, At home</v>
      </c>
      <c r="Q17" s="1"/>
      <c r="R17" s="1" t="str">
        <f>IFERROR(__xludf.DUMMYFUNCTION("""COMPUTED_VALUE"""),"Several times a week")</f>
        <v>Several times a week</v>
      </c>
      <c r="S17" s="1" t="str">
        <f>IFERROR(__xludf.DUMMYFUNCTION("""COMPUTED_VALUE"""),"To meet friends")</f>
        <v>To meet friends</v>
      </c>
      <c r="T17" s="1"/>
      <c r="U17" s="1" t="str">
        <f>IFERROR(__xludf.DUMMYFUNCTION("""COMPUTED_VALUE"""),"Atmosphere")</f>
        <v>Atmosphere</v>
      </c>
      <c r="V17" s="1"/>
      <c r="W17" s="1" t="str">
        <f>IFERROR(__xludf.DUMMYFUNCTION("""COMPUTED_VALUE"""),"Yes,  Japanese")</f>
        <v>Yes,  Japanese</v>
      </c>
      <c r="X17" s="1" t="str">
        <f>IFERROR(__xludf.DUMMYFUNCTION("""COMPUTED_VALUE"""),"Yes,  Japanese")</f>
        <v>Yes,  Japanese</v>
      </c>
      <c r="Y17" s="1">
        <f>IFERROR(__xludf.DUMMYFUNCTION("""COMPUTED_VALUE"""),7.0)</f>
        <v>7</v>
      </c>
      <c r="Z17" s="1">
        <f>IFERROR(__xludf.DUMMYFUNCTION("""COMPUTED_VALUE"""),7.0)</f>
        <v>7</v>
      </c>
      <c r="AA17" s="1">
        <f>IFERROR(__xludf.DUMMYFUNCTION("""COMPUTED_VALUE"""),7.0)</f>
        <v>7</v>
      </c>
      <c r="AB17" s="1" t="str">
        <f>IFERROR(__xludf.DUMMYFUNCTION("""COMPUTED_VALUE"""),"No")</f>
        <v>No</v>
      </c>
      <c r="AC17" s="1"/>
    </row>
    <row r="18">
      <c r="A18" s="1" t="str">
        <f>IFERROR(__xludf.DUMMYFUNCTION("""COMPUTED_VALUE"""),"yP5d4lX")</f>
        <v>yP5d4lX</v>
      </c>
      <c r="B18" s="1" t="str">
        <f>IFERROR(__xludf.DUMMYFUNCTION("""COMPUTED_VALUE"""),"1A7NrOL")</f>
        <v>1A7NrOL</v>
      </c>
      <c r="C18" s="5">
        <f>IFERROR(__xludf.DUMMYFUNCTION("""COMPUTED_VALUE"""),46034.160104166665)</f>
        <v>46034.1601</v>
      </c>
      <c r="D18" s="1" t="str">
        <f>IFERROR(__xludf.DUMMYFUNCTION("""COMPUTED_VALUE"""),"36-45")</f>
        <v>36-45</v>
      </c>
      <c r="E18" s="1" t="str">
        <f>IFERROR(__xludf.DUMMYFUNCTION("""COMPUTED_VALUE"""),"Male")</f>
        <v>Male</v>
      </c>
      <c r="F18" s="1" t="str">
        <f>IFERROR(__xludf.DUMMYFUNCTION("""COMPUTED_VALUE"""),"¥12,000,000 or more")</f>
        <v>¥12,000,000 or more</v>
      </c>
      <c r="G18" s="1" t="str">
        <f>IFERROR(__xludf.DUMMYFUNCTION("""COMPUTED_VALUE"""),"Kanto")</f>
        <v>Kanto</v>
      </c>
      <c r="H18" s="1" t="str">
        <f>IFERROR(__xludf.DUMMYFUNCTION("""COMPUTED_VALUE"""),"Daily")</f>
        <v>Daily</v>
      </c>
      <c r="I18" s="1" t="str">
        <f>IFERROR(__xludf.DUMMYFUNCTION("""COMPUTED_VALUE"""),"Drip")</f>
        <v>Drip</v>
      </c>
      <c r="J18" s="1"/>
      <c r="K18" s="1" t="str">
        <f>IFERROR(__xludf.DUMMYFUNCTION("""COMPUTED_VALUE"""),"Once a week")</f>
        <v>Once a week</v>
      </c>
      <c r="L18" s="1" t="str">
        <f>IFERROR(__xludf.DUMMYFUNCTION("""COMPUTED_VALUE"""),"Koicha")</f>
        <v>Koicha</v>
      </c>
      <c r="M18" s="1"/>
      <c r="N18" s="1" t="str">
        <f>IFERROR(__xludf.DUMMYFUNCTION("""COMPUTED_VALUE"""),"Taste/Flavor, Energy boost/Caffeine")</f>
        <v>Taste/Flavor, Energy boost/Caffeine</v>
      </c>
      <c r="O18" s="1"/>
      <c r="P18" s="1" t="str">
        <f>IFERROR(__xludf.DUMMYFUNCTION("""COMPUTED_VALUE"""),"At cafés, At home")</f>
        <v>At cafés, At home</v>
      </c>
      <c r="Q18" s="1"/>
      <c r="R18" s="1" t="str">
        <f>IFERROR(__xludf.DUMMYFUNCTION("""COMPUTED_VALUE"""),"Several times a week")</f>
        <v>Several times a week</v>
      </c>
      <c r="S18" s="1" t="str">
        <f>IFERROR(__xludf.DUMMYFUNCTION("""COMPUTED_VALUE"""),"To relax or take a break")</f>
        <v>To relax or take a break</v>
      </c>
      <c r="T18" s="1"/>
      <c r="U18" s="1" t="str">
        <f>IFERROR(__xludf.DUMMYFUNCTION("""COMPUTED_VALUE"""),"Atmosphere")</f>
        <v>Atmosphere</v>
      </c>
      <c r="V18" s="1"/>
      <c r="W18" s="1" t="str">
        <f>IFERROR(__xludf.DUMMYFUNCTION("""COMPUTED_VALUE"""),"Yes, Western")</f>
        <v>Yes, Western</v>
      </c>
      <c r="X18" s="1" t="str">
        <f>IFERROR(__xludf.DUMMYFUNCTION("""COMPUTED_VALUE"""),"Yes,  Japanese")</f>
        <v>Yes,  Japanese</v>
      </c>
      <c r="Y18" s="1">
        <f>IFERROR(__xludf.DUMMYFUNCTION("""COMPUTED_VALUE"""),5.0)</f>
        <v>5</v>
      </c>
      <c r="Z18" s="1">
        <f>IFERROR(__xludf.DUMMYFUNCTION("""COMPUTED_VALUE"""),7.0)</f>
        <v>7</v>
      </c>
      <c r="AA18" s="1">
        <f>IFERROR(__xludf.DUMMYFUNCTION("""COMPUTED_VALUE"""),5.0)</f>
        <v>5</v>
      </c>
      <c r="AB18" s="1" t="str">
        <f>IFERROR(__xludf.DUMMYFUNCTION("""COMPUTED_VALUE"""),"No")</f>
        <v>No</v>
      </c>
      <c r="AC18" s="1"/>
    </row>
    <row r="19">
      <c r="A19" s="1" t="str">
        <f>IFERROR(__xludf.DUMMYFUNCTION("""COMPUTED_VALUE"""),"dWekxYq")</f>
        <v>dWekxYq</v>
      </c>
      <c r="B19" s="1" t="str">
        <f>IFERROR(__xludf.DUMMYFUNCTION("""COMPUTED_VALUE"""),"2ENlrAL")</f>
        <v>2ENlrAL</v>
      </c>
      <c r="C19" s="5">
        <f>IFERROR(__xludf.DUMMYFUNCTION("""COMPUTED_VALUE"""),46034.17319444445)</f>
        <v>46034.17319</v>
      </c>
      <c r="D19" s="1" t="str">
        <f>IFERROR(__xludf.DUMMYFUNCTION("""COMPUTED_VALUE"""),"36-45")</f>
        <v>36-45</v>
      </c>
      <c r="E19" s="1" t="str">
        <f>IFERROR(__xludf.DUMMYFUNCTION("""COMPUTED_VALUE"""),"Male")</f>
        <v>Male</v>
      </c>
      <c r="F19" s="1" t="str">
        <f>IFERROR(__xludf.DUMMYFUNCTION("""COMPUTED_VALUE"""),"¥6,000,000 – ¥8,999,999")</f>
        <v>¥6,000,000 – ¥8,999,999</v>
      </c>
      <c r="G19" s="1" t="str">
        <f>IFERROR(__xludf.DUMMYFUNCTION("""COMPUTED_VALUE"""),"Kanto")</f>
        <v>Kanto</v>
      </c>
      <c r="H19" s="1" t="str">
        <f>IFERROR(__xludf.DUMMYFUNCTION("""COMPUTED_VALUE"""),"Once a week")</f>
        <v>Once a week</v>
      </c>
      <c r="I19" s="1" t="str">
        <f>IFERROR(__xludf.DUMMYFUNCTION("""COMPUTED_VALUE"""),"Latte")</f>
        <v>Latte</v>
      </c>
      <c r="J19" s="1" t="str">
        <f>IFERROR(__xludf.DUMMYFUNCTION("""COMPUTED_VALUE"""),"Oat milk")</f>
        <v>Oat milk</v>
      </c>
      <c r="K19" s="1" t="str">
        <f>IFERROR(__xludf.DUMMYFUNCTION("""COMPUTED_VALUE"""),"Rarely")</f>
        <v>Rarely</v>
      </c>
      <c r="L19" s="1" t="str">
        <f>IFERROR(__xludf.DUMMYFUNCTION("""COMPUTED_VALUE"""),"Koicha")</f>
        <v>Koicha</v>
      </c>
      <c r="M19" s="1"/>
      <c r="N19" s="1" t="str">
        <f>IFERROR(__xludf.DUMMYFUNCTION("""COMPUTED_VALUE"""),"Social norms / influence (what people around me usually drink), Energy boost/Caffeine")</f>
        <v>Social norms / influence (what people around me usually drink), Energy boost/Caffeine</v>
      </c>
      <c r="O19" s="1"/>
      <c r="P19" s="1" t="str">
        <f>IFERROR(__xludf.DUMMYFUNCTION("""COMPUTED_VALUE"""),"At home")</f>
        <v>At home</v>
      </c>
      <c r="Q19" s="1"/>
      <c r="R19" s="1" t="str">
        <f>IFERROR(__xludf.DUMMYFUNCTION("""COMPUTED_VALUE"""),"Rarely")</f>
        <v>Rarely</v>
      </c>
      <c r="S19" s="1" t="str">
        <f>IFERROR(__xludf.DUMMYFUNCTION("""COMPUTED_VALUE"""),"To study/work")</f>
        <v>To study/work</v>
      </c>
      <c r="T19" s="1"/>
      <c r="U19" s="1" t="str">
        <f>IFERROR(__xludf.DUMMYFUNCTION("""COMPUTED_VALUE"""),"Atmosphere")</f>
        <v>Atmosphere</v>
      </c>
      <c r="V19" s="1"/>
      <c r="W19" s="1" t="str">
        <f>IFERROR(__xludf.DUMMYFUNCTION("""COMPUTED_VALUE"""),"Yes, Western")</f>
        <v>Yes, Western</v>
      </c>
      <c r="X19" s="1" t="str">
        <f>IFERROR(__xludf.DUMMYFUNCTION("""COMPUTED_VALUE"""),"Yes,  Japanese")</f>
        <v>Yes,  Japanese</v>
      </c>
      <c r="Y19" s="1">
        <f>IFERROR(__xludf.DUMMYFUNCTION("""COMPUTED_VALUE"""),5.0)</f>
        <v>5</v>
      </c>
      <c r="Z19" s="1">
        <f>IFERROR(__xludf.DUMMYFUNCTION("""COMPUTED_VALUE"""),7.0)</f>
        <v>7</v>
      </c>
      <c r="AA19" s="1">
        <f>IFERROR(__xludf.DUMMYFUNCTION("""COMPUTED_VALUE"""),5.0)</f>
        <v>5</v>
      </c>
      <c r="AB19" s="1" t="str">
        <f>IFERROR(__xludf.DUMMYFUNCTION("""COMPUTED_VALUE"""),"No")</f>
        <v>No</v>
      </c>
      <c r="AC19" s="1"/>
    </row>
    <row r="20">
      <c r="A20" s="1" t="str">
        <f>IFERROR(__xludf.DUMMYFUNCTION("""COMPUTED_VALUE"""),"lbkMR2k")</f>
        <v>lbkMR2k</v>
      </c>
      <c r="B20" s="1" t="str">
        <f>IFERROR(__xludf.DUMMYFUNCTION("""COMPUTED_VALUE"""),"0Q6ZvjN")</f>
        <v>0Q6ZvjN</v>
      </c>
      <c r="C20" s="5">
        <f>IFERROR(__xludf.DUMMYFUNCTION("""COMPUTED_VALUE"""),46034.192824074074)</f>
        <v>46034.19282</v>
      </c>
      <c r="D20" s="1" t="str">
        <f>IFERROR(__xludf.DUMMYFUNCTION("""COMPUTED_VALUE"""),"26-35")</f>
        <v>26-35</v>
      </c>
      <c r="E20" s="1" t="str">
        <f>IFERROR(__xludf.DUMMYFUNCTION("""COMPUTED_VALUE"""),"Male")</f>
        <v>Male</v>
      </c>
      <c r="F20" s="1" t="str">
        <f>IFERROR(__xludf.DUMMYFUNCTION("""COMPUTED_VALUE"""),"¥12,000,000 or more")</f>
        <v>¥12,000,000 or more</v>
      </c>
      <c r="G20" s="1" t="str">
        <f>IFERROR(__xludf.DUMMYFUNCTION("""COMPUTED_VALUE"""),"Kanto")</f>
        <v>Kanto</v>
      </c>
      <c r="H20" s="1" t="str">
        <f>IFERROR(__xludf.DUMMYFUNCTION("""COMPUTED_VALUE"""),"Daily")</f>
        <v>Daily</v>
      </c>
      <c r="I20" s="1" t="str">
        <f>IFERROR(__xludf.DUMMYFUNCTION("""COMPUTED_VALUE"""),"Drip")</f>
        <v>Drip</v>
      </c>
      <c r="J20" s="1"/>
      <c r="K20" s="1" t="str">
        <f>IFERROR(__xludf.DUMMYFUNCTION("""COMPUTED_VALUE"""),"Never")</f>
        <v>Never</v>
      </c>
      <c r="L20" s="1"/>
      <c r="M20" s="1"/>
      <c r="N20" s="1" t="str">
        <f>IFERROR(__xludf.DUMMYFUNCTION("""COMPUTED_VALUE"""),"Taste/Flavor, Availability in the area")</f>
        <v>Taste/Flavor, Availability in the area</v>
      </c>
      <c r="O20" s="1"/>
      <c r="P20" s="1" t="str">
        <f>IFERROR(__xludf.DUMMYFUNCTION("""COMPUTED_VALUE"""),"At home, At cafés")</f>
        <v>At home, At cafés</v>
      </c>
      <c r="Q20" s="1"/>
      <c r="R20" s="1" t="str">
        <f>IFERROR(__xludf.DUMMYFUNCTION("""COMPUTED_VALUE"""),"Several times a week")</f>
        <v>Several times a week</v>
      </c>
      <c r="S20" s="1" t="str">
        <f>IFERROR(__xludf.DUMMYFUNCTION("""COMPUTED_VALUE"""),"To relax or take a break")</f>
        <v>To relax or take a break</v>
      </c>
      <c r="T20" s="1"/>
      <c r="U20" s="1" t="str">
        <f>IFERROR(__xludf.DUMMYFUNCTION("""COMPUTED_VALUE"""),"Quality of drinks")</f>
        <v>Quality of drinks</v>
      </c>
      <c r="V20" s="1"/>
      <c r="W20" s="1" t="str">
        <f>IFERROR(__xludf.DUMMYFUNCTION("""COMPUTED_VALUE"""),"Yes, Western")</f>
        <v>Yes, Western</v>
      </c>
      <c r="X20" s="1" t="str">
        <f>IFERROR(__xludf.DUMMYFUNCTION("""COMPUTED_VALUE"""),"Yes,  Japanese")</f>
        <v>Yes,  Japanese</v>
      </c>
      <c r="Y20" s="1">
        <f>IFERROR(__xludf.DUMMYFUNCTION("""COMPUTED_VALUE"""),5.0)</f>
        <v>5</v>
      </c>
      <c r="Z20" s="1">
        <f>IFERROR(__xludf.DUMMYFUNCTION("""COMPUTED_VALUE"""),7.0)</f>
        <v>7</v>
      </c>
      <c r="AA20" s="1">
        <f>IFERROR(__xludf.DUMMYFUNCTION("""COMPUTED_VALUE"""),5.0)</f>
        <v>5</v>
      </c>
      <c r="AB20" s="1" t="str">
        <f>IFERROR(__xludf.DUMMYFUNCTION("""COMPUTED_VALUE"""),"No")</f>
        <v>No</v>
      </c>
      <c r="AC20" s="1"/>
    </row>
    <row r="21">
      <c r="A21" s="1" t="str">
        <f>IFERROR(__xludf.DUMMYFUNCTION("""COMPUTED_VALUE"""),"1Aop20Q")</f>
        <v>1Aop20Q</v>
      </c>
      <c r="B21" s="1" t="str">
        <f>IFERROR(__xludf.DUMMYFUNCTION("""COMPUTED_VALUE"""),"dWx82Qr")</f>
        <v>dWx82Qr</v>
      </c>
      <c r="C21" s="5">
        <f>IFERROR(__xludf.DUMMYFUNCTION("""COMPUTED_VALUE"""),46034.210868055554)</f>
        <v>46034.21087</v>
      </c>
      <c r="D21" s="1" t="str">
        <f>IFERROR(__xludf.DUMMYFUNCTION("""COMPUTED_VALUE"""),"36-45")</f>
        <v>36-45</v>
      </c>
      <c r="E21" s="1" t="str">
        <f>IFERROR(__xludf.DUMMYFUNCTION("""COMPUTED_VALUE"""),"Male")</f>
        <v>Male</v>
      </c>
      <c r="F21" s="1" t="str">
        <f>IFERROR(__xludf.DUMMYFUNCTION("""COMPUTED_VALUE"""),"¥12,000,000 or more")</f>
        <v>¥12,000,000 or more</v>
      </c>
      <c r="G21" s="1" t="str">
        <f>IFERROR(__xludf.DUMMYFUNCTION("""COMPUTED_VALUE"""),"Okinawa")</f>
        <v>Okinawa</v>
      </c>
      <c r="H21" s="1" t="str">
        <f>IFERROR(__xludf.DUMMYFUNCTION("""COMPUTED_VALUE"""),"Daily")</f>
        <v>Daily</v>
      </c>
      <c r="I21" s="1" t="str">
        <f>IFERROR(__xludf.DUMMYFUNCTION("""COMPUTED_VALUE"""),"Pour Over")</f>
        <v>Pour Over</v>
      </c>
      <c r="J21" s="1"/>
      <c r="K21" s="1" t="str">
        <f>IFERROR(__xludf.DUMMYFUNCTION("""COMPUTED_VALUE"""),"Rarely")</f>
        <v>Rarely</v>
      </c>
      <c r="L21" s="1"/>
      <c r="M21" s="1"/>
      <c r="N21" s="1" t="str">
        <f>IFERROR(__xludf.DUMMYFUNCTION("""COMPUTED_VALUE"""),"Taste/Flavor, Routine/Ritual")</f>
        <v>Taste/Flavor, Routine/Ritual</v>
      </c>
      <c r="O21" s="1"/>
      <c r="P21" s="1"/>
      <c r="Q21" s="1"/>
      <c r="R21" s="1" t="str">
        <f>IFERROR(__xludf.DUMMYFUNCTION("""COMPUTED_VALUE"""),"A few times a month")</f>
        <v>A few times a month</v>
      </c>
      <c r="S21" s="1" t="str">
        <f>IFERROR(__xludf.DUMMYFUNCTION("""COMPUTED_VALUE"""),"Other:")</f>
        <v>Other:</v>
      </c>
      <c r="T21" s="1" t="str">
        <f>IFERROR(__xludf.DUMMYFUNCTION("""COMPUTED_VALUE"""),"Looking for a coffee if I am out running errands.")</f>
        <v>Looking for a coffee if I am out running errands.</v>
      </c>
      <c r="U21" s="1" t="str">
        <f>IFERROR(__xludf.DUMMYFUNCTION("""COMPUTED_VALUE"""),"Quality of drinks")</f>
        <v>Quality of drinks</v>
      </c>
      <c r="V21" s="1"/>
      <c r="W21" s="1" t="str">
        <f>IFERROR(__xludf.DUMMYFUNCTION("""COMPUTED_VALUE"""),"Yes, Global")</f>
        <v>Yes, Global</v>
      </c>
      <c r="X21" s="1" t="str">
        <f>IFERROR(__xludf.DUMMYFUNCTION("""COMPUTED_VALUE"""),"Yes,  Japanese")</f>
        <v>Yes,  Japanese</v>
      </c>
      <c r="Y21" s="1">
        <f>IFERROR(__xludf.DUMMYFUNCTION("""COMPUTED_VALUE"""),5.0)</f>
        <v>5</v>
      </c>
      <c r="Z21" s="1">
        <f>IFERROR(__xludf.DUMMYFUNCTION("""COMPUTED_VALUE"""),6.0)</f>
        <v>6</v>
      </c>
      <c r="AA21" s="1">
        <f>IFERROR(__xludf.DUMMYFUNCTION("""COMPUTED_VALUE"""),5.0)</f>
        <v>5</v>
      </c>
      <c r="AB21" s="1" t="str">
        <f>IFERROR(__xludf.DUMMYFUNCTION("""COMPUTED_VALUE"""),"No")</f>
        <v>No</v>
      </c>
      <c r="AC21" s="1"/>
    </row>
    <row r="22">
      <c r="A22" s="1" t="str">
        <f>IFERROR(__xludf.DUMMYFUNCTION("""COMPUTED_VALUE"""),"pbpkJZ8")</f>
        <v>pbpkJZ8</v>
      </c>
      <c r="B22" s="1" t="str">
        <f>IFERROR(__xludf.DUMMYFUNCTION("""COMPUTED_VALUE"""),"NpWb88G")</f>
        <v>NpWb88G</v>
      </c>
      <c r="C22" s="5">
        <f>IFERROR(__xludf.DUMMYFUNCTION("""COMPUTED_VALUE"""),46034.22730324074)</f>
        <v>46034.2273</v>
      </c>
      <c r="D22" s="1" t="str">
        <f>IFERROR(__xludf.DUMMYFUNCTION("""COMPUTED_VALUE"""),"56-65")</f>
        <v>56-65</v>
      </c>
      <c r="E22" s="1" t="str">
        <f>IFERROR(__xludf.DUMMYFUNCTION("""COMPUTED_VALUE"""),"Female")</f>
        <v>Female</v>
      </c>
      <c r="F22" s="1" t="str">
        <f>IFERROR(__xludf.DUMMYFUNCTION("""COMPUTED_VALUE"""),"¥12,000,000 or more")</f>
        <v>¥12,000,000 or more</v>
      </c>
      <c r="G22" s="1" t="str">
        <f>IFERROR(__xludf.DUMMYFUNCTION("""COMPUTED_VALUE"""),"Kanto")</f>
        <v>Kanto</v>
      </c>
      <c r="H22" s="1" t="str">
        <f>IFERROR(__xludf.DUMMYFUNCTION("""COMPUTED_VALUE"""),"Once a week")</f>
        <v>Once a week</v>
      </c>
      <c r="I22" s="1" t="str">
        <f>IFERROR(__xludf.DUMMYFUNCTION("""COMPUTED_VALUE"""),"Cappuccino")</f>
        <v>Cappuccino</v>
      </c>
      <c r="J22" s="1"/>
      <c r="K22" s="1" t="str">
        <f>IFERROR(__xludf.DUMMYFUNCTION("""COMPUTED_VALUE"""),"Rarely")</f>
        <v>Rarely</v>
      </c>
      <c r="L22" s="1"/>
      <c r="M22" s="1"/>
      <c r="N22" s="1" t="str">
        <f>IFERROR(__xludf.DUMMYFUNCTION("""COMPUTED_VALUE"""),"Mood")</f>
        <v>Mood</v>
      </c>
      <c r="O22" s="1"/>
      <c r="P22" s="1" t="str">
        <f>IFERROR(__xludf.DUMMYFUNCTION("""COMPUTED_VALUE"""),"At cafés")</f>
        <v>At cafés</v>
      </c>
      <c r="Q22" s="1"/>
      <c r="R22" s="1" t="str">
        <f>IFERROR(__xludf.DUMMYFUNCTION("""COMPUTED_VALUE"""),"A few times a month")</f>
        <v>A few times a month</v>
      </c>
      <c r="S22" s="1" t="str">
        <f>IFERROR(__xludf.DUMMYFUNCTION("""COMPUTED_VALUE"""),"To relax or take a break")</f>
        <v>To relax or take a break</v>
      </c>
      <c r="T22" s="1"/>
      <c r="U22" s="1" t="str">
        <f>IFERROR(__xludf.DUMMYFUNCTION("""COMPUTED_VALUE"""),"Atmosphere")</f>
        <v>Atmosphere</v>
      </c>
      <c r="V22" s="1"/>
      <c r="W22" s="1" t="str">
        <f>IFERROR(__xludf.DUMMYFUNCTION("""COMPUTED_VALUE"""),"No")</f>
        <v>No</v>
      </c>
      <c r="X22" s="1" t="str">
        <f>IFERROR(__xludf.DUMMYFUNCTION("""COMPUTED_VALUE"""),"No")</f>
        <v>No</v>
      </c>
      <c r="Y22" s="1">
        <f>IFERROR(__xludf.DUMMYFUNCTION("""COMPUTED_VALUE"""),7.0)</f>
        <v>7</v>
      </c>
      <c r="Z22" s="1">
        <f>IFERROR(__xludf.DUMMYFUNCTION("""COMPUTED_VALUE"""),7.0)</f>
        <v>7</v>
      </c>
      <c r="AA22" s="1">
        <f>IFERROR(__xludf.DUMMYFUNCTION("""COMPUTED_VALUE"""),7.0)</f>
        <v>7</v>
      </c>
      <c r="AB22" s="1" t="str">
        <f>IFERROR(__xludf.DUMMYFUNCTION("""COMPUTED_VALUE"""),"No")</f>
        <v>No</v>
      </c>
      <c r="AC22" s="1"/>
    </row>
    <row r="23">
      <c r="A23" s="1" t="str">
        <f>IFERROR(__xludf.DUMMYFUNCTION("""COMPUTED_VALUE"""),"PdJGJZB")</f>
        <v>PdJGJZB</v>
      </c>
      <c r="B23" s="1" t="str">
        <f>IFERROR(__xludf.DUMMYFUNCTION("""COMPUTED_VALUE"""),"J9AeG1K")</f>
        <v>J9AeG1K</v>
      </c>
      <c r="C23" s="5">
        <f>IFERROR(__xludf.DUMMYFUNCTION("""COMPUTED_VALUE"""),46034.28375)</f>
        <v>46034.28375</v>
      </c>
      <c r="D23" s="1" t="str">
        <f>IFERROR(__xludf.DUMMYFUNCTION("""COMPUTED_VALUE"""),"26-35")</f>
        <v>26-35</v>
      </c>
      <c r="E23" s="1" t="str">
        <f>IFERROR(__xludf.DUMMYFUNCTION("""COMPUTED_VALUE"""),"Female")</f>
        <v>Female</v>
      </c>
      <c r="F23" s="1" t="str">
        <f>IFERROR(__xludf.DUMMYFUNCTION("""COMPUTED_VALUE"""),"¥3,000,000 – ¥5,999,999")</f>
        <v>¥3,000,000 – ¥5,999,999</v>
      </c>
      <c r="G23" s="1" t="str">
        <f>IFERROR(__xludf.DUMMYFUNCTION("""COMPUTED_VALUE"""),"Kyushu")</f>
        <v>Kyushu</v>
      </c>
      <c r="H23" s="1" t="str">
        <f>IFERROR(__xludf.DUMMYFUNCTION("""COMPUTED_VALUE"""),"Never")</f>
        <v>Never</v>
      </c>
      <c r="I23" s="1"/>
      <c r="J23" s="1"/>
      <c r="K23" s="1" t="str">
        <f>IFERROR(__xludf.DUMMYFUNCTION("""COMPUTED_VALUE"""),"Rarely")</f>
        <v>Rarely</v>
      </c>
      <c r="L23" s="1" t="str">
        <f>IFERROR(__xludf.DUMMYFUNCTION("""COMPUTED_VALUE"""),"Koicha")</f>
        <v>Koicha</v>
      </c>
      <c r="M23" s="1"/>
      <c r="N23" s="1" t="str">
        <f>IFERROR(__xludf.DUMMYFUNCTION("""COMPUTED_VALUE"""),"Health benefits, Taste/Flavor")</f>
        <v>Health benefits, Taste/Flavor</v>
      </c>
      <c r="O23" s="1"/>
      <c r="P23" s="1" t="str">
        <f>IFERROR(__xludf.DUMMYFUNCTION("""COMPUTED_VALUE"""),"At cafés")</f>
        <v>At cafés</v>
      </c>
      <c r="Q23" s="1"/>
      <c r="R23" s="1" t="str">
        <f>IFERROR(__xludf.DUMMYFUNCTION("""COMPUTED_VALUE"""),"A few times a month")</f>
        <v>A few times a month</v>
      </c>
      <c r="S23" s="1" t="str">
        <f>IFERROR(__xludf.DUMMYFUNCTION("""COMPUTED_VALUE"""),"To meet friends")</f>
        <v>To meet friends</v>
      </c>
      <c r="T23" s="1"/>
      <c r="U23" s="1" t="str">
        <f>IFERROR(__xludf.DUMMYFUNCTION("""COMPUTED_VALUE"""),"Atmosphere")</f>
        <v>Atmosphere</v>
      </c>
      <c r="V23" s="1"/>
      <c r="W23" s="1" t="str">
        <f>IFERROR(__xludf.DUMMYFUNCTION("""COMPUTED_VALUE"""),"Yes, Global")</f>
        <v>Yes, Global</v>
      </c>
      <c r="X23" s="1" t="str">
        <f>IFERROR(__xludf.DUMMYFUNCTION("""COMPUTED_VALUE"""),"Yes,  Japanese")</f>
        <v>Yes,  Japanese</v>
      </c>
      <c r="Y23" s="1">
        <f>IFERROR(__xludf.DUMMYFUNCTION("""COMPUTED_VALUE"""),4.0)</f>
        <v>4</v>
      </c>
      <c r="Z23" s="1">
        <f>IFERROR(__xludf.DUMMYFUNCTION("""COMPUTED_VALUE"""),7.0)</f>
        <v>7</v>
      </c>
      <c r="AA23" s="1">
        <f>IFERROR(__xludf.DUMMYFUNCTION("""COMPUTED_VALUE"""),3.0)</f>
        <v>3</v>
      </c>
      <c r="AB23" s="1" t="str">
        <f>IFERROR(__xludf.DUMMYFUNCTION("""COMPUTED_VALUE"""),"No")</f>
        <v>No</v>
      </c>
      <c r="AC23" s="1"/>
    </row>
    <row r="24">
      <c r="A24" s="1" t="str">
        <f>IFERROR(__xludf.DUMMYFUNCTION("""COMPUTED_VALUE"""),"VLOyvYa")</f>
        <v>VLOyvYa</v>
      </c>
      <c r="B24" s="1" t="str">
        <f>IFERROR(__xludf.DUMMYFUNCTION("""COMPUTED_VALUE"""),"aQYlORX")</f>
        <v>aQYlORX</v>
      </c>
      <c r="C24" s="5">
        <f>IFERROR(__xludf.DUMMYFUNCTION("""COMPUTED_VALUE"""),46034.99045138889)</f>
        <v>46034.99045</v>
      </c>
      <c r="D24" s="1" t="str">
        <f>IFERROR(__xludf.DUMMYFUNCTION("""COMPUTED_VALUE"""),"46-55")</f>
        <v>46-55</v>
      </c>
      <c r="E24" s="1" t="str">
        <f>IFERROR(__xludf.DUMMYFUNCTION("""COMPUTED_VALUE"""),"Male")</f>
        <v>Male</v>
      </c>
      <c r="F24" s="1" t="str">
        <f>IFERROR(__xludf.DUMMYFUNCTION("""COMPUTED_VALUE"""),"Prefer not to say")</f>
        <v>Prefer not to say</v>
      </c>
      <c r="G24" s="1" t="str">
        <f>IFERROR(__xludf.DUMMYFUNCTION("""COMPUTED_VALUE"""),"Kanto")</f>
        <v>Kanto</v>
      </c>
      <c r="H24" s="1" t="str">
        <f>IFERROR(__xludf.DUMMYFUNCTION("""COMPUTED_VALUE"""),"Daily")</f>
        <v>Daily</v>
      </c>
      <c r="I24" s="1" t="str">
        <f>IFERROR(__xludf.DUMMYFUNCTION("""COMPUTED_VALUE"""),"Latte")</f>
        <v>Latte</v>
      </c>
      <c r="J24" s="1"/>
      <c r="K24" s="1" t="str">
        <f>IFERROR(__xludf.DUMMYFUNCTION("""COMPUTED_VALUE"""),"Rarely")</f>
        <v>Rarely</v>
      </c>
      <c r="L24" s="1" t="str">
        <f>IFERROR(__xludf.DUMMYFUNCTION("""COMPUTED_VALUE"""),"I don’t drink matcha")</f>
        <v>I don’t drink matcha</v>
      </c>
      <c r="M24" s="1"/>
      <c r="N24" s="1" t="str">
        <f>IFERROR(__xludf.DUMMYFUNCTION("""COMPUTED_VALUE"""),"Taste/Flavor, Price")</f>
        <v>Taste/Flavor, Price</v>
      </c>
      <c r="O24" s="1"/>
      <c r="P24" s="1" t="str">
        <f>IFERROR(__xludf.DUMMYFUNCTION("""COMPUTED_VALUE"""),"At home, At cafés")</f>
        <v>At home, At cafés</v>
      </c>
      <c r="Q24" s="1"/>
      <c r="R24" s="1" t="str">
        <f>IFERROR(__xludf.DUMMYFUNCTION("""COMPUTED_VALUE"""),"A few times a month")</f>
        <v>A few times a month</v>
      </c>
      <c r="S24" s="1" t="str">
        <f>IFERROR(__xludf.DUMMYFUNCTION("""COMPUTED_VALUE"""),"To try a new drink")</f>
        <v>To try a new drink</v>
      </c>
      <c r="T24" s="1"/>
      <c r="U24" s="1" t="str">
        <f>IFERROR(__xludf.DUMMYFUNCTION("""COMPUTED_VALUE"""),"Quality of drinks")</f>
        <v>Quality of drinks</v>
      </c>
      <c r="V24" s="1"/>
      <c r="W24" s="1" t="str">
        <f>IFERROR(__xludf.DUMMYFUNCTION("""COMPUTED_VALUE"""),"Unsure")</f>
        <v>Unsure</v>
      </c>
      <c r="X24" s="1" t="str">
        <f>IFERROR(__xludf.DUMMYFUNCTION("""COMPUTED_VALUE"""),"Yes,  Japanese")</f>
        <v>Yes,  Japanese</v>
      </c>
      <c r="Y24" s="1">
        <f>IFERROR(__xludf.DUMMYFUNCTION("""COMPUTED_VALUE"""),3.0)</f>
        <v>3</v>
      </c>
      <c r="Z24" s="1">
        <f>IFERROR(__xludf.DUMMYFUNCTION("""COMPUTED_VALUE"""),6.0)</f>
        <v>6</v>
      </c>
      <c r="AA24" s="1">
        <f>IFERROR(__xludf.DUMMYFUNCTION("""COMPUTED_VALUE"""),5.0)</f>
        <v>5</v>
      </c>
      <c r="AB24" s="1" t="str">
        <f>IFERROR(__xludf.DUMMYFUNCTION("""COMPUTED_VALUE"""),"No")</f>
        <v>No</v>
      </c>
      <c r="AC24" s="1"/>
    </row>
    <row r="25">
      <c r="A25" s="1" t="str">
        <f>IFERROR(__xludf.DUMMYFUNCTION("""COMPUTED_VALUE"""),"1AoYXdg")</f>
        <v>1AoYXdg</v>
      </c>
      <c r="B25" s="1" t="str">
        <f>IFERROR(__xludf.DUMMYFUNCTION("""COMPUTED_VALUE"""),"zxDgaGR")</f>
        <v>zxDgaGR</v>
      </c>
      <c r="C25" s="5">
        <f>IFERROR(__xludf.DUMMYFUNCTION("""COMPUTED_VALUE"""),46035.496030092596)</f>
        <v>46035.49603</v>
      </c>
      <c r="D25" s="1" t="str">
        <f>IFERROR(__xludf.DUMMYFUNCTION("""COMPUTED_VALUE"""),"56-65")</f>
        <v>56-65</v>
      </c>
      <c r="E25" s="1" t="str">
        <f>IFERROR(__xludf.DUMMYFUNCTION("""COMPUTED_VALUE"""),"Male")</f>
        <v>Male</v>
      </c>
      <c r="F25" s="1" t="str">
        <f>IFERROR(__xludf.DUMMYFUNCTION("""COMPUTED_VALUE"""),"¥12,000,000 or more")</f>
        <v>¥12,000,000 or more</v>
      </c>
      <c r="G25" s="1" t="str">
        <f>IFERROR(__xludf.DUMMYFUNCTION("""COMPUTED_VALUE"""),"Kanto")</f>
        <v>Kanto</v>
      </c>
      <c r="H25" s="1" t="str">
        <f>IFERROR(__xludf.DUMMYFUNCTION("""COMPUTED_VALUE"""),"Daily")</f>
        <v>Daily</v>
      </c>
      <c r="I25" s="1" t="str">
        <f>IFERROR(__xludf.DUMMYFUNCTION("""COMPUTED_VALUE"""),"Drip")</f>
        <v>Drip</v>
      </c>
      <c r="J25" s="1"/>
      <c r="K25" s="1" t="str">
        <f>IFERROR(__xludf.DUMMYFUNCTION("""COMPUTED_VALUE"""),"Rarely")</f>
        <v>Rarely</v>
      </c>
      <c r="L25" s="1" t="str">
        <f>IFERROR(__xludf.DUMMYFUNCTION("""COMPUTED_VALUE"""),"Usucha")</f>
        <v>Usucha</v>
      </c>
      <c r="M25" s="1"/>
      <c r="N25" s="1" t="str">
        <f>IFERROR(__xludf.DUMMYFUNCTION("""COMPUTED_VALUE"""),"Energy boost/Caffeine, Routine/Ritual")</f>
        <v>Energy boost/Caffeine, Routine/Ritual</v>
      </c>
      <c r="O25" s="1"/>
      <c r="P25" s="1" t="str">
        <f>IFERROR(__xludf.DUMMYFUNCTION("""COMPUTED_VALUE"""),"At home")</f>
        <v>At home</v>
      </c>
      <c r="Q25" s="1"/>
      <c r="R25" s="1" t="str">
        <f>IFERROR(__xludf.DUMMYFUNCTION("""COMPUTED_VALUE"""),"Rarely")</f>
        <v>Rarely</v>
      </c>
      <c r="S25" s="1"/>
      <c r="T25" s="1"/>
      <c r="U25" s="1"/>
      <c r="V25" s="1"/>
      <c r="W25" s="1" t="str">
        <f>IFERROR(__xludf.DUMMYFUNCTION("""COMPUTED_VALUE"""),"No")</f>
        <v>No</v>
      </c>
      <c r="X25" s="1" t="str">
        <f>IFERROR(__xludf.DUMMYFUNCTION("""COMPUTED_VALUE"""),"Yes,  Japanese")</f>
        <v>Yes,  Japanese</v>
      </c>
      <c r="Y25" s="1">
        <f>IFERROR(__xludf.DUMMYFUNCTION("""COMPUTED_VALUE"""),6.0)</f>
        <v>6</v>
      </c>
      <c r="Z25" s="1">
        <f>IFERROR(__xludf.DUMMYFUNCTION("""COMPUTED_VALUE"""),7.0)</f>
        <v>7</v>
      </c>
      <c r="AA25" s="1">
        <f>IFERROR(__xludf.DUMMYFUNCTION("""COMPUTED_VALUE"""),3.0)</f>
        <v>3</v>
      </c>
      <c r="AB25" s="1" t="str">
        <f>IFERROR(__xludf.DUMMYFUNCTION("""COMPUTED_VALUE"""),"No")</f>
        <v>No</v>
      </c>
      <c r="AC25" s="1"/>
    </row>
    <row r="26">
      <c r="A26" s="1" t="str">
        <f>IFERROR(__xludf.DUMMYFUNCTION("""COMPUTED_VALUE"""),"Np1xMBB")</f>
        <v>Np1xMBB</v>
      </c>
      <c r="B26" s="1" t="str">
        <f>IFERROR(__xludf.DUMMYFUNCTION("""COMPUTED_VALUE"""),"vGypYa0")</f>
        <v>vGypYa0</v>
      </c>
      <c r="C26" s="5">
        <f>IFERROR(__xludf.DUMMYFUNCTION("""COMPUTED_VALUE"""),46035.538877314815)</f>
        <v>46035.53888</v>
      </c>
      <c r="D26" s="1" t="str">
        <f>IFERROR(__xludf.DUMMYFUNCTION("""COMPUTED_VALUE"""),"36-45")</f>
        <v>36-45</v>
      </c>
      <c r="E26" s="1" t="str">
        <f>IFERROR(__xludf.DUMMYFUNCTION("""COMPUTED_VALUE"""),"Female")</f>
        <v>Female</v>
      </c>
      <c r="F26" s="1" t="str">
        <f>IFERROR(__xludf.DUMMYFUNCTION("""COMPUTED_VALUE"""),"¥12,000,000 or more")</f>
        <v>¥12,000,000 or more</v>
      </c>
      <c r="G26" s="1" t="str">
        <f>IFERROR(__xludf.DUMMYFUNCTION("""COMPUTED_VALUE"""),"Kanto")</f>
        <v>Kanto</v>
      </c>
      <c r="H26" s="1" t="str">
        <f>IFERROR(__xludf.DUMMYFUNCTION("""COMPUTED_VALUE"""),"Daily")</f>
        <v>Daily</v>
      </c>
      <c r="I26" s="1" t="str">
        <f>IFERROR(__xludf.DUMMYFUNCTION("""COMPUTED_VALUE"""),"Latte")</f>
        <v>Latte</v>
      </c>
      <c r="J26" s="1"/>
      <c r="K26" s="1" t="str">
        <f>IFERROR(__xludf.DUMMYFUNCTION("""COMPUTED_VALUE"""),"Rarely")</f>
        <v>Rarely</v>
      </c>
      <c r="L26" s="1" t="str">
        <f>IFERROR(__xludf.DUMMYFUNCTION("""COMPUTED_VALUE"""),"Matcha Latte")</f>
        <v>Matcha Latte</v>
      </c>
      <c r="M26" s="1"/>
      <c r="N26" s="1" t="str">
        <f>IFERROR(__xludf.DUMMYFUNCTION("""COMPUTED_VALUE"""),"Taste/Flavor, Routine/Ritual")</f>
        <v>Taste/Flavor, Routine/Ritual</v>
      </c>
      <c r="O26" s="1"/>
      <c r="P26" s="1" t="str">
        <f>IFERROR(__xludf.DUMMYFUNCTION("""COMPUTED_VALUE"""),"At home, At cafés")</f>
        <v>At home, At cafés</v>
      </c>
      <c r="Q26" s="1"/>
      <c r="R26" s="1" t="str">
        <f>IFERROR(__xludf.DUMMYFUNCTION("""COMPUTED_VALUE"""),"Several times a week")</f>
        <v>Several times a week</v>
      </c>
      <c r="S26" s="1" t="str">
        <f>IFERROR(__xludf.DUMMYFUNCTION("""COMPUTED_VALUE"""),"To meet friends")</f>
        <v>To meet friends</v>
      </c>
      <c r="T26" s="1"/>
      <c r="U26" s="1" t="str">
        <f>IFERROR(__xludf.DUMMYFUNCTION("""COMPUTED_VALUE"""),"Atmosphere")</f>
        <v>Atmosphere</v>
      </c>
      <c r="V26" s="1"/>
      <c r="W26" s="1" t="str">
        <f>IFERROR(__xludf.DUMMYFUNCTION("""COMPUTED_VALUE"""),"Yes, Western")</f>
        <v>Yes, Western</v>
      </c>
      <c r="X26" s="1" t="str">
        <f>IFERROR(__xludf.DUMMYFUNCTION("""COMPUTED_VALUE"""),"Yes,  Japanese")</f>
        <v>Yes,  Japanese</v>
      </c>
      <c r="Y26" s="1">
        <f>IFERROR(__xludf.DUMMYFUNCTION("""COMPUTED_VALUE"""),5.0)</f>
        <v>5</v>
      </c>
      <c r="Z26" s="1">
        <f>IFERROR(__xludf.DUMMYFUNCTION("""COMPUTED_VALUE"""),7.0)</f>
        <v>7</v>
      </c>
      <c r="AA26" s="1">
        <f>IFERROR(__xludf.DUMMYFUNCTION("""COMPUTED_VALUE"""),6.0)</f>
        <v>6</v>
      </c>
      <c r="AB26" s="1" t="str">
        <f>IFERROR(__xludf.DUMMYFUNCTION("""COMPUTED_VALUE"""),"Yes")</f>
        <v>Yes</v>
      </c>
      <c r="AC26" s="1"/>
    </row>
    <row r="27">
      <c r="A27" s="1" t="str">
        <f>IFERROR(__xludf.DUMMYFUNCTION("""COMPUTED_VALUE"""),"0QRRDM9")</f>
        <v>0QRRDM9</v>
      </c>
      <c r="B27" s="1" t="str">
        <f>IFERROR(__xludf.DUMMYFUNCTION("""COMPUTED_VALUE"""),"Pd5ezN5")</f>
        <v>Pd5ezN5</v>
      </c>
      <c r="C27" s="5">
        <f>IFERROR(__xludf.DUMMYFUNCTION("""COMPUTED_VALUE"""),46035.88854166667)</f>
        <v>46035.88854</v>
      </c>
      <c r="D27" s="1" t="str">
        <f>IFERROR(__xludf.DUMMYFUNCTION("""COMPUTED_VALUE"""),"18-25")</f>
        <v>18-25</v>
      </c>
      <c r="E27" s="1" t="str">
        <f>IFERROR(__xludf.DUMMYFUNCTION("""COMPUTED_VALUE"""),"Female")</f>
        <v>Female</v>
      </c>
      <c r="F27" s="1" t="str">
        <f>IFERROR(__xludf.DUMMYFUNCTION("""COMPUTED_VALUE"""),"Under ¥3,000,000")</f>
        <v>Under ¥3,000,000</v>
      </c>
      <c r="G27" s="1" t="str">
        <f>IFERROR(__xludf.DUMMYFUNCTION("""COMPUTED_VALUE"""),"Kanto")</f>
        <v>Kanto</v>
      </c>
      <c r="H27" s="1" t="str">
        <f>IFERROR(__xludf.DUMMYFUNCTION("""COMPUTED_VALUE"""),"Rarely")</f>
        <v>Rarely</v>
      </c>
      <c r="I27" s="1" t="str">
        <f>IFERROR(__xludf.DUMMYFUNCTION("""COMPUTED_VALUE"""),"Latte")</f>
        <v>Latte</v>
      </c>
      <c r="J27" s="1"/>
      <c r="K27" s="1" t="str">
        <f>IFERROR(__xludf.DUMMYFUNCTION("""COMPUTED_VALUE"""),"Rarely")</f>
        <v>Rarely</v>
      </c>
      <c r="L27" s="1" t="str">
        <f>IFERROR(__xludf.DUMMYFUNCTION("""COMPUTED_VALUE"""),"Matcha Latte")</f>
        <v>Matcha Latte</v>
      </c>
      <c r="M27" s="1"/>
      <c r="N27" s="1" t="str">
        <f>IFERROR(__xludf.DUMMYFUNCTION("""COMPUTED_VALUE"""),"Taste/Flavor, Price")</f>
        <v>Taste/Flavor, Price</v>
      </c>
      <c r="O27" s="1"/>
      <c r="P27" s="1" t="str">
        <f>IFERROR(__xludf.DUMMYFUNCTION("""COMPUTED_VALUE"""),"At cafés")</f>
        <v>At cafés</v>
      </c>
      <c r="Q27" s="1"/>
      <c r="R27" s="1" t="str">
        <f>IFERROR(__xludf.DUMMYFUNCTION("""COMPUTED_VALUE"""),"A few times a month")</f>
        <v>A few times a month</v>
      </c>
      <c r="S27" s="1" t="str">
        <f>IFERROR(__xludf.DUMMYFUNCTION("""COMPUTED_VALUE"""),"To meet friends")</f>
        <v>To meet friends</v>
      </c>
      <c r="T27" s="1"/>
      <c r="U27" s="1" t="str">
        <f>IFERROR(__xludf.DUMMYFUNCTION("""COMPUTED_VALUE"""),"Atmosphere")</f>
        <v>Atmosphere</v>
      </c>
      <c r="V27" s="1"/>
      <c r="W27" s="1" t="str">
        <f>IFERROR(__xludf.DUMMYFUNCTION("""COMPUTED_VALUE"""),"Yes, Western")</f>
        <v>Yes, Western</v>
      </c>
      <c r="X27" s="1" t="str">
        <f>IFERROR(__xludf.DUMMYFUNCTION("""COMPUTED_VALUE"""),"Yes,  Japanese")</f>
        <v>Yes,  Japanese</v>
      </c>
      <c r="Y27" s="1">
        <f>IFERROR(__xludf.DUMMYFUNCTION("""COMPUTED_VALUE"""),5.0)</f>
        <v>5</v>
      </c>
      <c r="Z27" s="1">
        <f>IFERROR(__xludf.DUMMYFUNCTION("""COMPUTED_VALUE"""),6.0)</f>
        <v>6</v>
      </c>
      <c r="AA27" s="1">
        <f>IFERROR(__xludf.DUMMYFUNCTION("""COMPUTED_VALUE"""),6.0)</f>
        <v>6</v>
      </c>
      <c r="AB27" s="1" t="str">
        <f>IFERROR(__xludf.DUMMYFUNCTION("""COMPUTED_VALUE"""),"Yes")</f>
        <v>Yes</v>
      </c>
      <c r="AC27" s="1"/>
    </row>
    <row r="28">
      <c r="A28" s="1" t="str">
        <f>IFERROR(__xludf.DUMMYFUNCTION("""COMPUTED_VALUE"""),"jaAVL44")</f>
        <v>jaAVL44</v>
      </c>
      <c r="B28" s="1" t="str">
        <f>IFERROR(__xludf.DUMMYFUNCTION("""COMPUTED_VALUE"""),"2ENyYKL")</f>
        <v>2ENyYKL</v>
      </c>
      <c r="C28" s="5">
        <f>IFERROR(__xludf.DUMMYFUNCTION("""COMPUTED_VALUE"""),46036.025509259256)</f>
        <v>46036.02551</v>
      </c>
      <c r="D28" s="1" t="str">
        <f>IFERROR(__xludf.DUMMYFUNCTION("""COMPUTED_VALUE"""),"36-45")</f>
        <v>36-45</v>
      </c>
      <c r="E28" s="1" t="str">
        <f>IFERROR(__xludf.DUMMYFUNCTION("""COMPUTED_VALUE"""),"Female")</f>
        <v>Female</v>
      </c>
      <c r="F28" s="1" t="str">
        <f>IFERROR(__xludf.DUMMYFUNCTION("""COMPUTED_VALUE"""),"Under ¥3,000,000")</f>
        <v>Under ¥3,000,000</v>
      </c>
      <c r="G28" s="1" t="str">
        <f>IFERROR(__xludf.DUMMYFUNCTION("""COMPUTED_VALUE"""),"Kanto")</f>
        <v>Kanto</v>
      </c>
      <c r="H28" s="1" t="str">
        <f>IFERROR(__xludf.DUMMYFUNCTION("""COMPUTED_VALUE"""),"Daily")</f>
        <v>Daily</v>
      </c>
      <c r="I28" s="1" t="str">
        <f>IFERROR(__xludf.DUMMYFUNCTION("""COMPUTED_VALUE"""),"Drip")</f>
        <v>Drip</v>
      </c>
      <c r="J28" s="1"/>
      <c r="K28" s="1" t="str">
        <f>IFERROR(__xludf.DUMMYFUNCTION("""COMPUTED_VALUE"""),"Never")</f>
        <v>Never</v>
      </c>
      <c r="L28" s="1"/>
      <c r="M28" s="1"/>
      <c r="N28" s="1" t="str">
        <f>IFERROR(__xludf.DUMMYFUNCTION("""COMPUTED_VALUE"""),"Energy boost/Caffeine, Taste/Flavor")</f>
        <v>Energy boost/Caffeine, Taste/Flavor</v>
      </c>
      <c r="O28" s="1"/>
      <c r="P28" s="1" t="str">
        <f>IFERROR(__xludf.DUMMYFUNCTION("""COMPUTED_VALUE"""),"At cafés, At home, From convenience stores (7-Eleven, Lawson, etc.), From vending machines")</f>
        <v>At cafés, At home, From convenience stores (7-Eleven, Lawson, etc.), From vending machines</v>
      </c>
      <c r="Q28" s="1"/>
      <c r="R28" s="1" t="str">
        <f>IFERROR(__xludf.DUMMYFUNCTION("""COMPUTED_VALUE"""),"Several times a week")</f>
        <v>Several times a week</v>
      </c>
      <c r="S28" s="1" t="str">
        <f>IFERROR(__xludf.DUMMYFUNCTION("""COMPUTED_VALUE"""),"To study/work")</f>
        <v>To study/work</v>
      </c>
      <c r="T28" s="1"/>
      <c r="U28" s="1" t="str">
        <f>IFERROR(__xludf.DUMMYFUNCTION("""COMPUTED_VALUE"""),"Atmosphere")</f>
        <v>Atmosphere</v>
      </c>
      <c r="V28" s="1"/>
      <c r="W28" s="1" t="str">
        <f>IFERROR(__xludf.DUMMYFUNCTION("""COMPUTED_VALUE"""),"Yes, Western")</f>
        <v>Yes, Western</v>
      </c>
      <c r="X28" s="1" t="str">
        <f>IFERROR(__xludf.DUMMYFUNCTION("""COMPUTED_VALUE"""),"Yes,  Japanese")</f>
        <v>Yes,  Japanese</v>
      </c>
      <c r="Y28" s="1">
        <f>IFERROR(__xludf.DUMMYFUNCTION("""COMPUTED_VALUE"""),7.0)</f>
        <v>7</v>
      </c>
      <c r="Z28" s="1">
        <f>IFERROR(__xludf.DUMMYFUNCTION("""COMPUTED_VALUE"""),7.0)</f>
        <v>7</v>
      </c>
      <c r="AA28" s="1">
        <f>IFERROR(__xludf.DUMMYFUNCTION("""COMPUTED_VALUE"""),7.0)</f>
        <v>7</v>
      </c>
      <c r="AB28" s="1" t="str">
        <f>IFERROR(__xludf.DUMMYFUNCTION("""COMPUTED_VALUE"""),"No")</f>
        <v>No</v>
      </c>
      <c r="AC28" s="1"/>
    </row>
    <row r="29">
      <c r="A29" s="1" t="str">
        <f>IFERROR(__xludf.DUMMYFUNCTION("""COMPUTED_VALUE"""),"2EG61yA")</f>
        <v>2EG61yA</v>
      </c>
      <c r="B29" s="1" t="str">
        <f>IFERROR(__xludf.DUMMYFUNCTION("""COMPUTED_VALUE"""),"jaQYAYR")</f>
        <v>jaQYAYR</v>
      </c>
      <c r="C29" s="5">
        <f>IFERROR(__xludf.DUMMYFUNCTION("""COMPUTED_VALUE"""),46036.04703703704)</f>
        <v>46036.04704</v>
      </c>
      <c r="D29" s="1" t="str">
        <f>IFERROR(__xludf.DUMMYFUNCTION("""COMPUTED_VALUE"""),"46-55")</f>
        <v>46-55</v>
      </c>
      <c r="E29" s="1" t="str">
        <f>IFERROR(__xludf.DUMMYFUNCTION("""COMPUTED_VALUE"""),"Female")</f>
        <v>Female</v>
      </c>
      <c r="F29" s="1" t="str">
        <f>IFERROR(__xludf.DUMMYFUNCTION("""COMPUTED_VALUE"""),"¥3,000,000 – ¥5,999,999")</f>
        <v>¥3,000,000 – ¥5,999,999</v>
      </c>
      <c r="G29" s="1" t="str">
        <f>IFERROR(__xludf.DUMMYFUNCTION("""COMPUTED_VALUE"""),"Kanto")</f>
        <v>Kanto</v>
      </c>
      <c r="H29" s="1" t="str">
        <f>IFERROR(__xludf.DUMMYFUNCTION("""COMPUTED_VALUE"""),"Daily")</f>
        <v>Daily</v>
      </c>
      <c r="I29" s="1" t="str">
        <f>IFERROR(__xludf.DUMMYFUNCTION("""COMPUTED_VALUE"""),"Pour Over")</f>
        <v>Pour Over</v>
      </c>
      <c r="J29" s="1"/>
      <c r="K29" s="1" t="str">
        <f>IFERROR(__xludf.DUMMYFUNCTION("""COMPUTED_VALUE"""),"Rarely")</f>
        <v>Rarely</v>
      </c>
      <c r="L29" s="1" t="str">
        <f>IFERROR(__xludf.DUMMYFUNCTION("""COMPUTED_VALUE"""),"Matcha Latte")</f>
        <v>Matcha Latte</v>
      </c>
      <c r="M29" s="1"/>
      <c r="N29" s="1" t="str">
        <f>IFERROR(__xludf.DUMMYFUNCTION("""COMPUTED_VALUE"""),"Time of day")</f>
        <v>Time of day</v>
      </c>
      <c r="O29" s="1" t="str">
        <f>IFERROR(__xludf.DUMMYFUNCTION("""COMPUTED_VALUE"""),"Physical state")</f>
        <v>Physical state</v>
      </c>
      <c r="P29" s="1" t="str">
        <f>IFERROR(__xludf.DUMMYFUNCTION("""COMPUTED_VALUE"""),"At cafés")</f>
        <v>At cafés</v>
      </c>
      <c r="Q29" s="1"/>
      <c r="R29" s="1" t="str">
        <f>IFERROR(__xludf.DUMMYFUNCTION("""COMPUTED_VALUE"""),"A few times a month")</f>
        <v>A few times a month</v>
      </c>
      <c r="S29" s="1" t="str">
        <f>IFERROR(__xludf.DUMMYFUNCTION("""COMPUTED_VALUE"""),"To study/work")</f>
        <v>To study/work</v>
      </c>
      <c r="T29" s="1"/>
      <c r="U29" s="1" t="str">
        <f>IFERROR(__xludf.DUMMYFUNCTION("""COMPUTED_VALUE"""),"Atmosphere")</f>
        <v>Atmosphere</v>
      </c>
      <c r="V29" s="1"/>
      <c r="W29" s="1" t="str">
        <f>IFERROR(__xludf.DUMMYFUNCTION("""COMPUTED_VALUE"""),"Yes, Global")</f>
        <v>Yes, Global</v>
      </c>
      <c r="X29" s="1" t="str">
        <f>IFERROR(__xludf.DUMMYFUNCTION("""COMPUTED_VALUE"""),"Yes,  Japanese")</f>
        <v>Yes,  Japanese</v>
      </c>
      <c r="Y29" s="1">
        <f>IFERROR(__xludf.DUMMYFUNCTION("""COMPUTED_VALUE"""),7.0)</f>
        <v>7</v>
      </c>
      <c r="Z29" s="1">
        <f>IFERROR(__xludf.DUMMYFUNCTION("""COMPUTED_VALUE"""),7.0)</f>
        <v>7</v>
      </c>
      <c r="AA29" s="1">
        <f>IFERROR(__xludf.DUMMYFUNCTION("""COMPUTED_VALUE"""),7.0)</f>
        <v>7</v>
      </c>
      <c r="AB29" s="1" t="str">
        <f>IFERROR(__xludf.DUMMYFUNCTION("""COMPUTED_VALUE"""),"Yes")</f>
        <v>Yes</v>
      </c>
      <c r="AC29" s="1"/>
    </row>
    <row r="30">
      <c r="A30" s="1" t="str">
        <f>IFERROR(__xludf.DUMMYFUNCTION("""COMPUTED_VALUE"""),"dWeyOkr")</f>
        <v>dWeyOkr</v>
      </c>
      <c r="B30" s="1" t="str">
        <f>IFERROR(__xludf.DUMMYFUNCTION("""COMPUTED_VALUE"""),"MezQKo8")</f>
        <v>MezQKo8</v>
      </c>
      <c r="C30" s="5">
        <f>IFERROR(__xludf.DUMMYFUNCTION("""COMPUTED_VALUE"""),46036.105625)</f>
        <v>46036.10563</v>
      </c>
      <c r="D30" s="1" t="str">
        <f>IFERROR(__xludf.DUMMYFUNCTION("""COMPUTED_VALUE"""),"56-65")</f>
        <v>56-65</v>
      </c>
      <c r="E30" s="1" t="str">
        <f>IFERROR(__xludf.DUMMYFUNCTION("""COMPUTED_VALUE"""),"Male")</f>
        <v>Male</v>
      </c>
      <c r="F30" s="1" t="str">
        <f>IFERROR(__xludf.DUMMYFUNCTION("""COMPUTED_VALUE"""),"¥3,000,000 – ¥5,999,999")</f>
        <v>¥3,000,000 – ¥5,999,999</v>
      </c>
      <c r="G30" s="1" t="str">
        <f>IFERROR(__xludf.DUMMYFUNCTION("""COMPUTED_VALUE"""),"Kanto")</f>
        <v>Kanto</v>
      </c>
      <c r="H30" s="1" t="str">
        <f>IFERROR(__xludf.DUMMYFUNCTION("""COMPUTED_VALUE"""),"Daily")</f>
        <v>Daily</v>
      </c>
      <c r="I30" s="1" t="str">
        <f>IFERROR(__xludf.DUMMYFUNCTION("""COMPUTED_VALUE"""),"Latte")</f>
        <v>Latte</v>
      </c>
      <c r="J30" s="1"/>
      <c r="K30" s="1" t="str">
        <f>IFERROR(__xludf.DUMMYFUNCTION("""COMPUTED_VALUE"""),"Rarely")</f>
        <v>Rarely</v>
      </c>
      <c r="L30" s="1" t="str">
        <f>IFERROR(__xludf.DUMMYFUNCTION("""COMPUTED_VALUE"""),"Usucha")</f>
        <v>Usucha</v>
      </c>
      <c r="M30" s="1" t="str">
        <f>IFERROR(__xludf.DUMMYFUNCTION("""COMPUTED_VALUE"""),"I do not drink matcha at home. At a teahouse or tea ceremony, it would be Usucha.")</f>
        <v>I do not drink matcha at home. At a teahouse or tea ceremony, it would be Usucha.</v>
      </c>
      <c r="N30" s="1" t="str">
        <f>IFERROR(__xludf.DUMMYFUNCTION("""COMPUTED_VALUE"""),"Routine/Ritual, When there is nice Wagashi, matcha will be nice. However, at home, we usually drink regular green tea instead.")</f>
        <v>Routine/Ritual, When there is nice Wagashi, matcha will be nice. However, at home, we usually drink regular green tea instead.</v>
      </c>
      <c r="O30" s="1" t="str">
        <f>IFERROR(__xludf.DUMMYFUNCTION("""COMPUTED_VALUE"""),"As far as I know, matcha has become popular among young people in the form of ice cream or shredded ice, rather than taking matcha tea itself.")</f>
        <v>As far as I know, matcha has become popular among young people in the form of ice cream or shredded ice, rather than taking matcha tea itself.</v>
      </c>
      <c r="P30" s="1" t="str">
        <f>IFERROR(__xludf.DUMMYFUNCTION("""COMPUTED_VALUE"""),"At cafés, At home")</f>
        <v>At cafés, At home</v>
      </c>
      <c r="Q30" s="1"/>
      <c r="R30" s="1" t="str">
        <f>IFERROR(__xludf.DUMMYFUNCTION("""COMPUTED_VALUE"""),"A few times a month")</f>
        <v>A few times a month</v>
      </c>
      <c r="S30" s="1" t="str">
        <f>IFERROR(__xludf.DUMMYFUNCTION("""COMPUTED_VALUE"""),"To meet friends")</f>
        <v>To meet friends</v>
      </c>
      <c r="T30" s="1"/>
      <c r="U30" s="1" t="str">
        <f>IFERROR(__xludf.DUMMYFUNCTION("""COMPUTED_VALUE"""),"Quality of drinks")</f>
        <v>Quality of drinks</v>
      </c>
      <c r="V30" s="1"/>
      <c r="W30" s="1" t="str">
        <f>IFERROR(__xludf.DUMMYFUNCTION("""COMPUTED_VALUE"""),"Yes, Global")</f>
        <v>Yes, Global</v>
      </c>
      <c r="X30" s="1" t="str">
        <f>IFERROR(__xludf.DUMMYFUNCTION("""COMPUTED_VALUE"""),"Yes,  Japanese")</f>
        <v>Yes,  Japanese</v>
      </c>
      <c r="Y30" s="1">
        <f>IFERROR(__xludf.DUMMYFUNCTION("""COMPUTED_VALUE"""),7.0)</f>
        <v>7</v>
      </c>
      <c r="Z30" s="1">
        <f>IFERROR(__xludf.DUMMYFUNCTION("""COMPUTED_VALUE"""),7.0)</f>
        <v>7</v>
      </c>
      <c r="AA30" s="1">
        <f>IFERROR(__xludf.DUMMYFUNCTION("""COMPUTED_VALUE"""),5.0)</f>
        <v>5</v>
      </c>
      <c r="AB30" s="1" t="str">
        <f>IFERROR(__xludf.DUMMYFUNCTION("""COMPUTED_VALUE"""),"No")</f>
        <v>No</v>
      </c>
      <c r="AC30" s="1"/>
    </row>
    <row r="31">
      <c r="A31" s="1" t="str">
        <f>IFERROR(__xludf.DUMMYFUNCTION("""COMPUTED_VALUE"""),"44brLkk")</f>
        <v>44brLkk</v>
      </c>
      <c r="B31" s="1" t="str">
        <f>IFERROR(__xludf.DUMMYFUNCTION("""COMPUTED_VALUE"""),"xXaGJly")</f>
        <v>xXaGJly</v>
      </c>
      <c r="C31" s="5">
        <f>IFERROR(__xludf.DUMMYFUNCTION("""COMPUTED_VALUE"""),46038.19315972222)</f>
        <v>46038.19316</v>
      </c>
      <c r="D31" s="1" t="str">
        <f>IFERROR(__xludf.DUMMYFUNCTION("""COMPUTED_VALUE"""),"46-55")</f>
        <v>46-55</v>
      </c>
      <c r="E31" s="1" t="str">
        <f>IFERROR(__xludf.DUMMYFUNCTION("""COMPUTED_VALUE"""),"Male")</f>
        <v>Male</v>
      </c>
      <c r="F31" s="1" t="str">
        <f>IFERROR(__xludf.DUMMYFUNCTION("""COMPUTED_VALUE"""),"¥12,000,000 or more")</f>
        <v>¥12,000,000 or more</v>
      </c>
      <c r="G31" s="1" t="str">
        <f>IFERROR(__xludf.DUMMYFUNCTION("""COMPUTED_VALUE"""),"Kanto")</f>
        <v>Kanto</v>
      </c>
      <c r="H31" s="1" t="str">
        <f>IFERROR(__xludf.DUMMYFUNCTION("""COMPUTED_VALUE"""),"Several times a week")</f>
        <v>Several times a week</v>
      </c>
      <c r="I31" s="1" t="str">
        <f>IFERROR(__xludf.DUMMYFUNCTION("""COMPUTED_VALUE"""),"Drip")</f>
        <v>Drip</v>
      </c>
      <c r="J31" s="1"/>
      <c r="K31" s="1" t="str">
        <f>IFERROR(__xludf.DUMMYFUNCTION("""COMPUTED_VALUE"""),"Rarely")</f>
        <v>Rarely</v>
      </c>
      <c r="L31" s="1" t="str">
        <f>IFERROR(__xludf.DUMMYFUNCTION("""COMPUTED_VALUE"""),"I don’t drink matcha")</f>
        <v>I don’t drink matcha</v>
      </c>
      <c r="M31" s="1"/>
      <c r="N31" s="1" t="str">
        <f>IFERROR(__xludf.DUMMYFUNCTION("""COMPUTED_VALUE"""),"Taste/Flavor")</f>
        <v>Taste/Flavor</v>
      </c>
      <c r="O31" s="1"/>
      <c r="P31" s="1" t="str">
        <f>IFERROR(__xludf.DUMMYFUNCTION("""COMPUTED_VALUE"""),"Other:")</f>
        <v>Other:</v>
      </c>
      <c r="Q31" s="1"/>
      <c r="R31" s="1" t="str">
        <f>IFERROR(__xludf.DUMMYFUNCTION("""COMPUTED_VALUE"""),"Rarely")</f>
        <v>Rarely</v>
      </c>
      <c r="S31" s="1"/>
      <c r="T31" s="1" t="str">
        <f>IFERROR(__xludf.DUMMYFUNCTION("""COMPUTED_VALUE"""),"With family")</f>
        <v>With family</v>
      </c>
      <c r="U31" s="1" t="str">
        <f>IFERROR(__xludf.DUMMYFUNCTION("""COMPUTED_VALUE"""),"Atmosphere")</f>
        <v>Atmosphere</v>
      </c>
      <c r="V31" s="1"/>
      <c r="W31" s="1" t="str">
        <f>IFERROR(__xludf.DUMMYFUNCTION("""COMPUTED_VALUE"""),"No")</f>
        <v>No</v>
      </c>
      <c r="X31" s="1" t="str">
        <f>IFERROR(__xludf.DUMMYFUNCTION("""COMPUTED_VALUE"""),"Yes,  Japanese")</f>
        <v>Yes,  Japanese</v>
      </c>
      <c r="Y31" s="1">
        <f>IFERROR(__xludf.DUMMYFUNCTION("""COMPUTED_VALUE"""),7.0)</f>
        <v>7</v>
      </c>
      <c r="Z31" s="1">
        <f>IFERROR(__xludf.DUMMYFUNCTION("""COMPUTED_VALUE"""),7.0)</f>
        <v>7</v>
      </c>
      <c r="AA31" s="1">
        <f>IFERROR(__xludf.DUMMYFUNCTION("""COMPUTED_VALUE"""),7.0)</f>
        <v>7</v>
      </c>
      <c r="AB31" s="1" t="str">
        <f>IFERROR(__xludf.DUMMYFUNCTION("""COMPUTED_VALUE"""),"No")</f>
        <v>No</v>
      </c>
      <c r="AC31" s="1"/>
    </row>
    <row r="32">
      <c r="A32" s="1" t="str">
        <f>IFERROR(__xludf.DUMMYFUNCTION("""COMPUTED_VALUE"""),"Pdql05e")</f>
        <v>Pdql05e</v>
      </c>
      <c r="B32" s="1" t="str">
        <f>IFERROR(__xludf.DUMMYFUNCTION("""COMPUTED_VALUE"""),"Pd5aGrV")</f>
        <v>Pd5aGrV</v>
      </c>
      <c r="C32" s="5">
        <f>IFERROR(__xludf.DUMMYFUNCTION("""COMPUTED_VALUE"""),46039.00717592592)</f>
        <v>46039.00718</v>
      </c>
      <c r="D32" s="1" t="str">
        <f>IFERROR(__xludf.DUMMYFUNCTION("""COMPUTED_VALUE"""),"65+")</f>
        <v>65+</v>
      </c>
      <c r="E32" s="1" t="str">
        <f>IFERROR(__xludf.DUMMYFUNCTION("""COMPUTED_VALUE"""),"Female")</f>
        <v>Female</v>
      </c>
      <c r="F32" s="1" t="str">
        <f>IFERROR(__xludf.DUMMYFUNCTION("""COMPUTED_VALUE"""),"Prefer not to say")</f>
        <v>Prefer not to say</v>
      </c>
      <c r="G32" s="1" t="str">
        <f>IFERROR(__xludf.DUMMYFUNCTION("""COMPUTED_VALUE"""),"Chubu")</f>
        <v>Chubu</v>
      </c>
      <c r="H32" s="1" t="str">
        <f>IFERROR(__xludf.DUMMYFUNCTION("""COMPUTED_VALUE"""),"Daily")</f>
        <v>Daily</v>
      </c>
      <c r="I32" s="1" t="str">
        <f>IFERROR(__xludf.DUMMYFUNCTION("""COMPUTED_VALUE"""),"Drip")</f>
        <v>Drip</v>
      </c>
      <c r="J32" s="1"/>
      <c r="K32" s="1" t="str">
        <f>IFERROR(__xludf.DUMMYFUNCTION("""COMPUTED_VALUE"""),"Rarely")</f>
        <v>Rarely</v>
      </c>
      <c r="L32" s="1" t="str">
        <f>IFERROR(__xludf.DUMMYFUNCTION("""COMPUTED_VALUE"""),"I don’t drink matcha")</f>
        <v>I don’t drink matcha</v>
      </c>
      <c r="M32" s="1"/>
      <c r="N32" s="1" t="str">
        <f>IFERROR(__xludf.DUMMYFUNCTION("""COMPUTED_VALUE"""),"Energy boost/Caffeine, Routine/Ritual")</f>
        <v>Energy boost/Caffeine, Routine/Ritual</v>
      </c>
      <c r="O32" s="1"/>
      <c r="P32" s="1" t="str">
        <f>IFERROR(__xludf.DUMMYFUNCTION("""COMPUTED_VALUE"""),"From vending machines, At home, At cafés")</f>
        <v>From vending machines, At home, At cafés</v>
      </c>
      <c r="Q32" s="1"/>
      <c r="R32" s="1" t="str">
        <f>IFERROR(__xludf.DUMMYFUNCTION("""COMPUTED_VALUE"""),"Rarely")</f>
        <v>Rarely</v>
      </c>
      <c r="S32" s="1" t="str">
        <f>IFERROR(__xludf.DUMMYFUNCTION("""COMPUTED_VALUE"""),"To relax or take a break")</f>
        <v>To relax or take a break</v>
      </c>
      <c r="T32" s="1"/>
      <c r="U32" s="1" t="str">
        <f>IFERROR(__xludf.DUMMYFUNCTION("""COMPUTED_VALUE"""),"Atmosphere")</f>
        <v>Atmosphere</v>
      </c>
      <c r="V32" s="1"/>
      <c r="W32" s="1" t="str">
        <f>IFERROR(__xludf.DUMMYFUNCTION("""COMPUTED_VALUE"""),"Yes, Western")</f>
        <v>Yes, Western</v>
      </c>
      <c r="X32" s="1" t="str">
        <f>IFERROR(__xludf.DUMMYFUNCTION("""COMPUTED_VALUE"""),"Yes,  Japanese")</f>
        <v>Yes,  Japanese</v>
      </c>
      <c r="Y32" s="1">
        <f>IFERROR(__xludf.DUMMYFUNCTION("""COMPUTED_VALUE"""),7.0)</f>
        <v>7</v>
      </c>
      <c r="Z32" s="1">
        <f>IFERROR(__xludf.DUMMYFUNCTION("""COMPUTED_VALUE"""),7.0)</f>
        <v>7</v>
      </c>
      <c r="AA32" s="1">
        <f>IFERROR(__xludf.DUMMYFUNCTION("""COMPUTED_VALUE"""),7.0)</f>
        <v>7</v>
      </c>
      <c r="AB32" s="1" t="str">
        <f>IFERROR(__xludf.DUMMYFUNCTION("""COMPUTED_VALUE"""),"Yes")</f>
        <v>Yes</v>
      </c>
      <c r="AC32" s="1"/>
    </row>
    <row r="33">
      <c r="A33" s="1" t="str">
        <f>IFERROR(__xludf.DUMMYFUNCTION("""COMPUTED_VALUE"""),"PdqG6Gx")</f>
        <v>PdqG6Gx</v>
      </c>
      <c r="B33" s="1" t="str">
        <f>IFERROR(__xludf.DUMMYFUNCTION("""COMPUTED_VALUE"""),"pbKeEAP")</f>
        <v>pbKeEAP</v>
      </c>
      <c r="C33" s="5">
        <f>IFERROR(__xludf.DUMMYFUNCTION("""COMPUTED_VALUE"""),46040.394224537034)</f>
        <v>46040.39422</v>
      </c>
      <c r="D33" s="1" t="str">
        <f>IFERROR(__xludf.DUMMYFUNCTION("""COMPUTED_VALUE"""),"26-35")</f>
        <v>26-35</v>
      </c>
      <c r="E33" s="1" t="str">
        <f>IFERROR(__xludf.DUMMYFUNCTION("""COMPUTED_VALUE"""),"Male")</f>
        <v>Male</v>
      </c>
      <c r="F33" s="1" t="str">
        <f>IFERROR(__xludf.DUMMYFUNCTION("""COMPUTED_VALUE"""),"Prefer not to say")</f>
        <v>Prefer not to say</v>
      </c>
      <c r="G33" s="1" t="str">
        <f>IFERROR(__xludf.DUMMYFUNCTION("""COMPUTED_VALUE"""),"Kansai")</f>
        <v>Kansai</v>
      </c>
      <c r="H33" s="1" t="str">
        <f>IFERROR(__xludf.DUMMYFUNCTION("""COMPUTED_VALUE"""),"Several times a week")</f>
        <v>Several times a week</v>
      </c>
      <c r="I33" s="1" t="str">
        <f>IFERROR(__xludf.DUMMYFUNCTION("""COMPUTED_VALUE"""),"Cold brew")</f>
        <v>Cold brew</v>
      </c>
      <c r="J33" s="1"/>
      <c r="K33" s="1" t="str">
        <f>IFERROR(__xludf.DUMMYFUNCTION("""COMPUTED_VALUE"""),"Once a week")</f>
        <v>Once a week</v>
      </c>
      <c r="L33" s="1" t="str">
        <f>IFERROR(__xludf.DUMMYFUNCTION("""COMPUTED_VALUE"""),"Matcha Latte")</f>
        <v>Matcha Latte</v>
      </c>
      <c r="M33" s="1"/>
      <c r="N33" s="1" t="str">
        <f>IFERROR(__xludf.DUMMYFUNCTION("""COMPUTED_VALUE"""),"Taste/Flavor, Social atmosphere")</f>
        <v>Taste/Flavor, Social atmosphere</v>
      </c>
      <c r="O33" s="1"/>
      <c r="P33" s="1"/>
      <c r="Q33" s="1"/>
      <c r="R33" s="1" t="str">
        <f>IFERROR(__xludf.DUMMYFUNCTION("""COMPUTED_VALUE"""),"Several times a week")</f>
        <v>Several times a week</v>
      </c>
      <c r="S33" s="1" t="str">
        <f>IFERROR(__xludf.DUMMYFUNCTION("""COMPUTED_VALUE"""),"To relax or take a break")</f>
        <v>To relax or take a break</v>
      </c>
      <c r="T33" s="1"/>
      <c r="U33" s="1" t="str">
        <f>IFERROR(__xludf.DUMMYFUNCTION("""COMPUTED_VALUE"""),"Quality of drinks")</f>
        <v>Quality of drinks</v>
      </c>
      <c r="V33" s="1" t="str">
        <f>IFERROR(__xludf.DUMMYFUNCTION("""COMPUTED_VALUE"""),"And Atmosphere too")</f>
        <v>And Atmosphere too</v>
      </c>
      <c r="W33" s="1" t="str">
        <f>IFERROR(__xludf.DUMMYFUNCTION("""COMPUTED_VALUE"""),"Yes, Global")</f>
        <v>Yes, Global</v>
      </c>
      <c r="X33" s="1" t="str">
        <f>IFERROR(__xludf.DUMMYFUNCTION("""COMPUTED_VALUE"""),"Yes,  Japanese")</f>
        <v>Yes,  Japanese</v>
      </c>
      <c r="Y33" s="1">
        <f>IFERROR(__xludf.DUMMYFUNCTION("""COMPUTED_VALUE"""),6.0)</f>
        <v>6</v>
      </c>
      <c r="Z33" s="1">
        <f>IFERROR(__xludf.DUMMYFUNCTION("""COMPUTED_VALUE"""),6.0)</f>
        <v>6</v>
      </c>
      <c r="AA33" s="1">
        <f>IFERROR(__xludf.DUMMYFUNCTION("""COMPUTED_VALUE"""),5.0)</f>
        <v>5</v>
      </c>
      <c r="AB33" s="1" t="str">
        <f>IFERROR(__xludf.DUMMYFUNCTION("""COMPUTED_VALUE"""),"Yes")</f>
        <v>Yes</v>
      </c>
      <c r="AC33" s="1"/>
    </row>
    <row r="34">
      <c r="A34" s="1" t="str">
        <f>IFERROR(__xludf.DUMMYFUNCTION("""COMPUTED_VALUE"""),"EkOg6Bq")</f>
        <v>EkOg6Bq</v>
      </c>
      <c r="B34" s="1" t="str">
        <f>IFERROR(__xludf.DUMMYFUNCTION("""COMPUTED_VALUE"""),"GxzpdZo")</f>
        <v>GxzpdZo</v>
      </c>
      <c r="C34" s="5">
        <f>IFERROR(__xludf.DUMMYFUNCTION("""COMPUTED_VALUE"""),46041.28030092592)</f>
        <v>46041.2803</v>
      </c>
      <c r="D34" s="1" t="str">
        <f>IFERROR(__xludf.DUMMYFUNCTION("""COMPUTED_VALUE"""),"36-45")</f>
        <v>36-45</v>
      </c>
      <c r="E34" s="1" t="str">
        <f>IFERROR(__xludf.DUMMYFUNCTION("""COMPUTED_VALUE"""),"Female")</f>
        <v>Female</v>
      </c>
      <c r="F34" s="1" t="str">
        <f>IFERROR(__xludf.DUMMYFUNCTION("""COMPUTED_VALUE"""),"¥6,000,000 – ¥8,999,999")</f>
        <v>¥6,000,000 – ¥8,999,999</v>
      </c>
      <c r="G34" s="1" t="str">
        <f>IFERROR(__xludf.DUMMYFUNCTION("""COMPUTED_VALUE"""),"Kanto")</f>
        <v>Kanto</v>
      </c>
      <c r="H34" s="1" t="str">
        <f>IFERROR(__xludf.DUMMYFUNCTION("""COMPUTED_VALUE"""),"Daily")</f>
        <v>Daily</v>
      </c>
      <c r="I34" s="1" t="str">
        <f>IFERROR(__xludf.DUMMYFUNCTION("""COMPUTED_VALUE"""),"Americano")</f>
        <v>Americano</v>
      </c>
      <c r="J34" s="1"/>
      <c r="K34" s="1" t="str">
        <f>IFERROR(__xludf.DUMMYFUNCTION("""COMPUTED_VALUE"""),"Never")</f>
        <v>Never</v>
      </c>
      <c r="L34" s="1"/>
      <c r="M34" s="1"/>
      <c r="N34" s="1" t="str">
        <f>IFERROR(__xludf.DUMMYFUNCTION("""COMPUTED_VALUE"""),"Price, Branding/Imagery")</f>
        <v>Price, Branding/Imagery</v>
      </c>
      <c r="O34" s="1"/>
      <c r="P34" s="1" t="str">
        <f>IFERROR(__xludf.DUMMYFUNCTION("""COMPUTED_VALUE"""),"At cafés, At home, Other:")</f>
        <v>At cafés, At home, Other:</v>
      </c>
      <c r="Q34" s="1" t="str">
        <f>IFERROR(__xludf.DUMMYFUNCTION("""COMPUTED_VALUE"""),"Work ")</f>
        <v>Work </v>
      </c>
      <c r="R34" s="1" t="str">
        <f>IFERROR(__xludf.DUMMYFUNCTION("""COMPUTED_VALUE"""),"Several times a week")</f>
        <v>Several times a week</v>
      </c>
      <c r="S34" s="1" t="str">
        <f>IFERROR(__xludf.DUMMYFUNCTION("""COMPUTED_VALUE"""),"To meet friends")</f>
        <v>To meet friends</v>
      </c>
      <c r="T34" s="1"/>
      <c r="U34" s="1" t="str">
        <f>IFERROR(__xludf.DUMMYFUNCTION("""COMPUTED_VALUE"""),"Atmosphere")</f>
        <v>Atmosphere</v>
      </c>
      <c r="V34" s="1"/>
      <c r="W34" s="1" t="str">
        <f>IFERROR(__xludf.DUMMYFUNCTION("""COMPUTED_VALUE"""),"Yes, Global")</f>
        <v>Yes, Global</v>
      </c>
      <c r="X34" s="1" t="str">
        <f>IFERROR(__xludf.DUMMYFUNCTION("""COMPUTED_VALUE"""),"Yes,  Japanese")</f>
        <v>Yes,  Japanese</v>
      </c>
      <c r="Y34" s="1">
        <f>IFERROR(__xludf.DUMMYFUNCTION("""COMPUTED_VALUE"""),7.0)</f>
        <v>7</v>
      </c>
      <c r="Z34" s="1">
        <f>IFERROR(__xludf.DUMMYFUNCTION("""COMPUTED_VALUE"""),3.0)</f>
        <v>3</v>
      </c>
      <c r="AA34" s="1">
        <f>IFERROR(__xludf.DUMMYFUNCTION("""COMPUTED_VALUE"""),7.0)</f>
        <v>7</v>
      </c>
      <c r="AB34" s="1" t="str">
        <f>IFERROR(__xludf.DUMMYFUNCTION("""COMPUTED_VALUE"""),"Yes")</f>
        <v>Yes</v>
      </c>
      <c r="AC34" s="1"/>
    </row>
    <row r="35">
      <c r="A35" s="1" t="str">
        <f>IFERROR(__xludf.DUMMYFUNCTION("""COMPUTED_VALUE"""),"vG9b9bA")</f>
        <v>vG9b9bA</v>
      </c>
      <c r="B35" s="1" t="str">
        <f>IFERROR(__xludf.DUMMYFUNCTION("""COMPUTED_VALUE"""),"gD0qVrd")</f>
        <v>gD0qVrd</v>
      </c>
      <c r="C35" s="5">
        <f>IFERROR(__xludf.DUMMYFUNCTION("""COMPUTED_VALUE"""),46041.41137731481)</f>
        <v>46041.41138</v>
      </c>
      <c r="D35" s="1" t="str">
        <f>IFERROR(__xludf.DUMMYFUNCTION("""COMPUTED_VALUE"""),"36-45")</f>
        <v>36-45</v>
      </c>
      <c r="E35" s="1" t="str">
        <f>IFERROR(__xludf.DUMMYFUNCTION("""COMPUTED_VALUE"""),"Female")</f>
        <v>Female</v>
      </c>
      <c r="F35" s="1" t="str">
        <f>IFERROR(__xludf.DUMMYFUNCTION("""COMPUTED_VALUE"""),"¥3,000,000 – ¥5,999,999")</f>
        <v>¥3,000,000 – ¥5,999,999</v>
      </c>
      <c r="G35" s="1" t="str">
        <f>IFERROR(__xludf.DUMMYFUNCTION("""COMPUTED_VALUE"""),"Kanto")</f>
        <v>Kanto</v>
      </c>
      <c r="H35" s="1" t="str">
        <f>IFERROR(__xludf.DUMMYFUNCTION("""COMPUTED_VALUE"""),"Rarely")</f>
        <v>Rarely</v>
      </c>
      <c r="I35" s="1" t="str">
        <f>IFERROR(__xludf.DUMMYFUNCTION("""COMPUTED_VALUE"""),"Latte")</f>
        <v>Latte</v>
      </c>
      <c r="J35" s="1"/>
      <c r="K35" s="1" t="str">
        <f>IFERROR(__xludf.DUMMYFUNCTION("""COMPUTED_VALUE"""),"Never")</f>
        <v>Never</v>
      </c>
      <c r="L35" s="1"/>
      <c r="M35" s="1"/>
      <c r="N35" s="1" t="str">
        <f>IFERROR(__xludf.DUMMYFUNCTION("""COMPUTED_VALUE"""),"Energy boost/Caffeine, Taste/Flavor")</f>
        <v>Energy boost/Caffeine, Taste/Flavor</v>
      </c>
      <c r="O35" s="1"/>
      <c r="P35" s="1" t="str">
        <f>IFERROR(__xludf.DUMMYFUNCTION("""COMPUTED_VALUE"""),"At cafés")</f>
        <v>At cafés</v>
      </c>
      <c r="Q35" s="1"/>
      <c r="R35" s="1" t="str">
        <f>IFERROR(__xludf.DUMMYFUNCTION("""COMPUTED_VALUE"""),"Rarely")</f>
        <v>Rarely</v>
      </c>
      <c r="S35" s="1" t="str">
        <f>IFERROR(__xludf.DUMMYFUNCTION("""COMPUTED_VALUE"""),"To meet friends")</f>
        <v>To meet friends</v>
      </c>
      <c r="T35" s="1"/>
      <c r="U35" s="1" t="str">
        <f>IFERROR(__xludf.DUMMYFUNCTION("""COMPUTED_VALUE"""),"Quality of drinks")</f>
        <v>Quality of drinks</v>
      </c>
      <c r="V35" s="1"/>
      <c r="W35" s="1" t="str">
        <f>IFERROR(__xludf.DUMMYFUNCTION("""COMPUTED_VALUE"""),"Yes, Global")</f>
        <v>Yes, Global</v>
      </c>
      <c r="X35" s="1" t="str">
        <f>IFERROR(__xludf.DUMMYFUNCTION("""COMPUTED_VALUE"""),"Yes,  Japanese")</f>
        <v>Yes,  Japanese</v>
      </c>
      <c r="Y35" s="1">
        <f>IFERROR(__xludf.DUMMYFUNCTION("""COMPUTED_VALUE"""),6.0)</f>
        <v>6</v>
      </c>
      <c r="Z35" s="1">
        <f>IFERROR(__xludf.DUMMYFUNCTION("""COMPUTED_VALUE"""),7.0)</f>
        <v>7</v>
      </c>
      <c r="AA35" s="1">
        <f>IFERROR(__xludf.DUMMYFUNCTION("""COMPUTED_VALUE"""),7.0)</f>
        <v>7</v>
      </c>
      <c r="AB35" s="1" t="str">
        <f>IFERROR(__xludf.DUMMYFUNCTION("""COMPUTED_VALUE"""),"No")</f>
        <v>No</v>
      </c>
      <c r="AC35" s="1"/>
    </row>
    <row r="36">
      <c r="A36" s="1" t="str">
        <f>IFERROR(__xludf.DUMMYFUNCTION("""COMPUTED_VALUE"""),"5BAD77Z")</f>
        <v>5BAD77Z</v>
      </c>
      <c r="B36" s="1" t="str">
        <f>IFERROR(__xludf.DUMMYFUNCTION("""COMPUTED_VALUE"""),"81KZe5x")</f>
        <v>81KZe5x</v>
      </c>
      <c r="C36" s="5">
        <f>IFERROR(__xludf.DUMMYFUNCTION("""COMPUTED_VALUE"""),46041.52307870371)</f>
        <v>46041.52308</v>
      </c>
      <c r="D36" s="1" t="str">
        <f>IFERROR(__xludf.DUMMYFUNCTION("""COMPUTED_VALUE"""),"26-35")</f>
        <v>26-35</v>
      </c>
      <c r="E36" s="1" t="str">
        <f>IFERROR(__xludf.DUMMYFUNCTION("""COMPUTED_VALUE"""),"Male")</f>
        <v>Male</v>
      </c>
      <c r="F36" s="1" t="str">
        <f>IFERROR(__xludf.DUMMYFUNCTION("""COMPUTED_VALUE"""),"¥12,000,000 or more")</f>
        <v>¥12,000,000 or more</v>
      </c>
      <c r="G36" s="1" t="str">
        <f>IFERROR(__xludf.DUMMYFUNCTION("""COMPUTED_VALUE"""),"Kanto")</f>
        <v>Kanto</v>
      </c>
      <c r="H36" s="1" t="str">
        <f>IFERROR(__xludf.DUMMYFUNCTION("""COMPUTED_VALUE"""),"Several times a week")</f>
        <v>Several times a week</v>
      </c>
      <c r="I36" s="1" t="str">
        <f>IFERROR(__xludf.DUMMYFUNCTION("""COMPUTED_VALUE"""),"Drip")</f>
        <v>Drip</v>
      </c>
      <c r="J36" s="1"/>
      <c r="K36" s="1" t="str">
        <f>IFERROR(__xludf.DUMMYFUNCTION("""COMPUTED_VALUE"""),"Never")</f>
        <v>Never</v>
      </c>
      <c r="L36" s="1"/>
      <c r="M36" s="1"/>
      <c r="N36" s="1" t="str">
        <f>IFERROR(__xludf.DUMMYFUNCTION("""COMPUTED_VALUE"""),"Energy boost/Caffeine, Taste/Flavor")</f>
        <v>Energy boost/Caffeine, Taste/Flavor</v>
      </c>
      <c r="O36" s="1"/>
      <c r="P36" s="1" t="str">
        <f>IFERROR(__xludf.DUMMYFUNCTION("""COMPUTED_VALUE"""),"At cafés, At home, From convenience stores (7-Eleven, Lawson, etc.), From vending machines")</f>
        <v>At cafés, At home, From convenience stores (7-Eleven, Lawson, etc.), From vending machines</v>
      </c>
      <c r="Q36" s="1"/>
      <c r="R36" s="1" t="str">
        <f>IFERROR(__xludf.DUMMYFUNCTION("""COMPUTED_VALUE"""),"Several times a week")</f>
        <v>Several times a week</v>
      </c>
      <c r="S36" s="1" t="str">
        <f>IFERROR(__xludf.DUMMYFUNCTION("""COMPUTED_VALUE"""),"To study/work")</f>
        <v>To study/work</v>
      </c>
      <c r="T36" s="1"/>
      <c r="U36" s="1" t="str">
        <f>IFERROR(__xludf.DUMMYFUNCTION("""COMPUTED_VALUE"""),"Atmosphere")</f>
        <v>Atmosphere</v>
      </c>
      <c r="V36" s="1"/>
      <c r="W36" s="1" t="str">
        <f>IFERROR(__xludf.DUMMYFUNCTION("""COMPUTED_VALUE"""),"Yes, Western")</f>
        <v>Yes, Western</v>
      </c>
      <c r="X36" s="1" t="str">
        <f>IFERROR(__xludf.DUMMYFUNCTION("""COMPUTED_VALUE"""),"Yes,  Japanese")</f>
        <v>Yes,  Japanese</v>
      </c>
      <c r="Y36" s="1">
        <f>IFERROR(__xludf.DUMMYFUNCTION("""COMPUTED_VALUE"""),5.0)</f>
        <v>5</v>
      </c>
      <c r="Z36" s="1">
        <f>IFERROR(__xludf.DUMMYFUNCTION("""COMPUTED_VALUE"""),6.0)</f>
        <v>6</v>
      </c>
      <c r="AA36" s="1">
        <f>IFERROR(__xludf.DUMMYFUNCTION("""COMPUTED_VALUE"""),6.0)</f>
        <v>6</v>
      </c>
      <c r="AB36" s="1" t="str">
        <f>IFERROR(__xludf.DUMMYFUNCTION("""COMPUTED_VALUE"""),"Yes")</f>
        <v>Yes</v>
      </c>
      <c r="AC36" s="1"/>
    </row>
    <row r="37">
      <c r="A37" s="1" t="str">
        <f>IFERROR(__xludf.DUMMYFUNCTION("""COMPUTED_VALUE"""),"obPdBV1")</f>
        <v>obPdBV1</v>
      </c>
      <c r="B37" s="1" t="str">
        <f>IFERROR(__xludf.DUMMYFUNCTION("""COMPUTED_VALUE"""),"1AlOr7M")</f>
        <v>1AlOr7M</v>
      </c>
      <c r="C37" s="5">
        <f>IFERROR(__xludf.DUMMYFUNCTION("""COMPUTED_VALUE"""),46045.92815972222)</f>
        <v>46045.92816</v>
      </c>
      <c r="D37" s="1" t="str">
        <f>IFERROR(__xludf.DUMMYFUNCTION("""COMPUTED_VALUE"""),"26-35")</f>
        <v>26-35</v>
      </c>
      <c r="E37" s="1" t="str">
        <f>IFERROR(__xludf.DUMMYFUNCTION("""COMPUTED_VALUE"""),"Female")</f>
        <v>Female</v>
      </c>
      <c r="F37" s="1" t="str">
        <f>IFERROR(__xludf.DUMMYFUNCTION("""COMPUTED_VALUE"""),"¥6,000,000 – ¥8,999,999")</f>
        <v>¥6,000,000 – ¥8,999,999</v>
      </c>
      <c r="G37" s="1" t="str">
        <f>IFERROR(__xludf.DUMMYFUNCTION("""COMPUTED_VALUE"""),"Kansai")</f>
        <v>Kansai</v>
      </c>
      <c r="H37" s="1" t="str">
        <f>IFERROR(__xludf.DUMMYFUNCTION("""COMPUTED_VALUE"""),"Several times a week")</f>
        <v>Several times a week</v>
      </c>
      <c r="I37" s="1" t="str">
        <f>IFERROR(__xludf.DUMMYFUNCTION("""COMPUTED_VALUE"""),"Drip")</f>
        <v>Drip</v>
      </c>
      <c r="J37" s="1"/>
      <c r="K37" s="1" t="str">
        <f>IFERROR(__xludf.DUMMYFUNCTION("""COMPUTED_VALUE"""),"Rarely")</f>
        <v>Rarely</v>
      </c>
      <c r="L37" s="1" t="str">
        <f>IFERROR(__xludf.DUMMYFUNCTION("""COMPUTED_VALUE"""),"Matcha Latte")</f>
        <v>Matcha Latte</v>
      </c>
      <c r="M37" s="1"/>
      <c r="N37" s="1" t="str">
        <f>IFERROR(__xludf.DUMMYFUNCTION("""COMPUTED_VALUE"""),"Taste/Flavor, To try new things")</f>
        <v>Taste/Flavor, To try new things</v>
      </c>
      <c r="O37" s="1"/>
      <c r="P37" s="1" t="str">
        <f>IFERROR(__xludf.DUMMYFUNCTION("""COMPUTED_VALUE"""),"At cafés, At home")</f>
        <v>At cafés, At home</v>
      </c>
      <c r="Q37" s="1"/>
      <c r="R37" s="1" t="str">
        <f>IFERROR(__xludf.DUMMYFUNCTION("""COMPUTED_VALUE"""),"A few times a month")</f>
        <v>A few times a month</v>
      </c>
      <c r="S37" s="1" t="str">
        <f>IFERROR(__xludf.DUMMYFUNCTION("""COMPUTED_VALUE"""),"To try a new drink")</f>
        <v>To try a new drink</v>
      </c>
      <c r="T37" s="1"/>
      <c r="U37" s="1" t="str">
        <f>IFERROR(__xludf.DUMMYFUNCTION("""COMPUTED_VALUE"""),"Quality of drinks")</f>
        <v>Quality of drinks</v>
      </c>
      <c r="V37" s="1"/>
      <c r="W37" s="1" t="str">
        <f>IFERROR(__xludf.DUMMYFUNCTION("""COMPUTED_VALUE"""),"No")</f>
        <v>No</v>
      </c>
      <c r="X37" s="1" t="str">
        <f>IFERROR(__xludf.DUMMYFUNCTION("""COMPUTED_VALUE"""),"Yes,  Japanese")</f>
        <v>Yes,  Japanese</v>
      </c>
      <c r="Y37" s="1">
        <f>IFERROR(__xludf.DUMMYFUNCTION("""COMPUTED_VALUE"""),7.0)</f>
        <v>7</v>
      </c>
      <c r="Z37" s="1">
        <f>IFERROR(__xludf.DUMMYFUNCTION("""COMPUTED_VALUE"""),3.0)</f>
        <v>3</v>
      </c>
      <c r="AA37" s="1">
        <f>IFERROR(__xludf.DUMMYFUNCTION("""COMPUTED_VALUE"""),7.0)</f>
        <v>7</v>
      </c>
      <c r="AB37" s="1" t="str">
        <f>IFERROR(__xludf.DUMMYFUNCTION("""COMPUTED_VALUE"""),"Yes")</f>
        <v>Yes</v>
      </c>
      <c r="AC37" s="1"/>
    </row>
    <row r="38">
      <c r="A38" s="1" t="str">
        <f>IFERROR(__xludf.DUMMYFUNCTION("""COMPUTED_VALUE"""),"kdogErJ")</f>
        <v>kdogErJ</v>
      </c>
      <c r="B38" s="1" t="str">
        <f>IFERROR(__xludf.DUMMYFUNCTION("""COMPUTED_VALUE"""),"ZjNkrLv")</f>
        <v>ZjNkrLv</v>
      </c>
      <c r="C38" s="5">
        <f>IFERROR(__xludf.DUMMYFUNCTION("""COMPUTED_VALUE"""),46048.16440972222)</f>
        <v>46048.16441</v>
      </c>
      <c r="D38" s="1" t="str">
        <f>IFERROR(__xludf.DUMMYFUNCTION("""COMPUTED_VALUE"""),"56-65")</f>
        <v>56-65</v>
      </c>
      <c r="E38" s="1" t="str">
        <f>IFERROR(__xludf.DUMMYFUNCTION("""COMPUTED_VALUE"""),"Male")</f>
        <v>Male</v>
      </c>
      <c r="F38" s="1" t="str">
        <f>IFERROR(__xludf.DUMMYFUNCTION("""COMPUTED_VALUE"""),"Prefer not to say")</f>
        <v>Prefer not to say</v>
      </c>
      <c r="G38" s="1" t="str">
        <f>IFERROR(__xludf.DUMMYFUNCTION("""COMPUTED_VALUE"""),"Kansai")</f>
        <v>Kansai</v>
      </c>
      <c r="H38" s="1" t="str">
        <f>IFERROR(__xludf.DUMMYFUNCTION("""COMPUTED_VALUE"""),"Daily")</f>
        <v>Daily</v>
      </c>
      <c r="I38" s="1" t="str">
        <f>IFERROR(__xludf.DUMMYFUNCTION("""COMPUTED_VALUE"""),"Drip")</f>
        <v>Drip</v>
      </c>
      <c r="J38" s="1"/>
      <c r="K38" s="1" t="str">
        <f>IFERROR(__xludf.DUMMYFUNCTION("""COMPUTED_VALUE"""),"Once a week")</f>
        <v>Once a week</v>
      </c>
      <c r="L38" s="1" t="str">
        <f>IFERROR(__xludf.DUMMYFUNCTION("""COMPUTED_VALUE"""),"Matcha Latte")</f>
        <v>Matcha Latte</v>
      </c>
      <c r="M38" s="1"/>
      <c r="N38" s="1" t="str">
        <f>IFERROR(__xludf.DUMMYFUNCTION("""COMPUTED_VALUE"""),"because I feel like drinking it at the time")</f>
        <v>because I feel like drinking it at the time</v>
      </c>
      <c r="O38" s="1"/>
      <c r="P38" s="1" t="str">
        <f>IFERROR(__xludf.DUMMYFUNCTION("""COMPUTED_VALUE"""),"At cafés, At home")</f>
        <v>At cafés, At home</v>
      </c>
      <c r="Q38" s="1"/>
      <c r="R38" s="1" t="str">
        <f>IFERROR(__xludf.DUMMYFUNCTION("""COMPUTED_VALUE"""),"Once a week")</f>
        <v>Once a week</v>
      </c>
      <c r="S38" s="1" t="str">
        <f>IFERROR(__xludf.DUMMYFUNCTION("""COMPUTED_VALUE"""),"To meet friends")</f>
        <v>To meet friends</v>
      </c>
      <c r="T38" s="1"/>
      <c r="U38" s="1" t="str">
        <f>IFERROR(__xludf.DUMMYFUNCTION("""COMPUTED_VALUE"""),"Quality of drinks")</f>
        <v>Quality of drinks</v>
      </c>
      <c r="V38" s="1"/>
      <c r="W38" s="1" t="str">
        <f>IFERROR(__xludf.DUMMYFUNCTION("""COMPUTED_VALUE"""),"No")</f>
        <v>No</v>
      </c>
      <c r="X38" s="1" t="str">
        <f>IFERROR(__xludf.DUMMYFUNCTION("""COMPUTED_VALUE"""),"No")</f>
        <v>No</v>
      </c>
      <c r="Y38" s="1">
        <f>IFERROR(__xludf.DUMMYFUNCTION("""COMPUTED_VALUE"""),7.0)</f>
        <v>7</v>
      </c>
      <c r="Z38" s="1">
        <f>IFERROR(__xludf.DUMMYFUNCTION("""COMPUTED_VALUE"""),2.0)</f>
        <v>2</v>
      </c>
      <c r="AA38" s="1">
        <f>IFERROR(__xludf.DUMMYFUNCTION("""COMPUTED_VALUE"""),7.0)</f>
        <v>7</v>
      </c>
      <c r="AB38" s="1" t="str">
        <f>IFERROR(__xludf.DUMMYFUNCTION("""COMPUTED_VALUE"""),"No")</f>
        <v>No</v>
      </c>
      <c r="AC38" s="1"/>
    </row>
    <row r="39">
      <c r="A39" s="1" t="str">
        <f>IFERROR(__xludf.DUMMYFUNCTION("""COMPUTED_VALUE"""),"4465L9Y")</f>
        <v>4465L9Y</v>
      </c>
      <c r="B39" s="1" t="str">
        <f>IFERROR(__xludf.DUMMYFUNCTION("""COMPUTED_VALUE"""),"QKD6jZG")</f>
        <v>QKD6jZG</v>
      </c>
      <c r="C39" s="5">
        <f>IFERROR(__xludf.DUMMYFUNCTION("""COMPUTED_VALUE"""),46050.18612268518)</f>
        <v>46050.18612</v>
      </c>
      <c r="D39" s="1" t="str">
        <f>IFERROR(__xludf.DUMMYFUNCTION("""COMPUTED_VALUE"""),"26-35")</f>
        <v>26-35</v>
      </c>
      <c r="E39" s="1" t="str">
        <f>IFERROR(__xludf.DUMMYFUNCTION("""COMPUTED_VALUE"""),"Male")</f>
        <v>Male</v>
      </c>
      <c r="F39" s="1" t="str">
        <f>IFERROR(__xludf.DUMMYFUNCTION("""COMPUTED_VALUE"""),"¥3,000,000 – ¥5,999,999")</f>
        <v>¥3,000,000 – ¥5,999,999</v>
      </c>
      <c r="G39" s="1" t="str">
        <f>IFERROR(__xludf.DUMMYFUNCTION("""COMPUTED_VALUE"""),"Kanto")</f>
        <v>Kanto</v>
      </c>
      <c r="H39" s="1" t="str">
        <f>IFERROR(__xludf.DUMMYFUNCTION("""COMPUTED_VALUE"""),"Daily")</f>
        <v>Daily</v>
      </c>
      <c r="I39" s="1" t="str">
        <f>IFERROR(__xludf.DUMMYFUNCTION("""COMPUTED_VALUE"""),"Drip")</f>
        <v>Drip</v>
      </c>
      <c r="J39" s="1"/>
      <c r="K39" s="1" t="str">
        <f>IFERROR(__xludf.DUMMYFUNCTION("""COMPUTED_VALUE"""),"Rarely")</f>
        <v>Rarely</v>
      </c>
      <c r="L39" s="1" t="str">
        <f>IFERROR(__xludf.DUMMYFUNCTION("""COMPUTED_VALUE"""),"Matcha Latte")</f>
        <v>Matcha Latte</v>
      </c>
      <c r="M39" s="1"/>
      <c r="N39" s="1" t="str">
        <f>IFERROR(__xludf.DUMMYFUNCTION("""COMPUTED_VALUE"""),"Energy boost/Caffeine, Price")</f>
        <v>Energy boost/Caffeine, Price</v>
      </c>
      <c r="O39" s="1"/>
      <c r="P39" s="1" t="str">
        <f>IFERROR(__xludf.DUMMYFUNCTION("""COMPUTED_VALUE"""),"At cafés, At home")</f>
        <v>At cafés, At home</v>
      </c>
      <c r="Q39" s="1"/>
      <c r="R39" s="1" t="str">
        <f>IFERROR(__xludf.DUMMYFUNCTION("""COMPUTED_VALUE"""),"Once a week")</f>
        <v>Once a week</v>
      </c>
      <c r="S39" s="1" t="str">
        <f>IFERROR(__xludf.DUMMYFUNCTION("""COMPUTED_VALUE"""),"To study/work")</f>
        <v>To study/work</v>
      </c>
      <c r="T39" s="1"/>
      <c r="U39" s="1" t="str">
        <f>IFERROR(__xludf.DUMMYFUNCTION("""COMPUTED_VALUE"""),"Atmosphere")</f>
        <v>Atmosphere</v>
      </c>
      <c r="V39" s="1"/>
      <c r="W39" s="1" t="str">
        <f>IFERROR(__xludf.DUMMYFUNCTION("""COMPUTED_VALUE"""),"Yes, Global")</f>
        <v>Yes, Global</v>
      </c>
      <c r="X39" s="1" t="str">
        <f>IFERROR(__xludf.DUMMYFUNCTION("""COMPUTED_VALUE"""),"Yes, Global")</f>
        <v>Yes, Global</v>
      </c>
      <c r="Y39" s="1">
        <f>IFERROR(__xludf.DUMMYFUNCTION("""COMPUTED_VALUE"""),3.0)</f>
        <v>3</v>
      </c>
      <c r="Z39" s="1">
        <f>IFERROR(__xludf.DUMMYFUNCTION("""COMPUTED_VALUE"""),3.0)</f>
        <v>3</v>
      </c>
      <c r="AA39" s="1">
        <f>IFERROR(__xludf.DUMMYFUNCTION("""COMPUTED_VALUE"""),4.0)</f>
        <v>4</v>
      </c>
      <c r="AB39" s="1" t="str">
        <f>IFERROR(__xludf.DUMMYFUNCTION("""COMPUTED_VALUE"""),"Yes")</f>
        <v>Yes</v>
      </c>
      <c r="AC39" s="1"/>
    </row>
    <row r="40">
      <c r="A40" s="1" t="str">
        <f>IFERROR(__xludf.DUMMYFUNCTION("""COMPUTED_VALUE"""),"vGlDZYA")</f>
        <v>vGlDZYA</v>
      </c>
      <c r="B40" s="1" t="str">
        <f>IFERROR(__xludf.DUMMYFUNCTION("""COMPUTED_VALUE"""),"68djRZN")</f>
        <v>68djRZN</v>
      </c>
      <c r="C40" s="5">
        <f>IFERROR(__xludf.DUMMYFUNCTION("""COMPUTED_VALUE"""),46051.70711805556)</f>
        <v>46051.70712</v>
      </c>
      <c r="D40" s="1" t="str">
        <f>IFERROR(__xludf.DUMMYFUNCTION("""COMPUTED_VALUE"""),"18-25")</f>
        <v>18-25</v>
      </c>
      <c r="E40" s="1" t="str">
        <f>IFERROR(__xludf.DUMMYFUNCTION("""COMPUTED_VALUE"""),"Male")</f>
        <v>Male</v>
      </c>
      <c r="F40" s="1" t="str">
        <f>IFERROR(__xludf.DUMMYFUNCTION("""COMPUTED_VALUE"""),"Under ¥3,000,000")</f>
        <v>Under ¥3,000,000</v>
      </c>
      <c r="G40" s="1" t="str">
        <f>IFERROR(__xludf.DUMMYFUNCTION("""COMPUTED_VALUE"""),"Chubu")</f>
        <v>Chubu</v>
      </c>
      <c r="H40" s="1" t="str">
        <f>IFERROR(__xludf.DUMMYFUNCTION("""COMPUTED_VALUE"""),"Daily")</f>
        <v>Daily</v>
      </c>
      <c r="I40" s="1" t="str">
        <f>IFERROR(__xludf.DUMMYFUNCTION("""COMPUTED_VALUE"""),"Pour Over")</f>
        <v>Pour Over</v>
      </c>
      <c r="J40" s="1"/>
      <c r="K40" s="1" t="str">
        <f>IFERROR(__xludf.DUMMYFUNCTION("""COMPUTED_VALUE"""),"Rarely")</f>
        <v>Rarely</v>
      </c>
      <c r="L40" s="1" t="str">
        <f>IFERROR(__xludf.DUMMYFUNCTION("""COMPUTED_VALUE"""),"Matcha Latte")</f>
        <v>Matcha Latte</v>
      </c>
      <c r="M40" s="1"/>
      <c r="N40" s="1" t="str">
        <f>IFERROR(__xludf.DUMMYFUNCTION("""COMPUTED_VALUE"""),"Other:")</f>
        <v>Other:</v>
      </c>
      <c r="O40" s="1" t="str">
        <f>IFERROR(__xludf.DUMMYFUNCTION("""COMPUTED_VALUE"""),"I’m just a coffee guy and I rarely choose between coffee and matcha. The only occasion I drink matcha is when I wanna drink something sweet")</f>
        <v>I’m just a coffee guy and I rarely choose between coffee and matcha. The only occasion I drink matcha is when I wanna drink something sweet</v>
      </c>
      <c r="P40" s="1" t="str">
        <f>IFERROR(__xludf.DUMMYFUNCTION("""COMPUTED_VALUE"""),"At home, At cafés")</f>
        <v>At home, At cafés</v>
      </c>
      <c r="Q40" s="1"/>
      <c r="R40" s="1" t="str">
        <f>IFERROR(__xludf.DUMMYFUNCTION("""COMPUTED_VALUE"""),"A few times a month")</f>
        <v>A few times a month</v>
      </c>
      <c r="S40" s="1" t="str">
        <f>IFERROR(__xludf.DUMMYFUNCTION("""COMPUTED_VALUE"""),"To meet friends")</f>
        <v>To meet friends</v>
      </c>
      <c r="T40" s="1"/>
      <c r="U40" s="1" t="str">
        <f>IFERROR(__xludf.DUMMYFUNCTION("""COMPUTED_VALUE"""),"Quality of drinks")</f>
        <v>Quality of drinks</v>
      </c>
      <c r="V40" s="1"/>
      <c r="W40" s="1" t="str">
        <f>IFERROR(__xludf.DUMMYFUNCTION("""COMPUTED_VALUE"""),"No")</f>
        <v>No</v>
      </c>
      <c r="X40" s="1" t="str">
        <f>IFERROR(__xludf.DUMMYFUNCTION("""COMPUTED_VALUE"""),"Yes,  Japanese")</f>
        <v>Yes,  Japanese</v>
      </c>
      <c r="Y40" s="1">
        <f>IFERROR(__xludf.DUMMYFUNCTION("""COMPUTED_VALUE"""),5.0)</f>
        <v>5</v>
      </c>
      <c r="Z40" s="1">
        <f>IFERROR(__xludf.DUMMYFUNCTION("""COMPUTED_VALUE"""),6.0)</f>
        <v>6</v>
      </c>
      <c r="AA40" s="1">
        <f>IFERROR(__xludf.DUMMYFUNCTION("""COMPUTED_VALUE"""),5.0)</f>
        <v>5</v>
      </c>
      <c r="AB40" s="1" t="str">
        <f>IFERROR(__xludf.DUMMYFUNCTION("""COMPUTED_VALUE"""),"Yes")</f>
        <v>Yes</v>
      </c>
      <c r="AC40" s="1"/>
    </row>
    <row r="41">
      <c r="A41" s="1" t="str">
        <f>IFERROR(__xludf.DUMMYFUNCTION("""COMPUTED_VALUE"""),"68gKgRe")</f>
        <v>68gKgRe</v>
      </c>
      <c r="B41" s="1" t="str">
        <f>IFERROR(__xludf.DUMMYFUNCTION("""COMPUTED_VALUE"""),"obAeoWx")</f>
        <v>obAeoWx</v>
      </c>
      <c r="C41" s="5">
        <f>IFERROR(__xludf.DUMMYFUNCTION("""COMPUTED_VALUE"""),46051.71021990741)</f>
        <v>46051.71022</v>
      </c>
      <c r="D41" s="1" t="str">
        <f>IFERROR(__xludf.DUMMYFUNCTION("""COMPUTED_VALUE"""),"18-25")</f>
        <v>18-25</v>
      </c>
      <c r="E41" s="1" t="str">
        <f>IFERROR(__xludf.DUMMYFUNCTION("""COMPUTED_VALUE"""),"Male")</f>
        <v>Male</v>
      </c>
      <c r="F41" s="1" t="str">
        <f>IFERROR(__xludf.DUMMYFUNCTION("""COMPUTED_VALUE"""),"Prefer not to say")</f>
        <v>Prefer not to say</v>
      </c>
      <c r="G41" s="1" t="str">
        <f>IFERROR(__xludf.DUMMYFUNCTION("""COMPUTED_VALUE"""),"Kanto")</f>
        <v>Kanto</v>
      </c>
      <c r="H41" s="1" t="str">
        <f>IFERROR(__xludf.DUMMYFUNCTION("""COMPUTED_VALUE"""),"Rarely")</f>
        <v>Rarely</v>
      </c>
      <c r="I41" s="1"/>
      <c r="J41" s="1" t="str">
        <f>IFERROR(__xludf.DUMMYFUNCTION("""COMPUTED_VALUE"""),"turkish coffee")</f>
        <v>turkish coffee</v>
      </c>
      <c r="K41" s="1" t="str">
        <f>IFERROR(__xludf.DUMMYFUNCTION("""COMPUTED_VALUE"""),"Once a week")</f>
        <v>Once a week</v>
      </c>
      <c r="L41" s="1" t="str">
        <f>IFERROR(__xludf.DUMMYFUNCTION("""COMPUTED_VALUE"""),"Matcha Latte")</f>
        <v>Matcha Latte</v>
      </c>
      <c r="M41" s="1"/>
      <c r="N41" s="1" t="str">
        <f>IFERROR(__xludf.DUMMYFUNCTION("""COMPUTED_VALUE"""),"Taste/Flavor, Social atmosphere")</f>
        <v>Taste/Flavor, Social atmosphere</v>
      </c>
      <c r="O41" s="1"/>
      <c r="P41" s="1" t="str">
        <f>IFERROR(__xludf.DUMMYFUNCTION("""COMPUTED_VALUE"""),"At cafés")</f>
        <v>At cafés</v>
      </c>
      <c r="Q41" s="1"/>
      <c r="R41" s="1" t="str">
        <f>IFERROR(__xludf.DUMMYFUNCTION("""COMPUTED_VALUE"""),"A few times a month")</f>
        <v>A few times a month</v>
      </c>
      <c r="S41" s="1" t="str">
        <f>IFERROR(__xludf.DUMMYFUNCTION("""COMPUTED_VALUE"""),"To meet friends")</f>
        <v>To meet friends</v>
      </c>
      <c r="T41" s="1"/>
      <c r="U41" s="1" t="str">
        <f>IFERROR(__xludf.DUMMYFUNCTION("""COMPUTED_VALUE"""),"Atmosphere")</f>
        <v>Atmosphere</v>
      </c>
      <c r="V41" s="1"/>
      <c r="W41" s="1" t="str">
        <f>IFERROR(__xludf.DUMMYFUNCTION("""COMPUTED_VALUE"""),"Yes, Global")</f>
        <v>Yes, Global</v>
      </c>
      <c r="X41" s="1" t="str">
        <f>IFERROR(__xludf.DUMMYFUNCTION("""COMPUTED_VALUE"""),"Yes,  Japanese")</f>
        <v>Yes,  Japanese</v>
      </c>
      <c r="Y41" s="1">
        <f>IFERROR(__xludf.DUMMYFUNCTION("""COMPUTED_VALUE"""),5.0)</f>
        <v>5</v>
      </c>
      <c r="Z41" s="1">
        <f>IFERROR(__xludf.DUMMYFUNCTION("""COMPUTED_VALUE"""),5.0)</f>
        <v>5</v>
      </c>
      <c r="AA41" s="1">
        <f>IFERROR(__xludf.DUMMYFUNCTION("""COMPUTED_VALUE"""),3.0)</f>
        <v>3</v>
      </c>
      <c r="AB41" s="1" t="str">
        <f>IFERROR(__xludf.DUMMYFUNCTION("""COMPUTED_VALUE"""),"Yes")</f>
        <v>Yes</v>
      </c>
      <c r="AC41" s="1"/>
    </row>
    <row r="42">
      <c r="A42" s="1" t="str">
        <f>IFERROR(__xludf.DUMMYFUNCTION("""COMPUTED_VALUE"""),"jajXJAR")</f>
        <v>jajXJAR</v>
      </c>
      <c r="B42" s="1" t="str">
        <f>IFERROR(__xludf.DUMMYFUNCTION("""COMPUTED_VALUE"""),"rjlJoo5")</f>
        <v>rjlJoo5</v>
      </c>
      <c r="C42" s="5">
        <f>IFERROR(__xludf.DUMMYFUNCTION("""COMPUTED_VALUE"""),46055.99177083333)</f>
        <v>46055.99177</v>
      </c>
      <c r="D42" s="1" t="str">
        <f>IFERROR(__xludf.DUMMYFUNCTION("""COMPUTED_VALUE"""),"26-35")</f>
        <v>26-35</v>
      </c>
      <c r="E42" s="1" t="str">
        <f>IFERROR(__xludf.DUMMYFUNCTION("""COMPUTED_VALUE"""),"Male")</f>
        <v>Male</v>
      </c>
      <c r="F42" s="1" t="str">
        <f>IFERROR(__xludf.DUMMYFUNCTION("""COMPUTED_VALUE"""),"¥3,000,000 – ¥5,999,999")</f>
        <v>¥3,000,000 – ¥5,999,999</v>
      </c>
      <c r="G42" s="1" t="str">
        <f>IFERROR(__xludf.DUMMYFUNCTION("""COMPUTED_VALUE"""),"Kanto")</f>
        <v>Kanto</v>
      </c>
      <c r="H42" s="1" t="str">
        <f>IFERROR(__xludf.DUMMYFUNCTION("""COMPUTED_VALUE"""),"Daily")</f>
        <v>Daily</v>
      </c>
      <c r="I42" s="1" t="str">
        <f>IFERROR(__xludf.DUMMYFUNCTION("""COMPUTED_VALUE"""),"Pour Over")</f>
        <v>Pour Over</v>
      </c>
      <c r="J42" s="1"/>
      <c r="K42" s="1" t="str">
        <f>IFERROR(__xludf.DUMMYFUNCTION("""COMPUTED_VALUE"""),"Rarely")</f>
        <v>Rarely</v>
      </c>
      <c r="L42" s="1" t="str">
        <f>IFERROR(__xludf.DUMMYFUNCTION("""COMPUTED_VALUE"""),"Usucha")</f>
        <v>Usucha</v>
      </c>
      <c r="M42" s="1"/>
      <c r="N42" s="1" t="str">
        <f>IFERROR(__xludf.DUMMYFUNCTION("""COMPUTED_VALUE"""),"Taste/Flavor, convenience (have everything at home)")</f>
        <v>Taste/Flavor, convenience (have everything at home)</v>
      </c>
      <c r="O42" s="1"/>
      <c r="P42" s="1" t="str">
        <f>IFERROR(__xludf.DUMMYFUNCTION("""COMPUTED_VALUE"""),"At home, From convenience stores (7-Eleven, Lawson, etc.), From vending machines")</f>
        <v>At home, From convenience stores (7-Eleven, Lawson, etc.), From vending machines</v>
      </c>
      <c r="Q42" s="1"/>
      <c r="R42" s="1" t="str">
        <f>IFERROR(__xludf.DUMMYFUNCTION("""COMPUTED_VALUE"""),"Rarely")</f>
        <v>Rarely</v>
      </c>
      <c r="S42" s="1" t="str">
        <f>IFERROR(__xludf.DUMMYFUNCTION("""COMPUTED_VALUE"""),"To meet friends")</f>
        <v>To meet friends</v>
      </c>
      <c r="T42" s="1"/>
      <c r="U42" s="1" t="str">
        <f>IFERROR(__xludf.DUMMYFUNCTION("""COMPUTED_VALUE"""),"Atmosphere")</f>
        <v>Atmosphere</v>
      </c>
      <c r="V42" s="1"/>
      <c r="W42" s="1" t="str">
        <f>IFERROR(__xludf.DUMMYFUNCTION("""COMPUTED_VALUE"""),"Yes, Global")</f>
        <v>Yes, Global</v>
      </c>
      <c r="X42" s="1" t="str">
        <f>IFERROR(__xludf.DUMMYFUNCTION("""COMPUTED_VALUE"""),"Yes,  Japanese")</f>
        <v>Yes,  Japanese</v>
      </c>
      <c r="Y42" s="1">
        <f>IFERROR(__xludf.DUMMYFUNCTION("""COMPUTED_VALUE"""),5.0)</f>
        <v>5</v>
      </c>
      <c r="Z42" s="1">
        <f>IFERROR(__xludf.DUMMYFUNCTION("""COMPUTED_VALUE"""),5.0)</f>
        <v>5</v>
      </c>
      <c r="AA42" s="1">
        <f>IFERROR(__xludf.DUMMYFUNCTION("""COMPUTED_VALUE"""),6.0)</f>
        <v>6</v>
      </c>
      <c r="AB42" s="1" t="str">
        <f>IFERROR(__xludf.DUMMYFUNCTION("""COMPUTED_VALUE"""),"Yes")</f>
        <v>Yes</v>
      </c>
      <c r="AC42" s="1"/>
    </row>
    <row r="43">
      <c r="A43" s="1" t="str">
        <f>IFERROR(__xludf.DUMMYFUNCTION("""COMPUTED_VALUE"""),"1AjpG2O")</f>
        <v>1AjpG2O</v>
      </c>
      <c r="B43" s="1" t="str">
        <f>IFERROR(__xludf.DUMMYFUNCTION("""COMPUTED_VALUE"""),"NpAKJzQ")</f>
        <v>NpAKJzQ</v>
      </c>
      <c r="C43" s="5">
        <f>IFERROR(__xludf.DUMMYFUNCTION("""COMPUTED_VALUE"""),46062.163298611114)</f>
        <v>46062.1633</v>
      </c>
      <c r="D43" s="1" t="str">
        <f>IFERROR(__xludf.DUMMYFUNCTION("""COMPUTED_VALUE"""),"26-35")</f>
        <v>26-35</v>
      </c>
      <c r="E43" s="1" t="str">
        <f>IFERROR(__xludf.DUMMYFUNCTION("""COMPUTED_VALUE"""),"Male")</f>
        <v>Male</v>
      </c>
      <c r="F43" s="1" t="str">
        <f>IFERROR(__xludf.DUMMYFUNCTION("""COMPUTED_VALUE"""),"Under ¥3,000,000")</f>
        <v>Under ¥3,000,000</v>
      </c>
      <c r="G43" s="1" t="str">
        <f>IFERROR(__xludf.DUMMYFUNCTION("""COMPUTED_VALUE"""),"Kanto")</f>
        <v>Kanto</v>
      </c>
      <c r="H43" s="1" t="str">
        <f>IFERROR(__xludf.DUMMYFUNCTION("""COMPUTED_VALUE"""),"Several times a week")</f>
        <v>Several times a week</v>
      </c>
      <c r="I43" s="1" t="str">
        <f>IFERROR(__xludf.DUMMYFUNCTION("""COMPUTED_VALUE"""),"Latte")</f>
        <v>Latte</v>
      </c>
      <c r="J43" s="1"/>
      <c r="K43" s="1" t="str">
        <f>IFERROR(__xludf.DUMMYFUNCTION("""COMPUTED_VALUE"""),"Several times a week")</f>
        <v>Several times a week</v>
      </c>
      <c r="L43" s="1" t="str">
        <f>IFERROR(__xludf.DUMMYFUNCTION("""COMPUTED_VALUE"""),"Matcha Latte")</f>
        <v>Matcha Latte</v>
      </c>
      <c r="M43" s="1"/>
      <c r="N43" s="1" t="str">
        <f>IFERROR(__xludf.DUMMYFUNCTION("""COMPUTED_VALUE"""),"Taste/Flavor, Routine/Ritual")</f>
        <v>Taste/Flavor, Routine/Ritual</v>
      </c>
      <c r="O43" s="1"/>
      <c r="P43" s="1" t="str">
        <f>IFERROR(__xludf.DUMMYFUNCTION("""COMPUTED_VALUE"""),"At home, At cafés")</f>
        <v>At home, At cafés</v>
      </c>
      <c r="Q43" s="1"/>
      <c r="R43" s="1" t="str">
        <f>IFERROR(__xludf.DUMMYFUNCTION("""COMPUTED_VALUE"""),"Several times a week")</f>
        <v>Several times a week</v>
      </c>
      <c r="S43" s="1" t="str">
        <f>IFERROR(__xludf.DUMMYFUNCTION("""COMPUTED_VALUE"""),"To meet friends")</f>
        <v>To meet friends</v>
      </c>
      <c r="T43" s="1"/>
      <c r="U43" s="1" t="str">
        <f>IFERROR(__xludf.DUMMYFUNCTION("""COMPUTED_VALUE"""),"Atmosphere")</f>
        <v>Atmosphere</v>
      </c>
      <c r="V43" s="1"/>
      <c r="W43" s="1" t="str">
        <f>IFERROR(__xludf.DUMMYFUNCTION("""COMPUTED_VALUE"""),"Yes, Global")</f>
        <v>Yes, Global</v>
      </c>
      <c r="X43" s="1" t="str">
        <f>IFERROR(__xludf.DUMMYFUNCTION("""COMPUTED_VALUE"""),"Yes,  Japanese")</f>
        <v>Yes,  Japanese</v>
      </c>
      <c r="Y43" s="1">
        <f>IFERROR(__xludf.DUMMYFUNCTION("""COMPUTED_VALUE"""),6.0)</f>
        <v>6</v>
      </c>
      <c r="Z43" s="1">
        <f>IFERROR(__xludf.DUMMYFUNCTION("""COMPUTED_VALUE"""),6.0)</f>
        <v>6</v>
      </c>
      <c r="AA43" s="1">
        <f>IFERROR(__xludf.DUMMYFUNCTION("""COMPUTED_VALUE"""),6.0)</f>
        <v>6</v>
      </c>
      <c r="AB43" s="1" t="str">
        <f>IFERROR(__xludf.DUMMYFUNCTION("""COMPUTED_VALUE"""),"Yes")</f>
        <v>Yes</v>
      </c>
      <c r="AC43" s="1"/>
    </row>
    <row r="44">
      <c r="A44" s="1" t="str">
        <f>IFERROR(__xludf.DUMMYFUNCTION("""COMPUTED_VALUE"""),"EkpNEao")</f>
        <v>EkpNEao</v>
      </c>
      <c r="B44" s="1" t="str">
        <f>IFERROR(__xludf.DUMMYFUNCTION("""COMPUTED_VALUE"""),"1ArZp9L")</f>
        <v>1ArZp9L</v>
      </c>
      <c r="C44" s="5">
        <f>IFERROR(__xludf.DUMMYFUNCTION("""COMPUTED_VALUE"""),46062.21340277778)</f>
        <v>46062.2134</v>
      </c>
      <c r="D44" s="1" t="str">
        <f>IFERROR(__xludf.DUMMYFUNCTION("""COMPUTED_VALUE"""),"26-35")</f>
        <v>26-35</v>
      </c>
      <c r="E44" s="1" t="str">
        <f>IFERROR(__xludf.DUMMYFUNCTION("""COMPUTED_VALUE"""),"Female")</f>
        <v>Female</v>
      </c>
      <c r="F44" s="1" t="str">
        <f>IFERROR(__xludf.DUMMYFUNCTION("""COMPUTED_VALUE"""),"¥3,000,000 – ¥5,999,999")</f>
        <v>¥3,000,000 – ¥5,999,999</v>
      </c>
      <c r="G44" s="1" t="str">
        <f>IFERROR(__xludf.DUMMYFUNCTION("""COMPUTED_VALUE"""),"Kanto")</f>
        <v>Kanto</v>
      </c>
      <c r="H44" s="1" t="str">
        <f>IFERROR(__xludf.DUMMYFUNCTION("""COMPUTED_VALUE"""),"Daily")</f>
        <v>Daily</v>
      </c>
      <c r="I44" s="1" t="str">
        <f>IFERROR(__xludf.DUMMYFUNCTION("""COMPUTED_VALUE"""),"Drip")</f>
        <v>Drip</v>
      </c>
      <c r="J44" s="1"/>
      <c r="K44" s="1" t="str">
        <f>IFERROR(__xludf.DUMMYFUNCTION("""COMPUTED_VALUE"""),"Several times a week")</f>
        <v>Several times a week</v>
      </c>
      <c r="L44" s="1" t="str">
        <f>IFERROR(__xludf.DUMMYFUNCTION("""COMPUTED_VALUE"""),"Koicha")</f>
        <v>Koicha</v>
      </c>
      <c r="M44" s="1"/>
      <c r="N44" s="1" t="str">
        <f>IFERROR(__xludf.DUMMYFUNCTION("""COMPUTED_VALUE"""),"Energy boost/Caffeine, Social norms / influence (what people around me usually drink)")</f>
        <v>Energy boost/Caffeine, Social norms / influence (what people around me usually drink)</v>
      </c>
      <c r="O44" s="1"/>
      <c r="P44" s="1" t="str">
        <f>IFERROR(__xludf.DUMMYFUNCTION("""COMPUTED_VALUE"""),"At home, From vending machines, From convenience stores (7-Eleven, Lawson, etc.)")</f>
        <v>At home, From vending machines, From convenience stores (7-Eleven, Lawson, etc.)</v>
      </c>
      <c r="Q44" s="1"/>
      <c r="R44" s="1" t="str">
        <f>IFERROR(__xludf.DUMMYFUNCTION("""COMPUTED_VALUE"""),"A few times a month")</f>
        <v>A few times a month</v>
      </c>
      <c r="S44" s="1" t="str">
        <f>IFERROR(__xludf.DUMMYFUNCTION("""COMPUTED_VALUE"""),"To meet friends")</f>
        <v>To meet friends</v>
      </c>
      <c r="T44" s="1"/>
      <c r="U44" s="1" t="str">
        <f>IFERROR(__xludf.DUMMYFUNCTION("""COMPUTED_VALUE"""),"Atmosphere")</f>
        <v>Atmosphere</v>
      </c>
      <c r="V44" s="1"/>
      <c r="W44" s="1" t="str">
        <f>IFERROR(__xludf.DUMMYFUNCTION("""COMPUTED_VALUE"""),"Yes, Western")</f>
        <v>Yes, Western</v>
      </c>
      <c r="X44" s="1" t="str">
        <f>IFERROR(__xludf.DUMMYFUNCTION("""COMPUTED_VALUE"""),"Yes,  Japanese")</f>
        <v>Yes,  Japanese</v>
      </c>
      <c r="Y44" s="1">
        <f>IFERROR(__xludf.DUMMYFUNCTION("""COMPUTED_VALUE"""),5.0)</f>
        <v>5</v>
      </c>
      <c r="Z44" s="1">
        <f>IFERROR(__xludf.DUMMYFUNCTION("""COMPUTED_VALUE"""),7.0)</f>
        <v>7</v>
      </c>
      <c r="AA44" s="1">
        <f>IFERROR(__xludf.DUMMYFUNCTION("""COMPUTED_VALUE"""),3.0)</f>
        <v>3</v>
      </c>
      <c r="AB44" s="1" t="str">
        <f>IFERROR(__xludf.DUMMYFUNCTION("""COMPUTED_VALUE"""),"No")</f>
        <v>No</v>
      </c>
      <c r="AC44" s="1"/>
    </row>
    <row r="45">
      <c r="A45" s="1" t="str">
        <f>IFERROR(__xludf.DUMMYFUNCTION("""COMPUTED_VALUE"""),"9qeoPaV")</f>
        <v>9qeoPaV</v>
      </c>
      <c r="B45" s="1" t="str">
        <f>IFERROR(__xludf.DUMMYFUNCTION("""COMPUTED_VALUE"""),"NpAKdLb")</f>
        <v>NpAKdLb</v>
      </c>
      <c r="C45" s="5">
        <f>IFERROR(__xludf.DUMMYFUNCTION("""COMPUTED_VALUE"""),46062.22430555556)</f>
        <v>46062.22431</v>
      </c>
      <c r="D45" s="1" t="str">
        <f>IFERROR(__xludf.DUMMYFUNCTION("""COMPUTED_VALUE"""),"36-45")</f>
        <v>36-45</v>
      </c>
      <c r="E45" s="1" t="str">
        <f>IFERROR(__xludf.DUMMYFUNCTION("""COMPUTED_VALUE"""),"Male")</f>
        <v>Male</v>
      </c>
      <c r="F45" s="1" t="str">
        <f>IFERROR(__xludf.DUMMYFUNCTION("""COMPUTED_VALUE"""),"¥9,000,000 – ¥11,999,999")</f>
        <v>¥9,000,000 – ¥11,999,999</v>
      </c>
      <c r="G45" s="1" t="str">
        <f>IFERROR(__xludf.DUMMYFUNCTION("""COMPUTED_VALUE"""),"Kanto")</f>
        <v>Kanto</v>
      </c>
      <c r="H45" s="1" t="str">
        <f>IFERROR(__xludf.DUMMYFUNCTION("""COMPUTED_VALUE"""),"Daily")</f>
        <v>Daily</v>
      </c>
      <c r="I45" s="1" t="str">
        <f>IFERROR(__xludf.DUMMYFUNCTION("""COMPUTED_VALUE"""),"Drip")</f>
        <v>Drip</v>
      </c>
      <c r="J45" s="1"/>
      <c r="K45" s="1" t="str">
        <f>IFERROR(__xludf.DUMMYFUNCTION("""COMPUTED_VALUE"""),"Rarely")</f>
        <v>Rarely</v>
      </c>
      <c r="L45" s="1" t="str">
        <f>IFERROR(__xludf.DUMMYFUNCTION("""COMPUTED_VALUE"""),"Usucha")</f>
        <v>Usucha</v>
      </c>
      <c r="M45" s="1"/>
      <c r="N45" s="1" t="str">
        <f>IFERROR(__xludf.DUMMYFUNCTION("""COMPUTED_VALUE"""),"Taste/Flavor, Price")</f>
        <v>Taste/Flavor, Price</v>
      </c>
      <c r="O45" s="1"/>
      <c r="P45" s="1" t="str">
        <f>IFERROR(__xludf.DUMMYFUNCTION("""COMPUTED_VALUE"""),"At cafés, At home, From convenience stores (7-Eleven, Lawson, etc.)")</f>
        <v>At cafés, At home, From convenience stores (7-Eleven, Lawson, etc.)</v>
      </c>
      <c r="Q45" s="1"/>
      <c r="R45" s="1" t="str">
        <f>IFERROR(__xludf.DUMMYFUNCTION("""COMPUTED_VALUE"""),"Once a week")</f>
        <v>Once a week</v>
      </c>
      <c r="S45" s="1" t="str">
        <f>IFERROR(__xludf.DUMMYFUNCTION("""COMPUTED_VALUE"""),"To relax or take a break")</f>
        <v>To relax or take a break</v>
      </c>
      <c r="T45" s="1"/>
      <c r="U45" s="1" t="str">
        <f>IFERROR(__xludf.DUMMYFUNCTION("""COMPUTED_VALUE"""),"Atmosphere")</f>
        <v>Atmosphere</v>
      </c>
      <c r="V45" s="1"/>
      <c r="W45" s="1" t="str">
        <f>IFERROR(__xludf.DUMMYFUNCTION("""COMPUTED_VALUE"""),"Yes, Global")</f>
        <v>Yes, Global</v>
      </c>
      <c r="X45" s="1" t="str">
        <f>IFERROR(__xludf.DUMMYFUNCTION("""COMPUTED_VALUE"""),"Yes,  Japanese")</f>
        <v>Yes,  Japanese</v>
      </c>
      <c r="Y45" s="1">
        <f>IFERROR(__xludf.DUMMYFUNCTION("""COMPUTED_VALUE"""),2.0)</f>
        <v>2</v>
      </c>
      <c r="Z45" s="1">
        <f>IFERROR(__xludf.DUMMYFUNCTION("""COMPUTED_VALUE"""),2.0)</f>
        <v>2</v>
      </c>
      <c r="AA45" s="1">
        <f>IFERROR(__xludf.DUMMYFUNCTION("""COMPUTED_VALUE"""),4.0)</f>
        <v>4</v>
      </c>
      <c r="AB45" s="1" t="str">
        <f>IFERROR(__xludf.DUMMYFUNCTION("""COMPUTED_VALUE"""),"No")</f>
        <v>No</v>
      </c>
      <c r="AC45" s="1"/>
    </row>
    <row r="46">
      <c r="A46" s="1" t="str">
        <f>IFERROR(__xludf.DUMMYFUNCTION("""COMPUTED_VALUE"""),"kdLvrNR")</f>
        <v>kdLvrNR</v>
      </c>
      <c r="B46" s="1" t="str">
        <f>IFERROR(__xludf.DUMMYFUNCTION("""COMPUTED_VALUE"""),"yPyZZPx")</f>
        <v>yPyZZPx</v>
      </c>
      <c r="C46" s="5">
        <f>IFERROR(__xludf.DUMMYFUNCTION("""COMPUTED_VALUE"""),46062.3674537037)</f>
        <v>46062.36745</v>
      </c>
      <c r="D46" s="1" t="str">
        <f>IFERROR(__xludf.DUMMYFUNCTION("""COMPUTED_VALUE"""),"36-45")</f>
        <v>36-45</v>
      </c>
      <c r="E46" s="1" t="str">
        <f>IFERROR(__xludf.DUMMYFUNCTION("""COMPUTED_VALUE"""),"Male")</f>
        <v>Male</v>
      </c>
      <c r="F46" s="1" t="str">
        <f>IFERROR(__xludf.DUMMYFUNCTION("""COMPUTED_VALUE"""),"¥6,000,000 – ¥8,999,999")</f>
        <v>¥6,000,000 – ¥8,999,999</v>
      </c>
      <c r="G46" s="1" t="str">
        <f>IFERROR(__xludf.DUMMYFUNCTION("""COMPUTED_VALUE"""),"Kanto")</f>
        <v>Kanto</v>
      </c>
      <c r="H46" s="1" t="str">
        <f>IFERROR(__xludf.DUMMYFUNCTION("""COMPUTED_VALUE"""),"Daily")</f>
        <v>Daily</v>
      </c>
      <c r="I46" s="1" t="str">
        <f>IFERROR(__xludf.DUMMYFUNCTION("""COMPUTED_VALUE"""),"Latte")</f>
        <v>Latte</v>
      </c>
      <c r="J46" s="1"/>
      <c r="K46" s="1" t="str">
        <f>IFERROR(__xludf.DUMMYFUNCTION("""COMPUTED_VALUE"""),"Rarely")</f>
        <v>Rarely</v>
      </c>
      <c r="L46" s="1"/>
      <c r="M46" s="1"/>
      <c r="N46" s="1" t="str">
        <f>IFERROR(__xludf.DUMMYFUNCTION("""COMPUTED_VALUE"""),"Availability (green tea is easily available everywhere, but not matcha)")</f>
        <v>Availability (green tea is easily available everywhere, but not matcha)</v>
      </c>
      <c r="O46" s="1"/>
      <c r="P46" s="1" t="str">
        <f>IFERROR(__xludf.DUMMYFUNCTION("""COMPUTED_VALUE"""),"From vending machines")</f>
        <v>From vending machines</v>
      </c>
      <c r="Q46" s="1"/>
      <c r="R46" s="1" t="str">
        <f>IFERROR(__xludf.DUMMYFUNCTION("""COMPUTED_VALUE"""),"Several times a week")</f>
        <v>Several times a week</v>
      </c>
      <c r="S46" s="1" t="str">
        <f>IFERROR(__xludf.DUMMYFUNCTION("""COMPUTED_VALUE"""),"To relax or take a break")</f>
        <v>To relax or take a break</v>
      </c>
      <c r="T46" s="1"/>
      <c r="U46" s="1" t="str">
        <f>IFERROR(__xludf.DUMMYFUNCTION("""COMPUTED_VALUE"""),"Atmosphere")</f>
        <v>Atmosphere</v>
      </c>
      <c r="V46" s="1"/>
      <c r="W46" s="1" t="str">
        <f>IFERROR(__xludf.DUMMYFUNCTION("""COMPUTED_VALUE"""),"Yes, Global")</f>
        <v>Yes, Global</v>
      </c>
      <c r="X46" s="1" t="str">
        <f>IFERROR(__xludf.DUMMYFUNCTION("""COMPUTED_VALUE"""),"Yes,  Japanese")</f>
        <v>Yes,  Japanese</v>
      </c>
      <c r="Y46" s="1">
        <f>IFERROR(__xludf.DUMMYFUNCTION("""COMPUTED_VALUE"""),4.0)</f>
        <v>4</v>
      </c>
      <c r="Z46" s="1">
        <f>IFERROR(__xludf.DUMMYFUNCTION("""COMPUTED_VALUE"""),7.0)</f>
        <v>7</v>
      </c>
      <c r="AA46" s="1">
        <f>IFERROR(__xludf.DUMMYFUNCTION("""COMPUTED_VALUE"""),4.0)</f>
        <v>4</v>
      </c>
      <c r="AB46" s="1" t="str">
        <f>IFERROR(__xludf.DUMMYFUNCTION("""COMPUTED_VALUE"""),"No")</f>
        <v>No</v>
      </c>
      <c r="AC46" s="1"/>
    </row>
    <row r="47">
      <c r="A47" s="1" t="str">
        <f>IFERROR(__xludf.DUMMYFUNCTION("""COMPUTED_VALUE"""),"pb8pdx1")</f>
        <v>pb8pdx1</v>
      </c>
      <c r="B47" s="1" t="str">
        <f>IFERROR(__xludf.DUMMYFUNCTION("""COMPUTED_VALUE"""),"vG2qaKl")</f>
        <v>vG2qaKl</v>
      </c>
      <c r="C47" s="5">
        <f>IFERROR(__xludf.DUMMYFUNCTION("""COMPUTED_VALUE"""),46079.57585648148)</f>
        <v>46079.57586</v>
      </c>
      <c r="D47" s="1" t="str">
        <f>IFERROR(__xludf.DUMMYFUNCTION("""COMPUTED_VALUE"""),"36-45")</f>
        <v>36-45</v>
      </c>
      <c r="E47" s="1" t="str">
        <f>IFERROR(__xludf.DUMMYFUNCTION("""COMPUTED_VALUE"""),"Female")</f>
        <v>Female</v>
      </c>
      <c r="F47" s="1" t="str">
        <f>IFERROR(__xludf.DUMMYFUNCTION("""COMPUTED_VALUE"""),"¥12,000,000 or more")</f>
        <v>¥12,000,000 or more</v>
      </c>
      <c r="G47" s="1" t="str">
        <f>IFERROR(__xludf.DUMMYFUNCTION("""COMPUTED_VALUE"""),"Kanto")</f>
        <v>Kanto</v>
      </c>
      <c r="H47" s="1" t="str">
        <f>IFERROR(__xludf.DUMMYFUNCTION("""COMPUTED_VALUE"""),"Rarely")</f>
        <v>Rarely</v>
      </c>
      <c r="I47" s="1" t="str">
        <f>IFERROR(__xludf.DUMMYFUNCTION("""COMPUTED_VALUE"""),"Latte")</f>
        <v>Latte</v>
      </c>
      <c r="J47" s="1" t="str">
        <f>IFERROR(__xludf.DUMMYFUNCTION("""COMPUTED_VALUE"""),"Espresso tonic")</f>
        <v>Espresso tonic</v>
      </c>
      <c r="K47" s="1" t="str">
        <f>IFERROR(__xludf.DUMMYFUNCTION("""COMPUTED_VALUE"""),"Rarely")</f>
        <v>Rarely</v>
      </c>
      <c r="L47" s="1" t="str">
        <f>IFERROR(__xludf.DUMMYFUNCTION("""COMPUTED_VALUE"""),"Matcha Latte")</f>
        <v>Matcha Latte</v>
      </c>
      <c r="M47" s="1" t="str">
        <f>IFERROR(__xludf.DUMMYFUNCTION("""COMPUTED_VALUE"""),"Matcha lemonade")</f>
        <v>Matcha lemonade</v>
      </c>
      <c r="N47" s="1" t="str">
        <f>IFERROR(__xludf.DUMMYFUNCTION("""COMPUTED_VALUE"""),"Taste/Flavor, Energy boost/Caffeine")</f>
        <v>Taste/Flavor, Energy boost/Caffeine</v>
      </c>
      <c r="O47" s="1"/>
      <c r="P47" s="1" t="str">
        <f>IFERROR(__xludf.DUMMYFUNCTION("""COMPUTED_VALUE"""),"At cafés, Other:")</f>
        <v>At cafés, Other:</v>
      </c>
      <c r="Q47" s="1" t="str">
        <f>IFERROR(__xludf.DUMMYFUNCTION("""COMPUTED_VALUE"""),"Take away (workplace or park)")</f>
        <v>Take away (workplace or park)</v>
      </c>
      <c r="R47" s="1" t="str">
        <f>IFERROR(__xludf.DUMMYFUNCTION("""COMPUTED_VALUE"""),"Once a week")</f>
        <v>Once a week</v>
      </c>
      <c r="S47" s="1" t="str">
        <f>IFERROR(__xludf.DUMMYFUNCTION("""COMPUTED_VALUE"""),"To relax or take a break")</f>
        <v>To relax or take a break</v>
      </c>
      <c r="T47" s="1"/>
      <c r="U47" s="1" t="str">
        <f>IFERROR(__xludf.DUMMYFUNCTION("""COMPUTED_VALUE"""),"Atmosphere")</f>
        <v>Atmosphere</v>
      </c>
      <c r="V47" s="1"/>
      <c r="W47" s="1" t="str">
        <f>IFERROR(__xludf.DUMMYFUNCTION("""COMPUTED_VALUE"""),"No")</f>
        <v>No</v>
      </c>
      <c r="X47" s="1" t="str">
        <f>IFERROR(__xludf.DUMMYFUNCTION("""COMPUTED_VALUE"""),"Yes,  Japanese")</f>
        <v>Yes,  Japanese</v>
      </c>
      <c r="Y47" s="1">
        <f>IFERROR(__xludf.DUMMYFUNCTION("""COMPUTED_VALUE"""),7.0)</f>
        <v>7</v>
      </c>
      <c r="Z47" s="1">
        <f>IFERROR(__xludf.DUMMYFUNCTION("""COMPUTED_VALUE"""),7.0)</f>
        <v>7</v>
      </c>
      <c r="AA47" s="1">
        <f>IFERROR(__xludf.DUMMYFUNCTION("""COMPUTED_VALUE"""),7.0)</f>
        <v>7</v>
      </c>
      <c r="AB47" s="1" t="str">
        <f>IFERROR(__xludf.DUMMYFUNCTION("""COMPUTED_VALUE"""),"Yes")</f>
        <v>Yes</v>
      </c>
      <c r="AC47" s="1"/>
    </row>
    <row r="48">
      <c r="A48" s="1" t="str">
        <f>IFERROR(__xludf.DUMMYFUNCTION("FILTER('Japanese Results'!AK2:BM1000, 'Japanese Results'!AN2:AN1000&lt;&gt;"""")"),"EkoA68o")</f>
        <v>EkoA68o</v>
      </c>
      <c r="B48" s="1" t="str">
        <f>IFERROR(__xludf.DUMMYFUNCTION("""COMPUTED_VALUE"""),"LZp8NDy")</f>
        <v>LZp8NDy</v>
      </c>
      <c r="C48" s="5">
        <f>IFERROR(__xludf.DUMMYFUNCTION("""COMPUTED_VALUE"""),46028.188055555554)</f>
        <v>46028.18806</v>
      </c>
      <c r="D48" s="1" t="str">
        <f>IFERROR(__xludf.DUMMYFUNCTION("""COMPUTED_VALUE"""),"18-25")</f>
        <v>18-25</v>
      </c>
      <c r="E48" s="1" t="str">
        <f>IFERROR(__xludf.DUMMYFUNCTION("""COMPUTED_VALUE"""),"Male")</f>
        <v>Male</v>
      </c>
      <c r="F48" s="1" t="str">
        <f>IFERROR(__xludf.DUMMYFUNCTION("""COMPUTED_VALUE"""),"¥12,000,000 or more")</f>
        <v>¥12,000,000 or more</v>
      </c>
      <c r="G48" s="1" t="str">
        <f>IFERROR(__xludf.DUMMYFUNCTION("""COMPUTED_VALUE"""),"Kanto")</f>
        <v>Kanto</v>
      </c>
      <c r="H48" s="1" t="str">
        <f>IFERROR(__xludf.DUMMYFUNCTION("""COMPUTED_VALUE"""),"Never")</f>
        <v>Never</v>
      </c>
      <c r="I48" s="1" t="str">
        <f>IFERROR(__xludf.DUMMYFUNCTION("""COMPUTED_VALUE"""),"")</f>
        <v/>
      </c>
      <c r="J48" s="1"/>
      <c r="K48" s="1" t="str">
        <f>IFERROR(__xludf.DUMMYFUNCTION("""COMPUTED_VALUE"""),"Rarely")</f>
        <v>Rarely</v>
      </c>
      <c r="L48" s="1" t="str">
        <f>IFERROR(__xludf.DUMMYFUNCTION("""COMPUTED_VALUE"""),"Usucha")</f>
        <v>Usucha</v>
      </c>
      <c r="M48" s="1"/>
      <c r="N48" s="1" t="str">
        <f>IFERROR(__xludf.DUMMYFUNCTION("""COMPUTED_VALUE"""),"Taste/Flavor, Health benefits")</f>
        <v>Taste/Flavor, Health benefits</v>
      </c>
      <c r="O48" s="1"/>
      <c r="P48" s="1" t="str">
        <f>IFERROR(__xludf.DUMMYFUNCTION("""COMPUTED_VALUE"""),"From vending machines, From convenience stores (7-Eleven, Lawson, etc.)")</f>
        <v>From vending machines, From convenience stores (7-Eleven, Lawson, etc.)</v>
      </c>
      <c r="Q48" s="1"/>
      <c r="R48" s="1" t="str">
        <f>IFERROR(__xludf.DUMMYFUNCTION("""COMPUTED_VALUE"""),"Rarely")</f>
        <v>Rarely</v>
      </c>
      <c r="S48" s="1" t="str">
        <f>IFERROR(__xludf.DUMMYFUNCTION("""COMPUTED_VALUE"""),"To meet friends")</f>
        <v>To meet friends</v>
      </c>
      <c r="T48" s="1"/>
      <c r="U48" s="1" t="str">
        <f>IFERROR(__xludf.DUMMYFUNCTION("""COMPUTED_VALUE"""),"Quality of drinks")</f>
        <v>Quality of drinks</v>
      </c>
      <c r="V48" s="1"/>
      <c r="W48" s="1" t="str">
        <f>IFERROR(__xludf.DUMMYFUNCTION("""COMPUTED_VALUE"""),"Yes, Western")</f>
        <v>Yes, Western</v>
      </c>
      <c r="X48" s="1" t="str">
        <f>IFERROR(__xludf.DUMMYFUNCTION("""COMPUTED_VALUE"""),"Yes,  Japanese")</f>
        <v>Yes,  Japanese</v>
      </c>
      <c r="Y48" s="1">
        <f>IFERROR(__xludf.DUMMYFUNCTION("""COMPUTED_VALUE"""),4.0)</f>
        <v>4</v>
      </c>
      <c r="Z48" s="1">
        <f>IFERROR(__xludf.DUMMYFUNCTION("""COMPUTED_VALUE"""),6.0)</f>
        <v>6</v>
      </c>
      <c r="AA48" s="1">
        <f>IFERROR(__xludf.DUMMYFUNCTION("""COMPUTED_VALUE"""),4.0)</f>
        <v>4</v>
      </c>
      <c r="AB48" s="1" t="str">
        <f>IFERROR(__xludf.DUMMYFUNCTION("""COMPUTED_VALUE"""),"No")</f>
        <v>No</v>
      </c>
      <c r="AC48" s="1"/>
    </row>
    <row r="49">
      <c r="A49" s="1" t="str">
        <f>IFERROR(__xludf.DUMMYFUNCTION("""COMPUTED_VALUE"""),"J9Ey24r")</f>
        <v>J9Ey24r</v>
      </c>
      <c r="B49" s="1" t="str">
        <f>IFERROR(__xludf.DUMMYFUNCTION("""COMPUTED_VALUE"""),"xXarWEd")</f>
        <v>xXarWEd</v>
      </c>
      <c r="C49" s="5">
        <f>IFERROR(__xludf.DUMMYFUNCTION("""COMPUTED_VALUE"""),46029.96582175926)</f>
        <v>46029.96582</v>
      </c>
      <c r="D49" s="1" t="str">
        <f>IFERROR(__xludf.DUMMYFUNCTION("""COMPUTED_VALUE"""),"26-35")</f>
        <v>26-35</v>
      </c>
      <c r="E49" s="1" t="str">
        <f>IFERROR(__xludf.DUMMYFUNCTION("""COMPUTED_VALUE"""),"Female")</f>
        <v>Female</v>
      </c>
      <c r="F49" s="1" t="str">
        <f>IFERROR(__xludf.DUMMYFUNCTION("""COMPUTED_VALUE"""),"Under ¥3,000,000")</f>
        <v>Under ¥3,000,000</v>
      </c>
      <c r="G49" s="1" t="str">
        <f>IFERROR(__xludf.DUMMYFUNCTION("""COMPUTED_VALUE"""),"Kanto")</f>
        <v>Kanto</v>
      </c>
      <c r="H49" s="1" t="str">
        <f>IFERROR(__xludf.DUMMYFUNCTION("""COMPUTED_VALUE"""),"Several times a week")</f>
        <v>Several times a week</v>
      </c>
      <c r="I49" s="1" t="str">
        <f>IFERROR(__xludf.DUMMYFUNCTION("""COMPUTED_VALUE"""),"Drip")</f>
        <v>Drip</v>
      </c>
      <c r="J49" s="1"/>
      <c r="K49" s="1" t="str">
        <f>IFERROR(__xludf.DUMMYFUNCTION("""COMPUTED_VALUE"""),"Several times a week")</f>
        <v>Several times a week</v>
      </c>
      <c r="L49" s="1" t="str">
        <f>IFERROR(__xludf.DUMMYFUNCTION("""COMPUTED_VALUE"""),"Usucha")</f>
        <v>Usucha</v>
      </c>
      <c r="M49" s="1"/>
      <c r="N49" s="1" t="str">
        <f>IFERROR(__xludf.DUMMYFUNCTION("""COMPUTED_VALUE"""),"Price, Taste/Flavor")</f>
        <v>Price, Taste/Flavor</v>
      </c>
      <c r="O49" s="1"/>
      <c r="P49" s="1" t="str">
        <f>IFERROR(__xludf.DUMMYFUNCTION("""COMPUTED_VALUE"""),"At home")</f>
        <v>At home</v>
      </c>
      <c r="Q49" s="1"/>
      <c r="R49" s="1" t="str">
        <f>IFERROR(__xludf.DUMMYFUNCTION("""COMPUTED_VALUE"""),"Several times a week")</f>
        <v>Several times a week</v>
      </c>
      <c r="S49" s="1" t="str">
        <f>IFERROR(__xludf.DUMMYFUNCTION("""COMPUTED_VALUE"""),"To meet friends")</f>
        <v>To meet friends</v>
      </c>
      <c r="T49" s="1"/>
      <c r="U49" s="1" t="str">
        <f>IFERROR(__xludf.DUMMYFUNCTION("""COMPUTED_VALUE"""),"Atmosphere")</f>
        <v>Atmosphere</v>
      </c>
      <c r="V49" s="1"/>
      <c r="W49" s="1" t="str">
        <f>IFERROR(__xludf.DUMMYFUNCTION("""COMPUTED_VALUE"""),"Yes, Western")</f>
        <v>Yes, Western</v>
      </c>
      <c r="X49" s="1" t="str">
        <f>IFERROR(__xludf.DUMMYFUNCTION("""COMPUTED_VALUE"""),"Yes,  Japanese")</f>
        <v>Yes,  Japanese</v>
      </c>
      <c r="Y49" s="1">
        <f>IFERROR(__xludf.DUMMYFUNCTION("""COMPUTED_VALUE"""),3.0)</f>
        <v>3</v>
      </c>
      <c r="Z49" s="1">
        <f>IFERROR(__xludf.DUMMYFUNCTION("""COMPUTED_VALUE"""),6.0)</f>
        <v>6</v>
      </c>
      <c r="AA49" s="1">
        <f>IFERROR(__xludf.DUMMYFUNCTION("""COMPUTED_VALUE"""),5.0)</f>
        <v>5</v>
      </c>
      <c r="AB49" s="1" t="str">
        <f>IFERROR(__xludf.DUMMYFUNCTION("""COMPUTED_VALUE"""),"No")</f>
        <v>No</v>
      </c>
      <c r="AC49" s="1"/>
    </row>
    <row r="50">
      <c r="A50" s="1" t="str">
        <f>IFERROR(__xludf.DUMMYFUNCTION("""COMPUTED_VALUE"""),"ODxRYQA")</f>
        <v>ODxRYQA</v>
      </c>
      <c r="B50" s="1" t="str">
        <f>IFERROR(__xludf.DUMMYFUNCTION("""COMPUTED_VALUE"""),"Y5WP1Lv")</f>
        <v>Y5WP1Lv</v>
      </c>
      <c r="C50" s="5">
        <f>IFERROR(__xludf.DUMMYFUNCTION("""COMPUTED_VALUE"""),46029.97939814815)</f>
        <v>46029.9794</v>
      </c>
      <c r="D50" s="1" t="str">
        <f>IFERROR(__xludf.DUMMYFUNCTION("""COMPUTED_VALUE"""),"18-25")</f>
        <v>18-25</v>
      </c>
      <c r="E50" s="1" t="str">
        <f>IFERROR(__xludf.DUMMYFUNCTION("""COMPUTED_VALUE"""),"Male")</f>
        <v>Male</v>
      </c>
      <c r="F50" s="1" t="str">
        <f>IFERROR(__xludf.DUMMYFUNCTION("""COMPUTED_VALUE"""),"¥6,000,000 – ¥8,999,999")</f>
        <v>¥6,000,000 – ¥8,999,999</v>
      </c>
      <c r="G50" s="1" t="str">
        <f>IFERROR(__xludf.DUMMYFUNCTION("""COMPUTED_VALUE"""),"Kanto")</f>
        <v>Kanto</v>
      </c>
      <c r="H50" s="1" t="str">
        <f>IFERROR(__xludf.DUMMYFUNCTION("""COMPUTED_VALUE"""),"Daily")</f>
        <v>Daily</v>
      </c>
      <c r="I50" s="1" t="str">
        <f>IFERROR(__xludf.DUMMYFUNCTION("""COMPUTED_VALUE"""),"Drip")</f>
        <v>Drip</v>
      </c>
      <c r="J50" s="1"/>
      <c r="K50" s="1" t="str">
        <f>IFERROR(__xludf.DUMMYFUNCTION("""COMPUTED_VALUE"""),"Daily")</f>
        <v>Daily</v>
      </c>
      <c r="L50" s="1" t="str">
        <f>IFERROR(__xludf.DUMMYFUNCTION("""COMPUTED_VALUE"""),"Koicha")</f>
        <v>Koicha</v>
      </c>
      <c r="M50" s="1"/>
      <c r="N50" s="1" t="str">
        <f>IFERROR(__xludf.DUMMYFUNCTION("""COMPUTED_VALUE"""),"Taste/Flavor, Energy boost/Caffeine")</f>
        <v>Taste/Flavor, Energy boost/Caffeine</v>
      </c>
      <c r="O50" s="1"/>
      <c r="P50" s="1" t="str">
        <f>IFERROR(__xludf.DUMMYFUNCTION("""COMPUTED_VALUE"""),"At cafés, At home")</f>
        <v>At cafés, At home</v>
      </c>
      <c r="Q50" s="1"/>
      <c r="R50" s="1" t="str">
        <f>IFERROR(__xludf.DUMMYFUNCTION("""COMPUTED_VALUE"""),"Several times a week")</f>
        <v>Several times a week</v>
      </c>
      <c r="S50" s="1" t="str">
        <f>IFERROR(__xludf.DUMMYFUNCTION("""COMPUTED_VALUE"""),"To try a new drink")</f>
        <v>To try a new drink</v>
      </c>
      <c r="T50" s="1"/>
      <c r="U50" s="1" t="str">
        <f>IFERROR(__xludf.DUMMYFUNCTION("""COMPUTED_VALUE"""),"Quality of drinks")</f>
        <v>Quality of drinks</v>
      </c>
      <c r="V50" s="1"/>
      <c r="W50" s="1" t="str">
        <f>IFERROR(__xludf.DUMMYFUNCTION("""COMPUTED_VALUE"""),"Yes, Global")</f>
        <v>Yes, Global</v>
      </c>
      <c r="X50" s="1" t="str">
        <f>IFERROR(__xludf.DUMMYFUNCTION("""COMPUTED_VALUE"""),"Yes,  Japanese")</f>
        <v>Yes,  Japanese</v>
      </c>
      <c r="Y50" s="1">
        <f>IFERROR(__xludf.DUMMYFUNCTION("""COMPUTED_VALUE"""),3.0)</f>
        <v>3</v>
      </c>
      <c r="Z50" s="1">
        <f>IFERROR(__xludf.DUMMYFUNCTION("""COMPUTED_VALUE"""),4.0)</f>
        <v>4</v>
      </c>
      <c r="AA50" s="1">
        <f>IFERROR(__xludf.DUMMYFUNCTION("""COMPUTED_VALUE"""),3.0)</f>
        <v>3</v>
      </c>
      <c r="AB50" s="1" t="str">
        <f>IFERROR(__xludf.DUMMYFUNCTION("""COMPUTED_VALUE"""),"No")</f>
        <v>No</v>
      </c>
      <c r="AC50" s="1"/>
    </row>
    <row r="51">
      <c r="A51" s="1" t="str">
        <f>IFERROR(__xludf.DUMMYFUNCTION("""COMPUTED_VALUE"""),"Zjb0xWz")</f>
        <v>Zjb0xWz</v>
      </c>
      <c r="B51" s="1" t="str">
        <f>IFERROR(__xludf.DUMMYFUNCTION("""COMPUTED_VALUE"""),"q4Aa8P9")</f>
        <v>q4Aa8P9</v>
      </c>
      <c r="C51" s="5">
        <f>IFERROR(__xludf.DUMMYFUNCTION("""COMPUTED_VALUE"""),46030.24071759259)</f>
        <v>46030.24072</v>
      </c>
      <c r="D51" s="1" t="str">
        <f>IFERROR(__xludf.DUMMYFUNCTION("""COMPUTED_VALUE"""),"36-45")</f>
        <v>36-45</v>
      </c>
      <c r="E51" s="1" t="str">
        <f>IFERROR(__xludf.DUMMYFUNCTION("""COMPUTED_VALUE"""),"Male")</f>
        <v>Male</v>
      </c>
      <c r="F51" s="1" t="str">
        <f>IFERROR(__xludf.DUMMYFUNCTION("""COMPUTED_VALUE"""),"Prefer not to say")</f>
        <v>Prefer not to say</v>
      </c>
      <c r="G51" s="1" t="str">
        <f>IFERROR(__xludf.DUMMYFUNCTION("""COMPUTED_VALUE"""),"Kanto")</f>
        <v>Kanto</v>
      </c>
      <c r="H51" s="1" t="str">
        <f>IFERROR(__xludf.DUMMYFUNCTION("""COMPUTED_VALUE"""),"Daily")</f>
        <v>Daily</v>
      </c>
      <c r="I51" s="1" t="str">
        <f>IFERROR(__xludf.DUMMYFUNCTION("""COMPUTED_VALUE"""),"Pour Over")</f>
        <v>Pour Over</v>
      </c>
      <c r="J51" s="1"/>
      <c r="K51" s="1" t="str">
        <f>IFERROR(__xludf.DUMMYFUNCTION("""COMPUTED_VALUE"""),"Several times a week")</f>
        <v>Several times a week</v>
      </c>
      <c r="L51" s="1" t="str">
        <f>IFERROR(__xludf.DUMMYFUNCTION("""COMPUTED_VALUE"""),"Usucha")</f>
        <v>Usucha</v>
      </c>
      <c r="M51" s="1"/>
      <c r="N51" s="1" t="str">
        <f>IFERROR(__xludf.DUMMYFUNCTION("""COMPUTED_VALUE"""),"Taste/Flavor")</f>
        <v>Taste/Flavor</v>
      </c>
      <c r="O51" s="1"/>
      <c r="P51" s="1" t="str">
        <f>IFERROR(__xludf.DUMMYFUNCTION("""COMPUTED_VALUE"""),"At cafés")</f>
        <v>At cafés</v>
      </c>
      <c r="Q51" s="1"/>
      <c r="R51" s="1" t="str">
        <f>IFERROR(__xludf.DUMMYFUNCTION("""COMPUTED_VALUE"""),"Several times a week")</f>
        <v>Several times a week</v>
      </c>
      <c r="S51" s="1" t="str">
        <f>IFERROR(__xludf.DUMMYFUNCTION("""COMPUTED_VALUE"""),"Other:")</f>
        <v>Other:</v>
      </c>
      <c r="T51" s="1" t="str">
        <f>IFERROR(__xludf.DUMMYFUNCTION("""COMPUTED_VALUE"""),"Because I want to talk with the staff.")</f>
        <v>Because I want to talk with the staff.</v>
      </c>
      <c r="U51" s="1" t="str">
        <f>IFERROR(__xludf.DUMMYFUNCTION("""COMPUTED_VALUE"""),"Other:")</f>
        <v>Other:</v>
      </c>
      <c r="V51" s="1" t="str">
        <f>IFERROR(__xludf.DUMMYFUNCTION("""COMPUTED_VALUE"""),"It depends on the purpose at that time.")</f>
        <v>It depends on the purpose at that time.</v>
      </c>
      <c r="W51" s="1" t="str">
        <f>IFERROR(__xludf.DUMMYFUNCTION("""COMPUTED_VALUE"""),"Yes, Global")</f>
        <v>Yes, Global</v>
      </c>
      <c r="X51" s="1" t="str">
        <f>IFERROR(__xludf.DUMMYFUNCTION("""COMPUTED_VALUE"""),"Yes, Global")</f>
        <v>Yes, Global</v>
      </c>
      <c r="Y51" s="1">
        <f>IFERROR(__xludf.DUMMYFUNCTION("""COMPUTED_VALUE"""),7.0)</f>
        <v>7</v>
      </c>
      <c r="Z51" s="1">
        <f>IFERROR(__xludf.DUMMYFUNCTION("""COMPUTED_VALUE"""),7.0)</f>
        <v>7</v>
      </c>
      <c r="AA51" s="1">
        <f>IFERROR(__xludf.DUMMYFUNCTION("""COMPUTED_VALUE"""),7.0)</f>
        <v>7</v>
      </c>
      <c r="AB51" s="1" t="str">
        <f>IFERROR(__xludf.DUMMYFUNCTION("""COMPUTED_VALUE"""),"No")</f>
        <v>No</v>
      </c>
      <c r="AC51" s="1"/>
    </row>
    <row r="52">
      <c r="A52" s="1" t="str">
        <f>IFERROR(__xludf.DUMMYFUNCTION("""COMPUTED_VALUE"""),"GxAKvz2")</f>
        <v>GxAKvz2</v>
      </c>
      <c r="B52" s="1" t="str">
        <f>IFERROR(__xludf.DUMMYFUNCTION("""COMPUTED_VALUE"""),"jaQQQKx")</f>
        <v>jaQQQKx</v>
      </c>
      <c r="C52" s="5">
        <f>IFERROR(__xludf.DUMMYFUNCTION("""COMPUTED_VALUE"""),46031.24113425926)</f>
        <v>46031.24113</v>
      </c>
      <c r="D52" s="1" t="str">
        <f>IFERROR(__xludf.DUMMYFUNCTION("""COMPUTED_VALUE"""),"18-25")</f>
        <v>18-25</v>
      </c>
      <c r="E52" s="1" t="str">
        <f>IFERROR(__xludf.DUMMYFUNCTION("""COMPUTED_VALUE"""),"Female")</f>
        <v>Female</v>
      </c>
      <c r="F52" s="1" t="str">
        <f>IFERROR(__xludf.DUMMYFUNCTION("""COMPUTED_VALUE"""),"Prefer not to say")</f>
        <v>Prefer not to say</v>
      </c>
      <c r="G52" s="1" t="str">
        <f>IFERROR(__xludf.DUMMYFUNCTION("""COMPUTED_VALUE"""),"Kanto")</f>
        <v>Kanto</v>
      </c>
      <c r="H52" s="1" t="str">
        <f>IFERROR(__xludf.DUMMYFUNCTION("""COMPUTED_VALUE"""),"Daily")</f>
        <v>Daily</v>
      </c>
      <c r="I52" s="1" t="str">
        <f>IFERROR(__xludf.DUMMYFUNCTION("""COMPUTED_VALUE"""),"Drip")</f>
        <v>Drip</v>
      </c>
      <c r="J52" s="1"/>
      <c r="K52" s="1" t="str">
        <f>IFERROR(__xludf.DUMMYFUNCTION("""COMPUTED_VALUE"""),"Several times a week")</f>
        <v>Several times a week</v>
      </c>
      <c r="L52" s="1" t="str">
        <f>IFERROR(__xludf.DUMMYFUNCTION("""COMPUTED_VALUE"""),"Matcha Latte")</f>
        <v>Matcha Latte</v>
      </c>
      <c r="M52" s="1"/>
      <c r="N52" s="1" t="str">
        <f>IFERROR(__xludf.DUMMYFUNCTION("""COMPUTED_VALUE"""),"Taste/Flavor")</f>
        <v>Taste/Flavor</v>
      </c>
      <c r="O52" s="1"/>
      <c r="P52" s="1" t="str">
        <f>IFERROR(__xludf.DUMMYFUNCTION("""COMPUTED_VALUE"""),"At home")</f>
        <v>At home</v>
      </c>
      <c r="Q52" s="1"/>
      <c r="R52" s="1" t="str">
        <f>IFERROR(__xludf.DUMMYFUNCTION("""COMPUTED_VALUE"""),"A few times a month")</f>
        <v>A few times a month</v>
      </c>
      <c r="S52" s="1" t="str">
        <f>IFERROR(__xludf.DUMMYFUNCTION("""COMPUTED_VALUE"""),"To relax or take a break")</f>
        <v>To relax or take a break</v>
      </c>
      <c r="T52" s="1"/>
      <c r="U52" s="1" t="str">
        <f>IFERROR(__xludf.DUMMYFUNCTION("""COMPUTED_VALUE"""),"Quality of drinks")</f>
        <v>Quality of drinks</v>
      </c>
      <c r="V52" s="1"/>
      <c r="W52" s="1" t="str">
        <f>IFERROR(__xludf.DUMMYFUNCTION("""COMPUTED_VALUE"""),"Yes, Western")</f>
        <v>Yes, Western</v>
      </c>
      <c r="X52" s="1" t="str">
        <f>IFERROR(__xludf.DUMMYFUNCTION("""COMPUTED_VALUE"""),"Yes,  Japanese")</f>
        <v>Yes,  Japanese</v>
      </c>
      <c r="Y52" s="1">
        <f>IFERROR(__xludf.DUMMYFUNCTION("""COMPUTED_VALUE"""),7.0)</f>
        <v>7</v>
      </c>
      <c r="Z52" s="1">
        <f>IFERROR(__xludf.DUMMYFUNCTION("""COMPUTED_VALUE"""),7.0)</f>
        <v>7</v>
      </c>
      <c r="AA52" s="1">
        <f>IFERROR(__xludf.DUMMYFUNCTION("""COMPUTED_VALUE"""),4.0)</f>
        <v>4</v>
      </c>
      <c r="AB52" s="1" t="str">
        <f>IFERROR(__xludf.DUMMYFUNCTION("""COMPUTED_VALUE"""),"No")</f>
        <v>No</v>
      </c>
      <c r="AC52" s="1"/>
    </row>
    <row r="53">
      <c r="A53" s="1" t="str">
        <f>IFERROR(__xludf.DUMMYFUNCTION("""COMPUTED_VALUE"""),"814zo8o")</f>
        <v>814zo8o</v>
      </c>
      <c r="B53" s="1" t="str">
        <f>IFERROR(__xludf.DUMMYFUNCTION("""COMPUTED_VALUE"""),"EkQQQyN")</f>
        <v>EkQQQyN</v>
      </c>
      <c r="C53" s="5">
        <f>IFERROR(__xludf.DUMMYFUNCTION("""COMPUTED_VALUE"""),46031.24151620371)</f>
        <v>46031.24152</v>
      </c>
      <c r="D53" s="1" t="str">
        <f>IFERROR(__xludf.DUMMYFUNCTION("""COMPUTED_VALUE"""),"18-25")</f>
        <v>18-25</v>
      </c>
      <c r="E53" s="1" t="str">
        <f>IFERROR(__xludf.DUMMYFUNCTION("""COMPUTED_VALUE"""),"Female")</f>
        <v>Female</v>
      </c>
      <c r="F53" s="1" t="str">
        <f>IFERROR(__xludf.DUMMYFUNCTION("""COMPUTED_VALUE"""),"¥3,000,000 – ¥5,999,999")</f>
        <v>¥3,000,000 – ¥5,999,999</v>
      </c>
      <c r="G53" s="1" t="str">
        <f>IFERROR(__xludf.DUMMYFUNCTION("""COMPUTED_VALUE"""),"Kanto")</f>
        <v>Kanto</v>
      </c>
      <c r="H53" s="1" t="str">
        <f>IFERROR(__xludf.DUMMYFUNCTION("""COMPUTED_VALUE"""),"Several times a week")</f>
        <v>Several times a week</v>
      </c>
      <c r="I53" s="1" t="str">
        <f>IFERROR(__xludf.DUMMYFUNCTION("""COMPUTED_VALUE"""),"Latte")</f>
        <v>Latte</v>
      </c>
      <c r="J53" s="1"/>
      <c r="K53" s="1" t="str">
        <f>IFERROR(__xludf.DUMMYFUNCTION("""COMPUTED_VALUE"""),"Several times a week")</f>
        <v>Several times a week</v>
      </c>
      <c r="L53" s="1" t="str">
        <f>IFERROR(__xludf.DUMMYFUNCTION("""COMPUTED_VALUE"""),"Matcha Latte")</f>
        <v>Matcha Latte</v>
      </c>
      <c r="M53" s="1"/>
      <c r="N53" s="1" t="str">
        <f>IFERROR(__xludf.DUMMYFUNCTION("""COMPUTED_VALUE"""),"Taste/Flavor")</f>
        <v>Taste/Flavor</v>
      </c>
      <c r="O53" s="1"/>
      <c r="P53" s="1" t="str">
        <f>IFERROR(__xludf.DUMMYFUNCTION("""COMPUTED_VALUE"""),"At cafés, At home")</f>
        <v>At cafés, At home</v>
      </c>
      <c r="Q53" s="1"/>
      <c r="R53" s="1" t="str">
        <f>IFERROR(__xludf.DUMMYFUNCTION("""COMPUTED_VALUE"""),"A few times a month")</f>
        <v>A few times a month</v>
      </c>
      <c r="S53" s="1" t="str">
        <f>IFERROR(__xludf.DUMMYFUNCTION("""COMPUTED_VALUE"""),"To try a new drink")</f>
        <v>To try a new drink</v>
      </c>
      <c r="T53" s="1"/>
      <c r="U53" s="1" t="str">
        <f>IFERROR(__xludf.DUMMYFUNCTION("""COMPUTED_VALUE"""),"Atmosphere")</f>
        <v>Atmosphere</v>
      </c>
      <c r="V53" s="1"/>
      <c r="W53" s="1" t="str">
        <f>IFERROR(__xludf.DUMMYFUNCTION("""COMPUTED_VALUE"""),"Unsure")</f>
        <v>Unsure</v>
      </c>
      <c r="X53" s="1" t="str">
        <f>IFERROR(__xludf.DUMMYFUNCTION("""COMPUTED_VALUE"""),"Yes,  Japanese")</f>
        <v>Yes,  Japanese</v>
      </c>
      <c r="Y53" s="1">
        <f>IFERROR(__xludf.DUMMYFUNCTION("""COMPUTED_VALUE"""),4.0)</f>
        <v>4</v>
      </c>
      <c r="Z53" s="1">
        <f>IFERROR(__xludf.DUMMYFUNCTION("""COMPUTED_VALUE"""),5.0)</f>
        <v>5</v>
      </c>
      <c r="AA53" s="1">
        <f>IFERROR(__xludf.DUMMYFUNCTION("""COMPUTED_VALUE"""),6.0)</f>
        <v>6</v>
      </c>
      <c r="AB53" s="1" t="str">
        <f>IFERROR(__xludf.DUMMYFUNCTION("""COMPUTED_VALUE"""),"No")</f>
        <v>No</v>
      </c>
      <c r="AC53" s="8"/>
    </row>
    <row r="54">
      <c r="A54" s="1" t="str">
        <f>IFERROR(__xludf.DUMMYFUNCTION("""COMPUTED_VALUE"""),"dWex1GN")</f>
        <v>dWex1GN</v>
      </c>
      <c r="B54" s="1" t="str">
        <f>IFERROR(__xludf.DUMMYFUNCTION("""COMPUTED_VALUE"""),"NpWVjdB")</f>
        <v>NpWVjdB</v>
      </c>
      <c r="C54" s="5">
        <f>IFERROR(__xludf.DUMMYFUNCTION("""COMPUTED_VALUE"""),46031.95395833333)</f>
        <v>46031.95396</v>
      </c>
      <c r="D54" s="1" t="str">
        <f>IFERROR(__xludf.DUMMYFUNCTION("""COMPUTED_VALUE"""),"18-25")</f>
        <v>18-25</v>
      </c>
      <c r="E54" s="1" t="str">
        <f>IFERROR(__xludf.DUMMYFUNCTION("""COMPUTED_VALUE"""),"Female")</f>
        <v>Female</v>
      </c>
      <c r="F54" s="1" t="str">
        <f>IFERROR(__xludf.DUMMYFUNCTION("""COMPUTED_VALUE"""),"¥3,000,000 – ¥5,999,999")</f>
        <v>¥3,000,000 – ¥5,999,999</v>
      </c>
      <c r="G54" s="1" t="str">
        <f>IFERROR(__xludf.DUMMYFUNCTION("""COMPUTED_VALUE"""),"Kanto")</f>
        <v>Kanto</v>
      </c>
      <c r="H54" s="1" t="str">
        <f>IFERROR(__xludf.DUMMYFUNCTION("""COMPUTED_VALUE"""),"Daily")</f>
        <v>Daily</v>
      </c>
      <c r="I54" s="1" t="str">
        <f>IFERROR(__xludf.DUMMYFUNCTION("""COMPUTED_VALUE"""),"Pour Over")</f>
        <v>Pour Over</v>
      </c>
      <c r="J54" s="1"/>
      <c r="K54" s="1" t="str">
        <f>IFERROR(__xludf.DUMMYFUNCTION("""COMPUTED_VALUE"""),"Once a week")</f>
        <v>Once a week</v>
      </c>
      <c r="L54" s="1" t="str">
        <f>IFERROR(__xludf.DUMMYFUNCTION("""COMPUTED_VALUE"""),"Matcha Latte")</f>
        <v>Matcha Latte</v>
      </c>
      <c r="M54" s="1"/>
      <c r="N54" s="1" t="str">
        <f>IFERROR(__xludf.DUMMYFUNCTION("""COMPUTED_VALUE"""),"Taste/Flavor")</f>
        <v>Taste/Flavor</v>
      </c>
      <c r="O54" s="1"/>
      <c r="P54" s="1" t="str">
        <f>IFERROR(__xludf.DUMMYFUNCTION("""COMPUTED_VALUE"""),"At cafés")</f>
        <v>At cafés</v>
      </c>
      <c r="Q54" s="1"/>
      <c r="R54" s="1" t="str">
        <f>IFERROR(__xludf.DUMMYFUNCTION("""COMPUTED_VALUE"""),"Several times a week")</f>
        <v>Several times a week</v>
      </c>
      <c r="S54" s="1" t="str">
        <f>IFERROR(__xludf.DUMMYFUNCTION("""COMPUTED_VALUE"""),"To relax or take a break")</f>
        <v>To relax or take a break</v>
      </c>
      <c r="T54" s="1"/>
      <c r="U54" s="1" t="str">
        <f>IFERROR(__xludf.DUMMYFUNCTION("""COMPUTED_VALUE"""),"Service")</f>
        <v>Service</v>
      </c>
      <c r="V54" s="1"/>
      <c r="W54" s="1" t="str">
        <f>IFERROR(__xludf.DUMMYFUNCTION("""COMPUTED_VALUE"""),"Yes, Global")</f>
        <v>Yes, Global</v>
      </c>
      <c r="X54" s="1" t="str">
        <f>IFERROR(__xludf.DUMMYFUNCTION("""COMPUTED_VALUE"""),"Yes,  Japanese")</f>
        <v>Yes,  Japanese</v>
      </c>
      <c r="Y54" s="1">
        <f>IFERROR(__xludf.DUMMYFUNCTION("""COMPUTED_VALUE"""),4.0)</f>
        <v>4</v>
      </c>
      <c r="Z54" s="1">
        <f>IFERROR(__xludf.DUMMYFUNCTION("""COMPUTED_VALUE"""),5.0)</f>
        <v>5</v>
      </c>
      <c r="AA54" s="1">
        <f>IFERROR(__xludf.DUMMYFUNCTION("""COMPUTED_VALUE"""),5.0)</f>
        <v>5</v>
      </c>
      <c r="AB54" s="1" t="str">
        <f>IFERROR(__xludf.DUMMYFUNCTION("""COMPUTED_VALUE"""),"Yes")</f>
        <v>Yes</v>
      </c>
      <c r="AC54" s="1"/>
    </row>
    <row r="55">
      <c r="A55" s="1" t="str">
        <f>IFERROR(__xludf.DUMMYFUNCTION("""COMPUTED_VALUE"""),"rjM6VAp")</f>
        <v>rjM6VAp</v>
      </c>
      <c r="B55" s="1" t="str">
        <f>IFERROR(__xludf.DUMMYFUNCTION("""COMPUTED_VALUE"""),"RG5L4bP")</f>
        <v>RG5L4bP</v>
      </c>
      <c r="C55" s="5">
        <f>IFERROR(__xludf.DUMMYFUNCTION("""COMPUTED_VALUE"""),46032.076203703706)</f>
        <v>46032.0762</v>
      </c>
      <c r="D55" s="1" t="str">
        <f>IFERROR(__xludf.DUMMYFUNCTION("""COMPUTED_VALUE"""),"26-35")</f>
        <v>26-35</v>
      </c>
      <c r="E55" s="1" t="str">
        <f>IFERROR(__xludf.DUMMYFUNCTION("""COMPUTED_VALUE"""),"Female")</f>
        <v>Female</v>
      </c>
      <c r="F55" s="1" t="str">
        <f>IFERROR(__xludf.DUMMYFUNCTION("""COMPUTED_VALUE"""),"Under ¥3,000,000")</f>
        <v>Under ¥3,000,000</v>
      </c>
      <c r="G55" s="1" t="str">
        <f>IFERROR(__xludf.DUMMYFUNCTION("""COMPUTED_VALUE"""),"Kanto")</f>
        <v>Kanto</v>
      </c>
      <c r="H55" s="1" t="str">
        <f>IFERROR(__xludf.DUMMYFUNCTION("""COMPUTED_VALUE"""),"Several times a week")</f>
        <v>Several times a week</v>
      </c>
      <c r="I55" s="1" t="str">
        <f>IFERROR(__xludf.DUMMYFUNCTION("""COMPUTED_VALUE"""),"Latte")</f>
        <v>Latte</v>
      </c>
      <c r="J55" s="1"/>
      <c r="K55" s="1" t="str">
        <f>IFERROR(__xludf.DUMMYFUNCTION("""COMPUTED_VALUE"""),"Rarely")</f>
        <v>Rarely</v>
      </c>
      <c r="L55" s="1" t="str">
        <f>IFERROR(__xludf.DUMMYFUNCTION("""COMPUTED_VALUE"""),"Koicha")</f>
        <v>Koicha</v>
      </c>
      <c r="M55" s="1"/>
      <c r="N55" s="1" t="str">
        <f>IFERROR(__xludf.DUMMYFUNCTION("""COMPUTED_VALUE"""),"Taste/Flavor")</f>
        <v>Taste/Flavor</v>
      </c>
      <c r="O55" s="1"/>
      <c r="P55" s="1" t="str">
        <f>IFERROR(__xludf.DUMMYFUNCTION("""COMPUTED_VALUE"""),"At cafés, From convenience stores (7-Eleven, Lawson, etc.)")</f>
        <v>At cafés, From convenience stores (7-Eleven, Lawson, etc.)</v>
      </c>
      <c r="Q55" s="1"/>
      <c r="R55" s="1" t="str">
        <f>IFERROR(__xludf.DUMMYFUNCTION("""COMPUTED_VALUE"""),"Rarely")</f>
        <v>Rarely</v>
      </c>
      <c r="S55" s="1" t="str">
        <f>IFERROR(__xludf.DUMMYFUNCTION("""COMPUTED_VALUE"""),"To study/work")</f>
        <v>To study/work</v>
      </c>
      <c r="T55" s="1"/>
      <c r="U55" s="1" t="str">
        <f>IFERROR(__xludf.DUMMYFUNCTION("""COMPUTED_VALUE"""),"Atmosphere")</f>
        <v>Atmosphere</v>
      </c>
      <c r="V55" s="1"/>
      <c r="W55" s="1" t="str">
        <f>IFERROR(__xludf.DUMMYFUNCTION("""COMPUTED_VALUE"""),"Yes, Western")</f>
        <v>Yes, Western</v>
      </c>
      <c r="X55" s="1" t="str">
        <f>IFERROR(__xludf.DUMMYFUNCTION("""COMPUTED_VALUE"""),"Yes,  Japanese")</f>
        <v>Yes,  Japanese</v>
      </c>
      <c r="Y55" s="1">
        <f>IFERROR(__xludf.DUMMYFUNCTION("""COMPUTED_VALUE"""),7.0)</f>
        <v>7</v>
      </c>
      <c r="Z55" s="1">
        <f>IFERROR(__xludf.DUMMYFUNCTION("""COMPUTED_VALUE"""),7.0)</f>
        <v>7</v>
      </c>
      <c r="AA55" s="1">
        <f>IFERROR(__xludf.DUMMYFUNCTION("""COMPUTED_VALUE"""),5.0)</f>
        <v>5</v>
      </c>
      <c r="AB55" s="1" t="str">
        <f>IFERROR(__xludf.DUMMYFUNCTION("""COMPUTED_VALUE"""),"No")</f>
        <v>No</v>
      </c>
      <c r="AC55" s="1"/>
    </row>
    <row r="56">
      <c r="A56" s="1" t="str">
        <f>IFERROR(__xludf.DUMMYFUNCTION("""COMPUTED_VALUE"""),"obLABbe")</f>
        <v>obLABbe</v>
      </c>
      <c r="B56" s="1" t="str">
        <f>IFERROR(__xludf.DUMMYFUNCTION("""COMPUTED_VALUE"""),"QK50l5k")</f>
        <v>QK50l5k</v>
      </c>
      <c r="C56" s="5">
        <f>IFERROR(__xludf.DUMMYFUNCTION("""COMPUTED_VALUE"""),46032.25387731481)</f>
        <v>46032.25388</v>
      </c>
      <c r="D56" s="1" t="str">
        <f>IFERROR(__xludf.DUMMYFUNCTION("""COMPUTED_VALUE"""),"18-25")</f>
        <v>18-25</v>
      </c>
      <c r="E56" s="1" t="str">
        <f>IFERROR(__xludf.DUMMYFUNCTION("""COMPUTED_VALUE"""),"Female")</f>
        <v>Female</v>
      </c>
      <c r="F56" s="1" t="str">
        <f>IFERROR(__xludf.DUMMYFUNCTION("""COMPUTED_VALUE"""),"Under ¥3,000,000")</f>
        <v>Under ¥3,000,000</v>
      </c>
      <c r="G56" s="1" t="str">
        <f>IFERROR(__xludf.DUMMYFUNCTION("""COMPUTED_VALUE"""),"Chubu")</f>
        <v>Chubu</v>
      </c>
      <c r="H56" s="1" t="str">
        <f>IFERROR(__xludf.DUMMYFUNCTION("""COMPUTED_VALUE"""),"Daily")</f>
        <v>Daily</v>
      </c>
      <c r="I56" s="1" t="str">
        <f>IFERROR(__xludf.DUMMYFUNCTION("""COMPUTED_VALUE"""),"Latte")</f>
        <v>Latte</v>
      </c>
      <c r="J56" s="1"/>
      <c r="K56" s="1" t="str">
        <f>IFERROR(__xludf.DUMMYFUNCTION("""COMPUTED_VALUE"""),"Rarely")</f>
        <v>Rarely</v>
      </c>
      <c r="L56" s="1" t="str">
        <f>IFERROR(__xludf.DUMMYFUNCTION("""COMPUTED_VALUE"""),"Matcha Latte")</f>
        <v>Matcha Latte</v>
      </c>
      <c r="M56" s="1"/>
      <c r="N56" s="1" t="str">
        <f>IFERROR(__xludf.DUMMYFUNCTION("""COMPUTED_VALUE"""),"Taste/Flavor")</f>
        <v>Taste/Flavor</v>
      </c>
      <c r="O56" s="1"/>
      <c r="P56" s="1" t="str">
        <f>IFERROR(__xludf.DUMMYFUNCTION("""COMPUTED_VALUE"""),"At cafés")</f>
        <v>At cafés</v>
      </c>
      <c r="Q56" s="1"/>
      <c r="R56" s="1" t="str">
        <f>IFERROR(__xludf.DUMMYFUNCTION("""COMPUTED_VALUE"""),"Once a week")</f>
        <v>Once a week</v>
      </c>
      <c r="S56" s="1" t="str">
        <f>IFERROR(__xludf.DUMMYFUNCTION("""COMPUTED_VALUE"""),"To study/work")</f>
        <v>To study/work</v>
      </c>
      <c r="T56" s="1"/>
      <c r="U56" s="1" t="str">
        <f>IFERROR(__xludf.DUMMYFUNCTION("""COMPUTED_VALUE"""),"Atmosphere")</f>
        <v>Atmosphere</v>
      </c>
      <c r="V56" s="1"/>
      <c r="W56" s="1" t="str">
        <f>IFERROR(__xludf.DUMMYFUNCTION("""COMPUTED_VALUE"""),"Yes, Global")</f>
        <v>Yes, Global</v>
      </c>
      <c r="X56" s="1" t="str">
        <f>IFERROR(__xludf.DUMMYFUNCTION("""COMPUTED_VALUE"""),"Yes,  Japanese")</f>
        <v>Yes,  Japanese</v>
      </c>
      <c r="Y56" s="1">
        <f>IFERROR(__xludf.DUMMYFUNCTION("""COMPUTED_VALUE"""),4.0)</f>
        <v>4</v>
      </c>
      <c r="Z56" s="1">
        <f>IFERROR(__xludf.DUMMYFUNCTION("""COMPUTED_VALUE"""),6.0)</f>
        <v>6</v>
      </c>
      <c r="AA56" s="1">
        <f>IFERROR(__xludf.DUMMYFUNCTION("""COMPUTED_VALUE"""),6.0)</f>
        <v>6</v>
      </c>
      <c r="AB56" s="1" t="str">
        <f>IFERROR(__xludf.DUMMYFUNCTION("""COMPUTED_VALUE"""),"No")</f>
        <v>No</v>
      </c>
      <c r="AC56" s="1"/>
    </row>
    <row r="57">
      <c r="A57" s="1" t="str">
        <f>IFERROR(__xludf.DUMMYFUNCTION("""COMPUTED_VALUE"""),"KYKWO6z")</f>
        <v>KYKWO6z</v>
      </c>
      <c r="B57" s="1" t="str">
        <f>IFERROR(__xludf.DUMMYFUNCTION("""COMPUTED_VALUE"""),"9qDpb2K")</f>
        <v>9qDpb2K</v>
      </c>
      <c r="C57" s="5">
        <f>IFERROR(__xludf.DUMMYFUNCTION("""COMPUTED_VALUE"""),46034.05730324074)</f>
        <v>46034.0573</v>
      </c>
      <c r="D57" s="1" t="str">
        <f>IFERROR(__xludf.DUMMYFUNCTION("""COMPUTED_VALUE"""),"18-25")</f>
        <v>18-25</v>
      </c>
      <c r="E57" s="1" t="str">
        <f>IFERROR(__xludf.DUMMYFUNCTION("""COMPUTED_VALUE"""),"Male")</f>
        <v>Male</v>
      </c>
      <c r="F57" s="1" t="str">
        <f>IFERROR(__xludf.DUMMYFUNCTION("""COMPUTED_VALUE"""),"¥3,000,000 – ¥5,999,999")</f>
        <v>¥3,000,000 – ¥5,999,999</v>
      </c>
      <c r="G57" s="1" t="str">
        <f>IFERROR(__xludf.DUMMYFUNCTION("""COMPUTED_VALUE"""),"Kanto")</f>
        <v>Kanto</v>
      </c>
      <c r="H57" s="1" t="str">
        <f>IFERROR(__xludf.DUMMYFUNCTION("""COMPUTED_VALUE"""),"Daily")</f>
        <v>Daily</v>
      </c>
      <c r="I57" s="1" t="str">
        <f>IFERROR(__xludf.DUMMYFUNCTION("""COMPUTED_VALUE"""),"Pour Over")</f>
        <v>Pour Over</v>
      </c>
      <c r="J57" s="1"/>
      <c r="K57" s="1" t="str">
        <f>IFERROR(__xludf.DUMMYFUNCTION("""COMPUTED_VALUE"""),"Rarely")</f>
        <v>Rarely</v>
      </c>
      <c r="L57" s="1" t="str">
        <f>IFERROR(__xludf.DUMMYFUNCTION("""COMPUTED_VALUE"""),"Matcha Latte")</f>
        <v>Matcha Latte</v>
      </c>
      <c r="M57" s="1"/>
      <c r="N57" s="1" t="str">
        <f>IFERROR(__xludf.DUMMYFUNCTION("""COMPUTED_VALUE"""),"Other:")</f>
        <v>Other:</v>
      </c>
      <c r="O57" s="1" t="str">
        <f>IFERROR(__xludf.DUMMYFUNCTION("""COMPUTED_VALUE"""),"Proximity/closeness")</f>
        <v>Proximity/closeness</v>
      </c>
      <c r="P57" s="1" t="str">
        <f>IFERROR(__xludf.DUMMYFUNCTION("""COMPUTED_VALUE"""),"At cafés, At home")</f>
        <v>At cafés, At home</v>
      </c>
      <c r="Q57" s="1"/>
      <c r="R57" s="1" t="str">
        <f>IFERROR(__xludf.DUMMYFUNCTION("""COMPUTED_VALUE"""),"Several times a week")</f>
        <v>Several times a week</v>
      </c>
      <c r="S57" s="1" t="str">
        <f>IFERROR(__xludf.DUMMYFUNCTION("""COMPUTED_VALUE"""),"Out of habit")</f>
        <v>Out of habit</v>
      </c>
      <c r="T57" s="1"/>
      <c r="U57" s="1" t="str">
        <f>IFERROR(__xludf.DUMMYFUNCTION("""COMPUTED_VALUE"""),"Quality of drinks")</f>
        <v>Quality of drinks</v>
      </c>
      <c r="V57" s="1"/>
      <c r="W57" s="1" t="str">
        <f>IFERROR(__xludf.DUMMYFUNCTION("""COMPUTED_VALUE"""),"Yes, Global")</f>
        <v>Yes, Global</v>
      </c>
      <c r="X57" s="1" t="str">
        <f>IFERROR(__xludf.DUMMYFUNCTION("""COMPUTED_VALUE"""),"Yes,  Japanese")</f>
        <v>Yes,  Japanese</v>
      </c>
      <c r="Y57" s="1">
        <f>IFERROR(__xludf.DUMMYFUNCTION("""COMPUTED_VALUE"""),6.0)</f>
        <v>6</v>
      </c>
      <c r="Z57" s="1">
        <f>IFERROR(__xludf.DUMMYFUNCTION("""COMPUTED_VALUE"""),6.0)</f>
        <v>6</v>
      </c>
      <c r="AA57" s="1">
        <f>IFERROR(__xludf.DUMMYFUNCTION("""COMPUTED_VALUE"""),7.0)</f>
        <v>7</v>
      </c>
      <c r="AB57" s="1" t="str">
        <f>IFERROR(__xludf.DUMMYFUNCTION("""COMPUTED_VALUE"""),"No")</f>
        <v>No</v>
      </c>
      <c r="AC57" s="1"/>
    </row>
    <row r="58">
      <c r="A58" s="1" t="str">
        <f>IFERROR(__xludf.DUMMYFUNCTION("""COMPUTED_VALUE"""),"gD6Jpg4")</f>
        <v>gD6Jpg4</v>
      </c>
      <c r="B58" s="1" t="str">
        <f>IFERROR(__xludf.DUMMYFUNCTION("""COMPUTED_VALUE"""),"LZWvQYj")</f>
        <v>LZWvQYj</v>
      </c>
      <c r="C58" s="5">
        <f>IFERROR(__xludf.DUMMYFUNCTION("""COMPUTED_VALUE"""),46034.06355324074)</f>
        <v>46034.06355</v>
      </c>
      <c r="D58" s="1" t="str">
        <f>IFERROR(__xludf.DUMMYFUNCTION("""COMPUTED_VALUE"""),"65+")</f>
        <v>65+</v>
      </c>
      <c r="E58" s="1" t="str">
        <f>IFERROR(__xludf.DUMMYFUNCTION("""COMPUTED_VALUE"""),"Male")</f>
        <v>Male</v>
      </c>
      <c r="F58" s="1" t="str">
        <f>IFERROR(__xludf.DUMMYFUNCTION("""COMPUTED_VALUE"""),"¥3,000,000 – ¥5,999,999")</f>
        <v>¥3,000,000 – ¥5,999,999</v>
      </c>
      <c r="G58" s="1" t="str">
        <f>IFERROR(__xludf.DUMMYFUNCTION("""COMPUTED_VALUE"""),"Kanto")</f>
        <v>Kanto</v>
      </c>
      <c r="H58" s="1" t="str">
        <f>IFERROR(__xludf.DUMMYFUNCTION("""COMPUTED_VALUE"""),"Daily")</f>
        <v>Daily</v>
      </c>
      <c r="I58" s="1" t="str">
        <f>IFERROR(__xludf.DUMMYFUNCTION("""COMPUTED_VALUE"""),"Drip")</f>
        <v>Drip</v>
      </c>
      <c r="J58" s="1"/>
      <c r="K58" s="1" t="str">
        <f>IFERROR(__xludf.DUMMYFUNCTION("""COMPUTED_VALUE"""),"Daily")</f>
        <v>Daily</v>
      </c>
      <c r="L58" s="1" t="str">
        <f>IFERROR(__xludf.DUMMYFUNCTION("""COMPUTED_VALUE"""),"Usucha")</f>
        <v>Usucha</v>
      </c>
      <c r="M58" s="1"/>
      <c r="N58" s="1" t="str">
        <f>IFERROR(__xludf.DUMMYFUNCTION("""COMPUTED_VALUE"""),"Taste/Flavor, Health benefits")</f>
        <v>Taste/Flavor, Health benefits</v>
      </c>
      <c r="O58" s="1"/>
      <c r="P58" s="1" t="str">
        <f>IFERROR(__xludf.DUMMYFUNCTION("""COMPUTED_VALUE"""),"At home, From vending machines")</f>
        <v>At home, From vending machines</v>
      </c>
      <c r="Q58" s="1"/>
      <c r="R58" s="1" t="str">
        <f>IFERROR(__xludf.DUMMYFUNCTION("""COMPUTED_VALUE"""),"A few times a month")</f>
        <v>A few times a month</v>
      </c>
      <c r="S58" s="1" t="str">
        <f>IFERROR(__xludf.DUMMYFUNCTION("""COMPUTED_VALUE"""),"Out of habit")</f>
        <v>Out of habit</v>
      </c>
      <c r="T58" s="1"/>
      <c r="U58" s="1" t="str">
        <f>IFERROR(__xludf.DUMMYFUNCTION("""COMPUTED_VALUE"""),"Service")</f>
        <v>Service</v>
      </c>
      <c r="V58" s="1"/>
      <c r="W58" s="1" t="str">
        <f>IFERROR(__xludf.DUMMYFUNCTION("""COMPUTED_VALUE"""),"Yes, Global")</f>
        <v>Yes, Global</v>
      </c>
      <c r="X58" s="1" t="str">
        <f>IFERROR(__xludf.DUMMYFUNCTION("""COMPUTED_VALUE"""),"Yes,  Japanese")</f>
        <v>Yes,  Japanese</v>
      </c>
      <c r="Y58" s="1">
        <f>IFERROR(__xludf.DUMMYFUNCTION("""COMPUTED_VALUE"""),7.0)</f>
        <v>7</v>
      </c>
      <c r="Z58" s="1">
        <f>IFERROR(__xludf.DUMMYFUNCTION("""COMPUTED_VALUE"""),7.0)</f>
        <v>7</v>
      </c>
      <c r="AA58" s="1">
        <f>IFERROR(__xludf.DUMMYFUNCTION("""COMPUTED_VALUE"""),4.0)</f>
        <v>4</v>
      </c>
      <c r="AB58" s="1" t="str">
        <f>IFERROR(__xludf.DUMMYFUNCTION("""COMPUTED_VALUE"""),"No")</f>
        <v>No</v>
      </c>
      <c r="AC58" s="1"/>
    </row>
    <row r="59">
      <c r="A59" s="1" t="str">
        <f>IFERROR(__xludf.DUMMYFUNCTION("""COMPUTED_VALUE"""),"Ek7ZY0N")</f>
        <v>Ek7ZY0N</v>
      </c>
      <c r="B59" s="1" t="str">
        <f>IFERROR(__xludf.DUMMYFUNCTION("""COMPUTED_VALUE"""),"44xAgVY")</f>
        <v>44xAgVY</v>
      </c>
      <c r="C59" s="5">
        <f>IFERROR(__xludf.DUMMYFUNCTION("""COMPUTED_VALUE"""),46034.06655092593)</f>
        <v>46034.06655</v>
      </c>
      <c r="D59" s="1" t="str">
        <f>IFERROR(__xludf.DUMMYFUNCTION("""COMPUTED_VALUE"""),"56-65")</f>
        <v>56-65</v>
      </c>
      <c r="E59" s="1" t="str">
        <f>IFERROR(__xludf.DUMMYFUNCTION("""COMPUTED_VALUE"""),"Male")</f>
        <v>Male</v>
      </c>
      <c r="F59" s="1" t="str">
        <f>IFERROR(__xludf.DUMMYFUNCTION("""COMPUTED_VALUE"""),"¥12,000,000 or more")</f>
        <v>¥12,000,000 or more</v>
      </c>
      <c r="G59" s="1" t="str">
        <f>IFERROR(__xludf.DUMMYFUNCTION("""COMPUTED_VALUE"""),"Kansai")</f>
        <v>Kansai</v>
      </c>
      <c r="H59" s="1" t="str">
        <f>IFERROR(__xludf.DUMMYFUNCTION("""COMPUTED_VALUE"""),"Daily")</f>
        <v>Daily</v>
      </c>
      <c r="I59" s="1" t="str">
        <f>IFERROR(__xludf.DUMMYFUNCTION("""COMPUTED_VALUE"""),"Drip")</f>
        <v>Drip</v>
      </c>
      <c r="J59" s="1"/>
      <c r="K59" s="1" t="str">
        <f>IFERROR(__xludf.DUMMYFUNCTION("""COMPUTED_VALUE"""),"Rarely")</f>
        <v>Rarely</v>
      </c>
      <c r="L59" s="1" t="str">
        <f>IFERROR(__xludf.DUMMYFUNCTION("""COMPUTED_VALUE"""),"I don’t drink matcha")</f>
        <v>I don’t drink matcha</v>
      </c>
      <c r="M59" s="1"/>
      <c r="N59" s="1" t="str">
        <f>IFERROR(__xludf.DUMMYFUNCTION("""COMPUTED_VALUE"""),"Routine/Ritual, Taste/Flavor")</f>
        <v>Routine/Ritual, Taste/Flavor</v>
      </c>
      <c r="O59" s="1"/>
      <c r="P59" s="1" t="str">
        <f>IFERROR(__xludf.DUMMYFUNCTION("""COMPUTED_VALUE"""),"At home, Other:")</f>
        <v>At home, Other:</v>
      </c>
      <c r="Q59" s="1" t="str">
        <f>IFERROR(__xludf.DUMMYFUNCTION("""COMPUTED_VALUE"""),"At office")</f>
        <v>At office</v>
      </c>
      <c r="R59" s="1" t="str">
        <f>IFERROR(__xludf.DUMMYFUNCTION("""COMPUTED_VALUE"""),"Rarely")</f>
        <v>Rarely</v>
      </c>
      <c r="S59" s="1" t="str">
        <f>IFERROR(__xludf.DUMMYFUNCTION("""COMPUTED_VALUE"""),"To relax or take a break")</f>
        <v>To relax or take a break</v>
      </c>
      <c r="T59" s="1"/>
      <c r="U59" s="1" t="str">
        <f>IFERROR(__xludf.DUMMYFUNCTION("""COMPUTED_VALUE"""),"Atmosphere")</f>
        <v>Atmosphere</v>
      </c>
      <c r="V59" s="1"/>
      <c r="W59" s="1" t="str">
        <f>IFERROR(__xludf.DUMMYFUNCTION("""COMPUTED_VALUE"""),"Yes, Western")</f>
        <v>Yes, Western</v>
      </c>
      <c r="X59" s="1" t="str">
        <f>IFERROR(__xludf.DUMMYFUNCTION("""COMPUTED_VALUE"""),"Yes,  Japanese")</f>
        <v>Yes,  Japanese</v>
      </c>
      <c r="Y59" s="1">
        <f>IFERROR(__xludf.DUMMYFUNCTION("""COMPUTED_VALUE"""),5.0)</f>
        <v>5</v>
      </c>
      <c r="Z59" s="1">
        <f>IFERROR(__xludf.DUMMYFUNCTION("""COMPUTED_VALUE"""),6.0)</f>
        <v>6</v>
      </c>
      <c r="AA59" s="1">
        <f>IFERROR(__xludf.DUMMYFUNCTION("""COMPUTED_VALUE"""),1.0)</f>
        <v>1</v>
      </c>
      <c r="AB59" s="1" t="str">
        <f>IFERROR(__xludf.DUMMYFUNCTION("""COMPUTED_VALUE"""),"No")</f>
        <v>No</v>
      </c>
      <c r="AC59" s="1"/>
    </row>
    <row r="60">
      <c r="A60" s="1" t="str">
        <f>IFERROR(__xludf.DUMMYFUNCTION("""COMPUTED_VALUE"""),"gD6JBP1")</f>
        <v>gD6JBP1</v>
      </c>
      <c r="B60" s="1" t="str">
        <f>IFERROR(__xludf.DUMMYFUNCTION("""COMPUTED_VALUE"""),"xXaRM7y")</f>
        <v>xXaRM7y</v>
      </c>
      <c r="C60" s="5">
        <f>IFERROR(__xludf.DUMMYFUNCTION("""COMPUTED_VALUE"""),46034.114224537036)</f>
        <v>46034.11422</v>
      </c>
      <c r="D60" s="1" t="str">
        <f>IFERROR(__xludf.DUMMYFUNCTION("""COMPUTED_VALUE"""),"46-55")</f>
        <v>46-55</v>
      </c>
      <c r="E60" s="1" t="str">
        <f>IFERROR(__xludf.DUMMYFUNCTION("""COMPUTED_VALUE"""),"Female")</f>
        <v>Female</v>
      </c>
      <c r="F60" s="1" t="str">
        <f>IFERROR(__xludf.DUMMYFUNCTION("""COMPUTED_VALUE"""),"¥12,000,000 or more")</f>
        <v>¥12,000,000 or more</v>
      </c>
      <c r="G60" s="1" t="str">
        <f>IFERROR(__xludf.DUMMYFUNCTION("""COMPUTED_VALUE"""),"Kanto")</f>
        <v>Kanto</v>
      </c>
      <c r="H60" s="1" t="str">
        <f>IFERROR(__xludf.DUMMYFUNCTION("""COMPUTED_VALUE"""),"Daily")</f>
        <v>Daily</v>
      </c>
      <c r="I60" s="1" t="str">
        <f>IFERROR(__xludf.DUMMYFUNCTION("""COMPUTED_VALUE"""),"Drip")</f>
        <v>Drip</v>
      </c>
      <c r="J60" s="1"/>
      <c r="K60" s="1" t="str">
        <f>IFERROR(__xludf.DUMMYFUNCTION("""COMPUTED_VALUE"""),"Rarely")</f>
        <v>Rarely</v>
      </c>
      <c r="L60" s="1" t="str">
        <f>IFERROR(__xludf.DUMMYFUNCTION("""COMPUTED_VALUE"""),"Usucha")</f>
        <v>Usucha</v>
      </c>
      <c r="M60" s="1" t="str">
        <f>IFERROR(__xludf.DUMMYFUNCTION("""COMPUTED_VALUE"""),"I drink sencha everyday")</f>
        <v>I drink sencha everyday</v>
      </c>
      <c r="N60" s="1" t="str">
        <f>IFERROR(__xludf.DUMMYFUNCTION("""COMPUTED_VALUE"""),"Energy boost/Caffeine, Taste/Flavor")</f>
        <v>Energy boost/Caffeine, Taste/Flavor</v>
      </c>
      <c r="O60" s="1"/>
      <c r="P60" s="1" t="str">
        <f>IFERROR(__xludf.DUMMYFUNCTION("""COMPUTED_VALUE"""),"")</f>
        <v/>
      </c>
      <c r="Q60" s="1"/>
      <c r="R60" s="1" t="str">
        <f>IFERROR(__xludf.DUMMYFUNCTION("""COMPUTED_VALUE"""),"Several times a week")</f>
        <v>Several times a week</v>
      </c>
      <c r="S60" s="1" t="str">
        <f>IFERROR(__xludf.DUMMYFUNCTION("""COMPUTED_VALUE"""),"To relax or take a break")</f>
        <v>To relax or take a break</v>
      </c>
      <c r="T60" s="1"/>
      <c r="U60" s="1" t="str">
        <f>IFERROR(__xludf.DUMMYFUNCTION("""COMPUTED_VALUE"""),"Quality of drinks")</f>
        <v>Quality of drinks</v>
      </c>
      <c r="V60" s="1"/>
      <c r="W60" s="1" t="str">
        <f>IFERROR(__xludf.DUMMYFUNCTION("""COMPUTED_VALUE"""),"No")</f>
        <v>No</v>
      </c>
      <c r="X60" s="1" t="str">
        <f>IFERROR(__xludf.DUMMYFUNCTION("""COMPUTED_VALUE"""),"Yes,  Japanese")</f>
        <v>Yes,  Japanese</v>
      </c>
      <c r="Y60" s="1">
        <f>IFERROR(__xludf.DUMMYFUNCTION("""COMPUTED_VALUE"""),5.0)</f>
        <v>5</v>
      </c>
      <c r="Z60" s="1">
        <f>IFERROR(__xludf.DUMMYFUNCTION("""COMPUTED_VALUE"""),7.0)</f>
        <v>7</v>
      </c>
      <c r="AA60" s="1">
        <f>IFERROR(__xludf.DUMMYFUNCTION("""COMPUTED_VALUE"""),5.0)</f>
        <v>5</v>
      </c>
      <c r="AB60" s="1" t="str">
        <f>IFERROR(__xludf.DUMMYFUNCTION("""COMPUTED_VALUE"""),"No")</f>
        <v>No</v>
      </c>
      <c r="AC60" s="1"/>
    </row>
    <row r="61">
      <c r="A61" s="1" t="str">
        <f>IFERROR(__xludf.DUMMYFUNCTION("""COMPUTED_VALUE"""),"rjMkOgL")</f>
        <v>rjMkOgL</v>
      </c>
      <c r="B61" s="1" t="str">
        <f>IFERROR(__xludf.DUMMYFUNCTION("""COMPUTED_VALUE"""),"aQYABpZ")</f>
        <v>aQYABpZ</v>
      </c>
      <c r="C61" s="5">
        <f>IFERROR(__xludf.DUMMYFUNCTION("""COMPUTED_VALUE"""),46034.16165509259)</f>
        <v>46034.16166</v>
      </c>
      <c r="D61" s="1" t="str">
        <f>IFERROR(__xludf.DUMMYFUNCTION("""COMPUTED_VALUE"""),"36-45")</f>
        <v>36-45</v>
      </c>
      <c r="E61" s="1" t="str">
        <f>IFERROR(__xludf.DUMMYFUNCTION("""COMPUTED_VALUE"""),"Female")</f>
        <v>Female</v>
      </c>
      <c r="F61" s="1" t="str">
        <f>IFERROR(__xludf.DUMMYFUNCTION("""COMPUTED_VALUE"""),"¥12,000,000 or more")</f>
        <v>¥12,000,000 or more</v>
      </c>
      <c r="G61" s="1" t="str">
        <f>IFERROR(__xludf.DUMMYFUNCTION("""COMPUTED_VALUE"""),"Kanto")</f>
        <v>Kanto</v>
      </c>
      <c r="H61" s="1" t="str">
        <f>IFERROR(__xludf.DUMMYFUNCTION("""COMPUTED_VALUE"""),"Once a week")</f>
        <v>Once a week</v>
      </c>
      <c r="I61" s="1" t="str">
        <f>IFERROR(__xludf.DUMMYFUNCTION("""COMPUTED_VALUE"""),"Latte")</f>
        <v>Latte</v>
      </c>
      <c r="J61" s="1"/>
      <c r="K61" s="1" t="str">
        <f>IFERROR(__xludf.DUMMYFUNCTION("""COMPUTED_VALUE"""),"Rarely")</f>
        <v>Rarely</v>
      </c>
      <c r="L61" s="1" t="str">
        <f>IFERROR(__xludf.DUMMYFUNCTION("""COMPUTED_VALUE"""),"I don’t drink matcha")</f>
        <v>I don’t drink matcha</v>
      </c>
      <c r="M61" s="1"/>
      <c r="N61" s="1" t="str">
        <f>IFERROR(__xludf.DUMMYFUNCTION("""COMPUTED_VALUE"""),"Routine/Ritual")</f>
        <v>Routine/Ritual</v>
      </c>
      <c r="O61" s="1"/>
      <c r="P61" s="1" t="str">
        <f>IFERROR(__xludf.DUMMYFUNCTION("""COMPUTED_VALUE"""),"At cafés")</f>
        <v>At cafés</v>
      </c>
      <c r="Q61" s="1"/>
      <c r="R61" s="1" t="str">
        <f>IFERROR(__xludf.DUMMYFUNCTION("""COMPUTED_VALUE"""),"Once a week")</f>
        <v>Once a week</v>
      </c>
      <c r="S61" s="1" t="str">
        <f>IFERROR(__xludf.DUMMYFUNCTION("""COMPUTED_VALUE"""),"To relax or take a break")</f>
        <v>To relax or take a break</v>
      </c>
      <c r="T61" s="1"/>
      <c r="U61" s="1" t="str">
        <f>IFERROR(__xludf.DUMMYFUNCTION("""COMPUTED_VALUE"""),"Quality of drinks")</f>
        <v>Quality of drinks</v>
      </c>
      <c r="V61" s="1"/>
      <c r="W61" s="1" t="str">
        <f>IFERROR(__xludf.DUMMYFUNCTION("""COMPUTED_VALUE"""),"Yes, Western")</f>
        <v>Yes, Western</v>
      </c>
      <c r="X61" s="1" t="str">
        <f>IFERROR(__xludf.DUMMYFUNCTION("""COMPUTED_VALUE"""),"Yes,  Japanese")</f>
        <v>Yes,  Japanese</v>
      </c>
      <c r="Y61" s="1">
        <f>IFERROR(__xludf.DUMMYFUNCTION("""COMPUTED_VALUE"""),4.0)</f>
        <v>4</v>
      </c>
      <c r="Z61" s="1">
        <f>IFERROR(__xludf.DUMMYFUNCTION("""COMPUTED_VALUE"""),7.0)</f>
        <v>7</v>
      </c>
      <c r="AA61" s="1">
        <f>IFERROR(__xludf.DUMMYFUNCTION("""COMPUTED_VALUE"""),3.0)</f>
        <v>3</v>
      </c>
      <c r="AB61" s="1" t="str">
        <f>IFERROR(__xludf.DUMMYFUNCTION("""COMPUTED_VALUE"""),"No")</f>
        <v>No</v>
      </c>
      <c r="AC61" s="1"/>
    </row>
    <row r="62">
      <c r="A62" s="1" t="str">
        <f>IFERROR(__xludf.DUMMYFUNCTION("""COMPUTED_VALUE"""),"0QRD61Q")</f>
        <v>0QRD61Q</v>
      </c>
      <c r="B62" s="1" t="str">
        <f>IFERROR(__xludf.DUMMYFUNCTION("""COMPUTED_VALUE"""),"OD5b0zp")</f>
        <v>OD5b0zp</v>
      </c>
      <c r="C62" s="5">
        <f>IFERROR(__xludf.DUMMYFUNCTION("""COMPUTED_VALUE"""),46034.174108796295)</f>
        <v>46034.17411</v>
      </c>
      <c r="D62" s="1" t="str">
        <f>IFERROR(__xludf.DUMMYFUNCTION("""COMPUTED_VALUE"""),"18-25")</f>
        <v>18-25</v>
      </c>
      <c r="E62" s="1" t="str">
        <f>IFERROR(__xludf.DUMMYFUNCTION("""COMPUTED_VALUE"""),"Female")</f>
        <v>Female</v>
      </c>
      <c r="F62" s="1" t="str">
        <f>IFERROR(__xludf.DUMMYFUNCTION("""COMPUTED_VALUE"""),"Under ¥3,000,000")</f>
        <v>Under ¥3,000,000</v>
      </c>
      <c r="G62" s="1" t="str">
        <f>IFERROR(__xludf.DUMMYFUNCTION("""COMPUTED_VALUE"""),"Chubu")</f>
        <v>Chubu</v>
      </c>
      <c r="H62" s="1" t="str">
        <f>IFERROR(__xludf.DUMMYFUNCTION("""COMPUTED_VALUE"""),"Daily")</f>
        <v>Daily</v>
      </c>
      <c r="I62" s="1" t="str">
        <f>IFERROR(__xludf.DUMMYFUNCTION("""COMPUTED_VALUE"""),"Pour Over")</f>
        <v>Pour Over</v>
      </c>
      <c r="J62" s="1"/>
      <c r="K62" s="1" t="str">
        <f>IFERROR(__xludf.DUMMYFUNCTION("""COMPUTED_VALUE"""),"Several times a week")</f>
        <v>Several times a week</v>
      </c>
      <c r="L62" s="1" t="str">
        <f>IFERROR(__xludf.DUMMYFUNCTION("""COMPUTED_VALUE"""),"Matcha Latte")</f>
        <v>Matcha Latte</v>
      </c>
      <c r="M62" s="1"/>
      <c r="N62" s="1" t="str">
        <f>IFERROR(__xludf.DUMMYFUNCTION("""COMPUTED_VALUE"""),"Other:, Routine/Ritual")</f>
        <v>Other:, Routine/Ritual</v>
      </c>
      <c r="O62" s="1"/>
      <c r="P62" s="1" t="str">
        <f>IFERROR(__xludf.DUMMYFUNCTION("""COMPUTED_VALUE"""),"")</f>
        <v/>
      </c>
      <c r="Q62" s="1"/>
      <c r="R62" s="1" t="str">
        <f>IFERROR(__xludf.DUMMYFUNCTION("""COMPUTED_VALUE"""),"A few times a month")</f>
        <v>A few times a month</v>
      </c>
      <c r="S62" s="1" t="str">
        <f>IFERROR(__xludf.DUMMYFUNCTION("""COMPUTED_VALUE"""),"To try a new drink")</f>
        <v>To try a new drink</v>
      </c>
      <c r="T62" s="1"/>
      <c r="U62" s="1" t="str">
        <f>IFERROR(__xludf.DUMMYFUNCTION("""COMPUTED_VALUE"""),"Atmosphere")</f>
        <v>Atmosphere</v>
      </c>
      <c r="V62" s="1"/>
      <c r="W62" s="1" t="str">
        <f>IFERROR(__xludf.DUMMYFUNCTION("""COMPUTED_VALUE"""),"Yes, Global")</f>
        <v>Yes, Global</v>
      </c>
      <c r="X62" s="1" t="str">
        <f>IFERROR(__xludf.DUMMYFUNCTION("""COMPUTED_VALUE"""),"Yes,  Japanese")</f>
        <v>Yes,  Japanese</v>
      </c>
      <c r="Y62" s="1">
        <f>IFERROR(__xludf.DUMMYFUNCTION("""COMPUTED_VALUE"""),5.0)</f>
        <v>5</v>
      </c>
      <c r="Z62" s="1">
        <f>IFERROR(__xludf.DUMMYFUNCTION("""COMPUTED_VALUE"""),4.0)</f>
        <v>4</v>
      </c>
      <c r="AA62" s="1">
        <f>IFERROR(__xludf.DUMMYFUNCTION("""COMPUTED_VALUE"""),6.0)</f>
        <v>6</v>
      </c>
      <c r="AB62" s="1" t="str">
        <f>IFERROR(__xludf.DUMMYFUNCTION("""COMPUTED_VALUE"""),"No")</f>
        <v>No</v>
      </c>
      <c r="AC62" s="1"/>
    </row>
    <row r="63">
      <c r="A63" s="1" t="str">
        <f>IFERROR(__xludf.DUMMYFUNCTION("""COMPUTED_VALUE"""),"GxAQrlz")</f>
        <v>GxAQrlz</v>
      </c>
      <c r="B63" s="1" t="str">
        <f>IFERROR(__xludf.DUMMYFUNCTION("""COMPUTED_VALUE"""),"q4AJOG9")</f>
        <v>q4AJOG9</v>
      </c>
      <c r="C63" s="5">
        <f>IFERROR(__xludf.DUMMYFUNCTION("""COMPUTED_VALUE"""),46034.18221064815)</f>
        <v>46034.18221</v>
      </c>
      <c r="D63" s="1" t="str">
        <f>IFERROR(__xludf.DUMMYFUNCTION("""COMPUTED_VALUE"""),"26-35")</f>
        <v>26-35</v>
      </c>
      <c r="E63" s="1" t="str">
        <f>IFERROR(__xludf.DUMMYFUNCTION("""COMPUTED_VALUE"""),"Female")</f>
        <v>Female</v>
      </c>
      <c r="F63" s="1" t="str">
        <f>IFERROR(__xludf.DUMMYFUNCTION("""COMPUTED_VALUE"""),"Under ¥3,000,000")</f>
        <v>Under ¥3,000,000</v>
      </c>
      <c r="G63" s="1" t="str">
        <f>IFERROR(__xludf.DUMMYFUNCTION("""COMPUTED_VALUE"""),"Kansai")</f>
        <v>Kansai</v>
      </c>
      <c r="H63" s="1" t="str">
        <f>IFERROR(__xludf.DUMMYFUNCTION("""COMPUTED_VALUE"""),"Never")</f>
        <v>Never</v>
      </c>
      <c r="I63" s="1" t="str">
        <f>IFERROR(__xludf.DUMMYFUNCTION("""COMPUTED_VALUE"""),"")</f>
        <v/>
      </c>
      <c r="J63" s="1"/>
      <c r="K63" s="1" t="str">
        <f>IFERROR(__xludf.DUMMYFUNCTION("""COMPUTED_VALUE"""),"Several times a week")</f>
        <v>Several times a week</v>
      </c>
      <c r="L63" s="1" t="str">
        <f>IFERROR(__xludf.DUMMYFUNCTION("""COMPUTED_VALUE"""),"Usucha")</f>
        <v>Usucha</v>
      </c>
      <c r="M63" s="1"/>
      <c r="N63" s="1" t="str">
        <f>IFERROR(__xludf.DUMMYFUNCTION("""COMPUTED_VALUE"""),"Social atmosphere, Taste/Flavor")</f>
        <v>Social atmosphere, Taste/Flavor</v>
      </c>
      <c r="O63" s="1"/>
      <c r="P63" s="1" t="str">
        <f>IFERROR(__xludf.DUMMYFUNCTION("""COMPUTED_VALUE"""),"Other:")</f>
        <v>Other:</v>
      </c>
      <c r="Q63" s="1" t="str">
        <f>IFERROR(__xludf.DUMMYFUNCTION("""COMPUTED_VALUE"""),"Work")</f>
        <v>Work</v>
      </c>
      <c r="R63" s="1" t="str">
        <f>IFERROR(__xludf.DUMMYFUNCTION("""COMPUTED_VALUE"""),"A few times a month")</f>
        <v>A few times a month</v>
      </c>
      <c r="S63" s="1" t="str">
        <f>IFERROR(__xludf.DUMMYFUNCTION("""COMPUTED_VALUE"""),"To relax or take a break")</f>
        <v>To relax or take a break</v>
      </c>
      <c r="T63" s="1"/>
      <c r="U63" s="1" t="str">
        <f>IFERROR(__xludf.DUMMYFUNCTION("""COMPUTED_VALUE"""),"Atmosphere")</f>
        <v>Atmosphere</v>
      </c>
      <c r="V63" s="1"/>
      <c r="W63" s="1" t="str">
        <f>IFERROR(__xludf.DUMMYFUNCTION("""COMPUTED_VALUE"""),"Yes, Global")</f>
        <v>Yes, Global</v>
      </c>
      <c r="X63" s="1" t="str">
        <f>IFERROR(__xludf.DUMMYFUNCTION("""COMPUTED_VALUE"""),"Yes,  Japanese")</f>
        <v>Yes,  Japanese</v>
      </c>
      <c r="Y63" s="1">
        <f>IFERROR(__xludf.DUMMYFUNCTION("""COMPUTED_VALUE"""),5.0)</f>
        <v>5</v>
      </c>
      <c r="Z63" s="1">
        <f>IFERROR(__xludf.DUMMYFUNCTION("""COMPUTED_VALUE"""),7.0)</f>
        <v>7</v>
      </c>
      <c r="AA63" s="1">
        <f>IFERROR(__xludf.DUMMYFUNCTION("""COMPUTED_VALUE"""),7.0)</f>
        <v>7</v>
      </c>
      <c r="AB63" s="1" t="str">
        <f>IFERROR(__xludf.DUMMYFUNCTION("""COMPUTED_VALUE"""),"No")</f>
        <v>No</v>
      </c>
      <c r="AC63" s="1"/>
    </row>
    <row r="64">
      <c r="A64" s="1" t="str">
        <f>IFERROR(__xludf.DUMMYFUNCTION("""COMPUTED_VALUE"""),"Y5lxOQ6")</f>
        <v>Y5lxOQ6</v>
      </c>
      <c r="B64" s="1" t="str">
        <f>IFERROR(__xludf.DUMMYFUNCTION("""COMPUTED_VALUE"""),"Y5WJrKW")</f>
        <v>Y5WJrKW</v>
      </c>
      <c r="C64" s="5">
        <f>IFERROR(__xludf.DUMMYFUNCTION("""COMPUTED_VALUE"""),46034.18680555555)</f>
        <v>46034.18681</v>
      </c>
      <c r="D64" s="1" t="str">
        <f>IFERROR(__xludf.DUMMYFUNCTION("""COMPUTED_VALUE"""),"26-35")</f>
        <v>26-35</v>
      </c>
      <c r="E64" s="1" t="str">
        <f>IFERROR(__xludf.DUMMYFUNCTION("""COMPUTED_VALUE"""),"Male")</f>
        <v>Male</v>
      </c>
      <c r="F64" s="1" t="str">
        <f>IFERROR(__xludf.DUMMYFUNCTION("""COMPUTED_VALUE"""),"¥3,000,000 – ¥5,999,999")</f>
        <v>¥3,000,000 – ¥5,999,999</v>
      </c>
      <c r="G64" s="1" t="str">
        <f>IFERROR(__xludf.DUMMYFUNCTION("""COMPUTED_VALUE"""),"Kansai")</f>
        <v>Kansai</v>
      </c>
      <c r="H64" s="1" t="str">
        <f>IFERROR(__xludf.DUMMYFUNCTION("""COMPUTED_VALUE"""),"Once a week")</f>
        <v>Once a week</v>
      </c>
      <c r="I64" s="1" t="str">
        <f>IFERROR(__xludf.DUMMYFUNCTION("""COMPUTED_VALUE"""),"Drip")</f>
        <v>Drip</v>
      </c>
      <c r="J64" s="1"/>
      <c r="K64" s="1" t="str">
        <f>IFERROR(__xludf.DUMMYFUNCTION("""COMPUTED_VALUE"""),"Daily")</f>
        <v>Daily</v>
      </c>
      <c r="L64" s="1" t="str">
        <f>IFERROR(__xludf.DUMMYFUNCTION("""COMPUTED_VALUE"""),"Usucha")</f>
        <v>Usucha</v>
      </c>
      <c r="M64" s="1"/>
      <c r="N64" s="1" t="str">
        <f>IFERROR(__xludf.DUMMYFUNCTION("""COMPUTED_VALUE"""),"Routine/Ritual, Taste/Flavor")</f>
        <v>Routine/Ritual, Taste/Flavor</v>
      </c>
      <c r="O64" s="1"/>
      <c r="P64" s="1" t="str">
        <f>IFERROR(__xludf.DUMMYFUNCTION("""COMPUTED_VALUE"""),"Other:, At home")</f>
        <v>Other:, At home</v>
      </c>
      <c r="Q64" s="1"/>
      <c r="R64" s="1" t="str">
        <f>IFERROR(__xludf.DUMMYFUNCTION("""COMPUTED_VALUE"""),"Once a week")</f>
        <v>Once a week</v>
      </c>
      <c r="S64" s="1" t="str">
        <f>IFERROR(__xludf.DUMMYFUNCTION("""COMPUTED_VALUE"""),"To relax or take a break")</f>
        <v>To relax or take a break</v>
      </c>
      <c r="T64" s="1"/>
      <c r="U64" s="1" t="str">
        <f>IFERROR(__xludf.DUMMYFUNCTION("""COMPUTED_VALUE"""),"Service")</f>
        <v>Service</v>
      </c>
      <c r="V64" s="1"/>
      <c r="W64" s="1" t="str">
        <f>IFERROR(__xludf.DUMMYFUNCTION("""COMPUTED_VALUE"""),"Yes, Global")</f>
        <v>Yes, Global</v>
      </c>
      <c r="X64" s="1" t="str">
        <f>IFERROR(__xludf.DUMMYFUNCTION("""COMPUTED_VALUE"""),"Yes, Global")</f>
        <v>Yes, Global</v>
      </c>
      <c r="Y64" s="1">
        <f>IFERROR(__xludf.DUMMYFUNCTION("""COMPUTED_VALUE"""),7.0)</f>
        <v>7</v>
      </c>
      <c r="Z64" s="1">
        <f>IFERROR(__xludf.DUMMYFUNCTION("""COMPUTED_VALUE"""),7.0)</f>
        <v>7</v>
      </c>
      <c r="AA64" s="1">
        <f>IFERROR(__xludf.DUMMYFUNCTION("""COMPUTED_VALUE"""),5.0)</f>
        <v>5</v>
      </c>
      <c r="AB64" s="1" t="str">
        <f>IFERROR(__xludf.DUMMYFUNCTION("""COMPUTED_VALUE"""),"Yes")</f>
        <v>Yes</v>
      </c>
      <c r="AC64" s="8"/>
    </row>
    <row r="65">
      <c r="A65" s="1" t="str">
        <f>IFERROR(__xludf.DUMMYFUNCTION("""COMPUTED_VALUE"""),"Ek7NOBr")</f>
        <v>Ek7NOBr</v>
      </c>
      <c r="B65" s="1" t="str">
        <f>IFERROR(__xludf.DUMMYFUNCTION("""COMPUTED_VALUE"""),"J9AeG1K")</f>
        <v>J9AeG1K</v>
      </c>
      <c r="C65" s="5">
        <f>IFERROR(__xludf.DUMMYFUNCTION("""COMPUTED_VALUE"""),46034.28605324074)</f>
        <v>46034.28605</v>
      </c>
      <c r="D65" s="1" t="str">
        <f>IFERROR(__xludf.DUMMYFUNCTION("""COMPUTED_VALUE"""),"26-35")</f>
        <v>26-35</v>
      </c>
      <c r="E65" s="1" t="str">
        <f>IFERROR(__xludf.DUMMYFUNCTION("""COMPUTED_VALUE"""),"Male")</f>
        <v>Male</v>
      </c>
      <c r="F65" s="1" t="str">
        <f>IFERROR(__xludf.DUMMYFUNCTION("""COMPUTED_VALUE"""),"¥3,000,000 – ¥5,999,999")</f>
        <v>¥3,000,000 – ¥5,999,999</v>
      </c>
      <c r="G65" s="1" t="str">
        <f>IFERROR(__xludf.DUMMYFUNCTION("""COMPUTED_VALUE"""),"Kyushu")</f>
        <v>Kyushu</v>
      </c>
      <c r="H65" s="1" t="str">
        <f>IFERROR(__xludf.DUMMYFUNCTION("""COMPUTED_VALUE"""),"Daily")</f>
        <v>Daily</v>
      </c>
      <c r="I65" s="1" t="str">
        <f>IFERROR(__xludf.DUMMYFUNCTION("""COMPUTED_VALUE"""),"Drip")</f>
        <v>Drip</v>
      </c>
      <c r="J65" s="1"/>
      <c r="K65" s="1" t="str">
        <f>IFERROR(__xludf.DUMMYFUNCTION("""COMPUTED_VALUE"""),"Rarely")</f>
        <v>Rarely</v>
      </c>
      <c r="L65" s="1" t="str">
        <f>IFERROR(__xludf.DUMMYFUNCTION("""COMPUTED_VALUE"""),"Koicha")</f>
        <v>Koicha</v>
      </c>
      <c r="M65" s="1"/>
      <c r="N65" s="1" t="str">
        <f>IFERROR(__xludf.DUMMYFUNCTION("""COMPUTED_VALUE"""),"Taste/Flavor")</f>
        <v>Taste/Flavor</v>
      </c>
      <c r="O65" s="1"/>
      <c r="P65" s="1" t="str">
        <f>IFERROR(__xludf.DUMMYFUNCTION("""COMPUTED_VALUE"""),"At home, At cafés, From convenience stores (7-Eleven, Lawson, etc.), From vending machines")</f>
        <v>At home, At cafés, From convenience stores (7-Eleven, Lawson, etc.), From vending machines</v>
      </c>
      <c r="Q65" s="1"/>
      <c r="R65" s="1" t="str">
        <f>IFERROR(__xludf.DUMMYFUNCTION("""COMPUTED_VALUE"""),"A few times a month")</f>
        <v>A few times a month</v>
      </c>
      <c r="S65" s="1" t="str">
        <f>IFERROR(__xludf.DUMMYFUNCTION("""COMPUTED_VALUE"""),"To relax or take a break")</f>
        <v>To relax or take a break</v>
      </c>
      <c r="T65" s="1"/>
      <c r="U65" s="1" t="str">
        <f>IFERROR(__xludf.DUMMYFUNCTION("""COMPUTED_VALUE"""),"Quality of drinks")</f>
        <v>Quality of drinks</v>
      </c>
      <c r="V65" s="1"/>
      <c r="W65" s="1" t="str">
        <f>IFERROR(__xludf.DUMMYFUNCTION("""COMPUTED_VALUE"""),"Yes, Global")</f>
        <v>Yes, Global</v>
      </c>
      <c r="X65" s="1" t="str">
        <f>IFERROR(__xludf.DUMMYFUNCTION("""COMPUTED_VALUE"""),"Yes,  Japanese")</f>
        <v>Yes,  Japanese</v>
      </c>
      <c r="Y65" s="1">
        <f>IFERROR(__xludf.DUMMYFUNCTION("""COMPUTED_VALUE"""),7.0)</f>
        <v>7</v>
      </c>
      <c r="Z65" s="1">
        <f>IFERROR(__xludf.DUMMYFUNCTION("""COMPUTED_VALUE"""),7.0)</f>
        <v>7</v>
      </c>
      <c r="AA65" s="1">
        <f>IFERROR(__xludf.DUMMYFUNCTION("""COMPUTED_VALUE"""),7.0)</f>
        <v>7</v>
      </c>
      <c r="AB65" s="1" t="str">
        <f>IFERROR(__xludf.DUMMYFUNCTION("""COMPUTED_VALUE"""),"Yes")</f>
        <v>Yes</v>
      </c>
      <c r="AC65" s="1"/>
    </row>
    <row r="66">
      <c r="A66" s="1" t="str">
        <f>IFERROR(__xludf.DUMMYFUNCTION("""COMPUTED_VALUE"""),"eqWY140")</f>
        <v>eqWY140</v>
      </c>
      <c r="B66" s="1" t="str">
        <f>IFERROR(__xludf.DUMMYFUNCTION("""COMPUTED_VALUE"""),"vGyJ12X")</f>
        <v>vGyJ12X</v>
      </c>
      <c r="C66" s="5">
        <f>IFERROR(__xludf.DUMMYFUNCTION("""COMPUTED_VALUE"""),46034.31005787037)</f>
        <v>46034.31006</v>
      </c>
      <c r="D66" s="1" t="str">
        <f>IFERROR(__xludf.DUMMYFUNCTION("""COMPUTED_VALUE"""),"65+")</f>
        <v>65+</v>
      </c>
      <c r="E66" s="1" t="str">
        <f>IFERROR(__xludf.DUMMYFUNCTION("""COMPUTED_VALUE"""),"Male")</f>
        <v>Male</v>
      </c>
      <c r="F66" s="1" t="str">
        <f>IFERROR(__xludf.DUMMYFUNCTION("""COMPUTED_VALUE"""),"¥12,000,000 or more")</f>
        <v>¥12,000,000 or more</v>
      </c>
      <c r="G66" s="1" t="str">
        <f>IFERROR(__xludf.DUMMYFUNCTION("""COMPUTED_VALUE"""),"Kanto")</f>
        <v>Kanto</v>
      </c>
      <c r="H66" s="1" t="str">
        <f>IFERROR(__xludf.DUMMYFUNCTION("""COMPUTED_VALUE"""),"Once a week")</f>
        <v>Once a week</v>
      </c>
      <c r="I66" s="1" t="str">
        <f>IFERROR(__xludf.DUMMYFUNCTION("""COMPUTED_VALUE"""),"Flavored coffee (mocha, vanilla, caramel, etc.)")</f>
        <v>Flavored coffee (mocha, vanilla, caramel, etc.)</v>
      </c>
      <c r="J66" s="1"/>
      <c r="K66" s="1" t="str">
        <f>IFERROR(__xludf.DUMMYFUNCTION("""COMPUTED_VALUE"""),"Once a week")</f>
        <v>Once a week</v>
      </c>
      <c r="L66" s="1" t="str">
        <f>IFERROR(__xludf.DUMMYFUNCTION("""COMPUTED_VALUE"""),"Koicha")</f>
        <v>Koicha</v>
      </c>
      <c r="M66" s="1"/>
      <c r="N66" s="1" t="str">
        <f>IFERROR(__xludf.DUMMYFUNCTION("""COMPUTED_VALUE"""),"Health benefits")</f>
        <v>Health benefits</v>
      </c>
      <c r="O66" s="1"/>
      <c r="P66" s="1" t="str">
        <f>IFERROR(__xludf.DUMMYFUNCTION("""COMPUTED_VALUE"""),"At home")</f>
        <v>At home</v>
      </c>
      <c r="Q66" s="1"/>
      <c r="R66" s="1" t="str">
        <f>IFERROR(__xludf.DUMMYFUNCTION("""COMPUTED_VALUE"""),"Rarely")</f>
        <v>Rarely</v>
      </c>
      <c r="S66" s="1" t="str">
        <f>IFERROR(__xludf.DUMMYFUNCTION("""COMPUTED_VALUE"""),"To relax or take a break")</f>
        <v>To relax or take a break</v>
      </c>
      <c r="T66" s="1"/>
      <c r="U66" s="1" t="str">
        <f>IFERROR(__xludf.DUMMYFUNCTION("""COMPUTED_VALUE"""),"Atmosphere")</f>
        <v>Atmosphere</v>
      </c>
      <c r="V66" s="1"/>
      <c r="W66" s="1" t="str">
        <f>IFERROR(__xludf.DUMMYFUNCTION("""COMPUTED_VALUE"""),"No")</f>
        <v>No</v>
      </c>
      <c r="X66" s="1" t="str">
        <f>IFERROR(__xludf.DUMMYFUNCTION("""COMPUTED_VALUE"""),"Yes,  Japanese")</f>
        <v>Yes,  Japanese</v>
      </c>
      <c r="Y66" s="1">
        <f>IFERROR(__xludf.DUMMYFUNCTION("""COMPUTED_VALUE"""),6.0)</f>
        <v>6</v>
      </c>
      <c r="Z66" s="1">
        <f>IFERROR(__xludf.DUMMYFUNCTION("""COMPUTED_VALUE"""),7.0)</f>
        <v>7</v>
      </c>
      <c r="AA66" s="1">
        <f>IFERROR(__xludf.DUMMYFUNCTION("""COMPUTED_VALUE"""),4.0)</f>
        <v>4</v>
      </c>
      <c r="AB66" s="1" t="str">
        <f>IFERROR(__xludf.DUMMYFUNCTION("""COMPUTED_VALUE"""),"No")</f>
        <v>No</v>
      </c>
      <c r="AC66" s="1"/>
    </row>
    <row r="67">
      <c r="A67" s="1" t="str">
        <f>IFERROR(__xludf.DUMMYFUNCTION("""COMPUTED_VALUE"""),"lbkvb1W")</f>
        <v>lbkvb1W</v>
      </c>
      <c r="B67" s="1" t="str">
        <f>IFERROR(__xludf.DUMMYFUNCTION("""COMPUTED_VALUE"""),"EkQZE4l")</f>
        <v>EkQZE4l</v>
      </c>
      <c r="C67" s="5">
        <f>IFERROR(__xludf.DUMMYFUNCTION("""COMPUTED_VALUE"""),46034.315)</f>
        <v>46034.315</v>
      </c>
      <c r="D67" s="1" t="str">
        <f>IFERROR(__xludf.DUMMYFUNCTION("""COMPUTED_VALUE"""),"26-35")</f>
        <v>26-35</v>
      </c>
      <c r="E67" s="1" t="str">
        <f>IFERROR(__xludf.DUMMYFUNCTION("""COMPUTED_VALUE"""),"Female")</f>
        <v>Female</v>
      </c>
      <c r="F67" s="1" t="str">
        <f>IFERROR(__xludf.DUMMYFUNCTION("""COMPUTED_VALUE"""),"¥6,000,000 – ¥8,999,999")</f>
        <v>¥6,000,000 – ¥8,999,999</v>
      </c>
      <c r="G67" s="1" t="str">
        <f>IFERROR(__xludf.DUMMYFUNCTION("""COMPUTED_VALUE"""),"Kanto")</f>
        <v>Kanto</v>
      </c>
      <c r="H67" s="1" t="str">
        <f>IFERROR(__xludf.DUMMYFUNCTION("""COMPUTED_VALUE"""),"Daily")</f>
        <v>Daily</v>
      </c>
      <c r="I67" s="1" t="str">
        <f>IFERROR(__xludf.DUMMYFUNCTION("""COMPUTED_VALUE"""),"Drip")</f>
        <v>Drip</v>
      </c>
      <c r="J67" s="1"/>
      <c r="K67" s="1" t="str">
        <f>IFERROR(__xludf.DUMMYFUNCTION("""COMPUTED_VALUE"""),"Rarely")</f>
        <v>Rarely</v>
      </c>
      <c r="L67" s="1" t="str">
        <f>IFERROR(__xludf.DUMMYFUNCTION("""COMPUTED_VALUE"""),"Matcha Latte")</f>
        <v>Matcha Latte</v>
      </c>
      <c r="M67" s="1"/>
      <c r="N67" s="1" t="str">
        <f>IFERROR(__xludf.DUMMYFUNCTION("""COMPUTED_VALUE"""),"Routine/Ritual, Taste/Flavor")</f>
        <v>Routine/Ritual, Taste/Flavor</v>
      </c>
      <c r="O67" s="1"/>
      <c r="P67" s="1" t="str">
        <f>IFERROR(__xludf.DUMMYFUNCTION("""COMPUTED_VALUE"""),"At home, From convenience stores (7-Eleven, Lawson, etc.)")</f>
        <v>At home, From convenience stores (7-Eleven, Lawson, etc.)</v>
      </c>
      <c r="Q67" s="1"/>
      <c r="R67" s="1" t="str">
        <f>IFERROR(__xludf.DUMMYFUNCTION("""COMPUTED_VALUE"""),"A few times a month")</f>
        <v>A few times a month</v>
      </c>
      <c r="S67" s="1" t="str">
        <f>IFERROR(__xludf.DUMMYFUNCTION("""COMPUTED_VALUE"""),"To meet friends")</f>
        <v>To meet friends</v>
      </c>
      <c r="T67" s="1"/>
      <c r="U67" s="1" t="str">
        <f>IFERROR(__xludf.DUMMYFUNCTION("""COMPUTED_VALUE"""),"Atmosphere")</f>
        <v>Atmosphere</v>
      </c>
      <c r="V67" s="1"/>
      <c r="W67" s="1" t="str">
        <f>IFERROR(__xludf.DUMMYFUNCTION("""COMPUTED_VALUE"""),"No")</f>
        <v>No</v>
      </c>
      <c r="X67" s="1" t="str">
        <f>IFERROR(__xludf.DUMMYFUNCTION("""COMPUTED_VALUE"""),"No")</f>
        <v>No</v>
      </c>
      <c r="Y67" s="1">
        <f>IFERROR(__xludf.DUMMYFUNCTION("""COMPUTED_VALUE"""),7.0)</f>
        <v>7</v>
      </c>
      <c r="Z67" s="1">
        <f>IFERROR(__xludf.DUMMYFUNCTION("""COMPUTED_VALUE"""),4.0)</f>
        <v>4</v>
      </c>
      <c r="AA67" s="1">
        <f>IFERROR(__xludf.DUMMYFUNCTION("""COMPUTED_VALUE"""),4.0)</f>
        <v>4</v>
      </c>
      <c r="AB67" s="1" t="str">
        <f>IFERROR(__xludf.DUMMYFUNCTION("""COMPUTED_VALUE"""),"No")</f>
        <v>No</v>
      </c>
      <c r="AC67" s="1"/>
    </row>
    <row r="68">
      <c r="A68" s="1" t="str">
        <f>IFERROR(__xludf.DUMMYFUNCTION("""COMPUTED_VALUE"""),"68EP7gY")</f>
        <v>68EP7gY</v>
      </c>
      <c r="B68" s="1" t="str">
        <f>IFERROR(__xludf.DUMMYFUNCTION("""COMPUTED_VALUE"""),"2ENDrBg")</f>
        <v>2ENDrBg</v>
      </c>
      <c r="C68" s="5">
        <f>IFERROR(__xludf.DUMMYFUNCTION("""COMPUTED_VALUE"""),46034.46233796296)</f>
        <v>46034.46234</v>
      </c>
      <c r="D68" s="1" t="str">
        <f>IFERROR(__xludf.DUMMYFUNCTION("""COMPUTED_VALUE"""),"56-65")</f>
        <v>56-65</v>
      </c>
      <c r="E68" s="1" t="str">
        <f>IFERROR(__xludf.DUMMYFUNCTION("""COMPUTED_VALUE"""),"Male")</f>
        <v>Male</v>
      </c>
      <c r="F68" s="1" t="str">
        <f>IFERROR(__xludf.DUMMYFUNCTION("""COMPUTED_VALUE"""),"¥6,000,000 – ¥8,999,999")</f>
        <v>¥6,000,000 – ¥8,999,999</v>
      </c>
      <c r="G68" s="1" t="str">
        <f>IFERROR(__xludf.DUMMYFUNCTION("""COMPUTED_VALUE"""),"Kanto")</f>
        <v>Kanto</v>
      </c>
      <c r="H68" s="1" t="str">
        <f>IFERROR(__xludf.DUMMYFUNCTION("""COMPUTED_VALUE"""),"Daily")</f>
        <v>Daily</v>
      </c>
      <c r="I68" s="1" t="str">
        <f>IFERROR(__xludf.DUMMYFUNCTION("""COMPUTED_VALUE"""),"Drip")</f>
        <v>Drip</v>
      </c>
      <c r="J68" s="1"/>
      <c r="K68" s="1" t="str">
        <f>IFERROR(__xludf.DUMMYFUNCTION("""COMPUTED_VALUE"""),"Rarely")</f>
        <v>Rarely</v>
      </c>
      <c r="L68" s="1" t="str">
        <f>IFERROR(__xludf.DUMMYFUNCTION("""COMPUTED_VALUE"""),"Matcha Latte")</f>
        <v>Matcha Latte</v>
      </c>
      <c r="M68" s="1"/>
      <c r="N68" s="1" t="str">
        <f>IFERROR(__xludf.DUMMYFUNCTION("""COMPUTED_VALUE"""),"Taste/Flavor, Social norms / influence (what people around me usually drink)")</f>
        <v>Taste/Flavor, Social norms / influence (what people around me usually drink)</v>
      </c>
      <c r="O68" s="1"/>
      <c r="P68" s="1" t="str">
        <f>IFERROR(__xludf.DUMMYFUNCTION("""COMPUTED_VALUE"""),"From convenience stores (7-Eleven, Lawson, etc.), Other:")</f>
        <v>From convenience stores (7-Eleven, Lawson, etc.), Other:</v>
      </c>
      <c r="Q68" s="1" t="str">
        <f>IFERROR(__xludf.DUMMYFUNCTION("""COMPUTED_VALUE"""),"Office")</f>
        <v>Office</v>
      </c>
      <c r="R68" s="1" t="str">
        <f>IFERROR(__xludf.DUMMYFUNCTION("""COMPUTED_VALUE"""),"A few times a month")</f>
        <v>A few times a month</v>
      </c>
      <c r="S68" s="1" t="str">
        <f>IFERROR(__xludf.DUMMYFUNCTION("""COMPUTED_VALUE"""),"To study/work")</f>
        <v>To study/work</v>
      </c>
      <c r="T68" s="1"/>
      <c r="U68" s="1" t="str">
        <f>IFERROR(__xludf.DUMMYFUNCTION("""COMPUTED_VALUE"""),"Atmosphere")</f>
        <v>Atmosphere</v>
      </c>
      <c r="V68" s="1"/>
      <c r="W68" s="1" t="str">
        <f>IFERROR(__xludf.DUMMYFUNCTION("""COMPUTED_VALUE"""),"Yes, Western")</f>
        <v>Yes, Western</v>
      </c>
      <c r="X68" s="1" t="str">
        <f>IFERROR(__xludf.DUMMYFUNCTION("""COMPUTED_VALUE"""),"Yes,  Japanese")</f>
        <v>Yes,  Japanese</v>
      </c>
      <c r="Y68" s="1">
        <f>IFERROR(__xludf.DUMMYFUNCTION("""COMPUTED_VALUE"""),7.0)</f>
        <v>7</v>
      </c>
      <c r="Z68" s="1">
        <f>IFERROR(__xludf.DUMMYFUNCTION("""COMPUTED_VALUE"""),7.0)</f>
        <v>7</v>
      </c>
      <c r="AA68" s="1">
        <f>IFERROR(__xludf.DUMMYFUNCTION("""COMPUTED_VALUE"""),2.0)</f>
        <v>2</v>
      </c>
      <c r="AB68" s="1" t="str">
        <f>IFERROR(__xludf.DUMMYFUNCTION("""COMPUTED_VALUE"""),"No")</f>
        <v>No</v>
      </c>
      <c r="AC68" s="1"/>
    </row>
    <row r="69">
      <c r="A69" s="1" t="str">
        <f>IFERROR(__xludf.DUMMYFUNCTION("""COMPUTED_VALUE"""),"9qjreME")</f>
        <v>9qjreME</v>
      </c>
      <c r="B69" s="1" t="str">
        <f>IFERROR(__xludf.DUMMYFUNCTION("""COMPUTED_VALUE"""),"2EN7klD")</f>
        <v>2EN7klD</v>
      </c>
      <c r="C69" s="5">
        <f>IFERROR(__xludf.DUMMYFUNCTION("""COMPUTED_VALUE"""),46034.64092592592)</f>
        <v>46034.64093</v>
      </c>
      <c r="D69" s="1" t="str">
        <f>IFERROR(__xludf.DUMMYFUNCTION("""COMPUTED_VALUE"""),"46-55")</f>
        <v>46-55</v>
      </c>
      <c r="E69" s="1" t="str">
        <f>IFERROR(__xludf.DUMMYFUNCTION("""COMPUTED_VALUE"""),"Male")</f>
        <v>Male</v>
      </c>
      <c r="F69" s="1" t="str">
        <f>IFERROR(__xludf.DUMMYFUNCTION("""COMPUTED_VALUE"""),"¥9,000,000 – ¥11,999,999")</f>
        <v>¥9,000,000 – ¥11,999,999</v>
      </c>
      <c r="G69" s="1" t="str">
        <f>IFERROR(__xludf.DUMMYFUNCTION("""COMPUTED_VALUE"""),"Kanto")</f>
        <v>Kanto</v>
      </c>
      <c r="H69" s="1" t="str">
        <f>IFERROR(__xludf.DUMMYFUNCTION("""COMPUTED_VALUE"""),"Daily")</f>
        <v>Daily</v>
      </c>
      <c r="I69" s="1" t="str">
        <f>IFERROR(__xludf.DUMMYFUNCTION("""COMPUTED_VALUE"""),"Drip")</f>
        <v>Drip</v>
      </c>
      <c r="J69" s="1"/>
      <c r="K69" s="1" t="str">
        <f>IFERROR(__xludf.DUMMYFUNCTION("""COMPUTED_VALUE"""),"Rarely")</f>
        <v>Rarely</v>
      </c>
      <c r="L69" s="1" t="str">
        <f>IFERROR(__xludf.DUMMYFUNCTION("""COMPUTED_VALUE"""),"Matcha Latte")</f>
        <v>Matcha Latte</v>
      </c>
      <c r="M69" s="1"/>
      <c r="N69" s="1" t="str">
        <f>IFERROR(__xludf.DUMMYFUNCTION("""COMPUTED_VALUE"""),"Taste/Flavor, Price")</f>
        <v>Taste/Flavor, Price</v>
      </c>
      <c r="O69" s="1"/>
      <c r="P69" s="1" t="str">
        <f>IFERROR(__xludf.DUMMYFUNCTION("""COMPUTED_VALUE"""),"At cafés, At home, From convenience stores (7-Eleven, Lawson, etc.), From vending machines")</f>
        <v>At cafés, At home, From convenience stores (7-Eleven, Lawson, etc.), From vending machines</v>
      </c>
      <c r="Q69" s="1"/>
      <c r="R69" s="1" t="str">
        <f>IFERROR(__xludf.DUMMYFUNCTION("""COMPUTED_VALUE"""),"A few times a month")</f>
        <v>A few times a month</v>
      </c>
      <c r="S69" s="1" t="str">
        <f>IFERROR(__xludf.DUMMYFUNCTION("""COMPUTED_VALUE"""),"To study/work")</f>
        <v>To study/work</v>
      </c>
      <c r="T69" s="1"/>
      <c r="U69" s="1" t="str">
        <f>IFERROR(__xludf.DUMMYFUNCTION("""COMPUTED_VALUE"""),"Atmosphere")</f>
        <v>Atmosphere</v>
      </c>
      <c r="V69" s="1"/>
      <c r="W69" s="1" t="str">
        <f>IFERROR(__xludf.DUMMYFUNCTION("""COMPUTED_VALUE"""),"Yes, Global")</f>
        <v>Yes, Global</v>
      </c>
      <c r="X69" s="1" t="str">
        <f>IFERROR(__xludf.DUMMYFUNCTION("""COMPUTED_VALUE"""),"Yes,  Japanese")</f>
        <v>Yes,  Japanese</v>
      </c>
      <c r="Y69" s="1">
        <f>IFERROR(__xludf.DUMMYFUNCTION("""COMPUTED_VALUE"""),7.0)</f>
        <v>7</v>
      </c>
      <c r="Z69" s="1">
        <f>IFERROR(__xludf.DUMMYFUNCTION("""COMPUTED_VALUE"""),7.0)</f>
        <v>7</v>
      </c>
      <c r="AA69" s="1">
        <f>IFERROR(__xludf.DUMMYFUNCTION("""COMPUTED_VALUE"""),4.0)</f>
        <v>4</v>
      </c>
      <c r="AB69" s="1" t="str">
        <f>IFERROR(__xludf.DUMMYFUNCTION("""COMPUTED_VALUE"""),"No")</f>
        <v>No</v>
      </c>
      <c r="AC69" s="1"/>
    </row>
    <row r="70">
      <c r="A70" s="1" t="str">
        <f>IFERROR(__xludf.DUMMYFUNCTION("""COMPUTED_VALUE"""),"lbkZXPo")</f>
        <v>lbkZXPo</v>
      </c>
      <c r="B70" s="1" t="str">
        <f>IFERROR(__xludf.DUMMYFUNCTION("""COMPUTED_VALUE"""),"vGyWA4D")</f>
        <v>vGyWA4D</v>
      </c>
      <c r="C70" s="5">
        <f>IFERROR(__xludf.DUMMYFUNCTION("""COMPUTED_VALUE"""),46035.03644675926)</f>
        <v>46035.03645</v>
      </c>
      <c r="D70" s="1" t="str">
        <f>IFERROR(__xludf.DUMMYFUNCTION("""COMPUTED_VALUE"""),"46-55")</f>
        <v>46-55</v>
      </c>
      <c r="E70" s="1" t="str">
        <f>IFERROR(__xludf.DUMMYFUNCTION("""COMPUTED_VALUE"""),"Male")</f>
        <v>Male</v>
      </c>
      <c r="F70" s="1" t="str">
        <f>IFERROR(__xludf.DUMMYFUNCTION("""COMPUTED_VALUE"""),"¥9,000,000 – ¥11,999,999")</f>
        <v>¥9,000,000 – ¥11,999,999</v>
      </c>
      <c r="G70" s="1" t="str">
        <f>IFERROR(__xludf.DUMMYFUNCTION("""COMPUTED_VALUE"""),"Kanto")</f>
        <v>Kanto</v>
      </c>
      <c r="H70" s="1" t="str">
        <f>IFERROR(__xludf.DUMMYFUNCTION("""COMPUTED_VALUE"""),"Daily")</f>
        <v>Daily</v>
      </c>
      <c r="I70" s="1" t="str">
        <f>IFERROR(__xludf.DUMMYFUNCTION("""COMPUTED_VALUE"""),"Other:")</f>
        <v>Other:</v>
      </c>
      <c r="J70" s="1" t="str">
        <f>IFERROR(__xludf.DUMMYFUNCTION("""COMPUTED_VALUE"""),"Canned Coffee")</f>
        <v>Canned Coffee</v>
      </c>
      <c r="K70" s="1" t="str">
        <f>IFERROR(__xludf.DUMMYFUNCTION("""COMPUTED_VALUE"""),"Rarely")</f>
        <v>Rarely</v>
      </c>
      <c r="L70" s="1" t="str">
        <f>IFERROR(__xludf.DUMMYFUNCTION("""COMPUTED_VALUE"""),"Usucha")</f>
        <v>Usucha</v>
      </c>
      <c r="M70" s="1"/>
      <c r="N70" s="1" t="str">
        <f>IFERROR(__xludf.DUMMYFUNCTION("""COMPUTED_VALUE"""),"Other:, Taste/Flavor")</f>
        <v>Other:, Taste/Flavor</v>
      </c>
      <c r="O70" s="1" t="str">
        <f>IFERROR(__xludf.DUMMYFUNCTION("""COMPUTED_VALUE"""),"Ease of obtaining/availability")</f>
        <v>Ease of obtaining/availability</v>
      </c>
      <c r="P70" s="1" t="str">
        <f>IFERROR(__xludf.DUMMYFUNCTION("""COMPUTED_VALUE"""),"At cafés, At home, From convenience stores (7-Eleven, Lawson, etc.), From vending machines")</f>
        <v>At cafés, At home, From convenience stores (7-Eleven, Lawson, etc.), From vending machines</v>
      </c>
      <c r="Q70" s="1"/>
      <c r="R70" s="1" t="str">
        <f>IFERROR(__xludf.DUMMYFUNCTION("""COMPUTED_VALUE"""),"A few times a month")</f>
        <v>A few times a month</v>
      </c>
      <c r="S70" s="1" t="str">
        <f>IFERROR(__xludf.DUMMYFUNCTION("""COMPUTED_VALUE"""),"To relax or take a break")</f>
        <v>To relax or take a break</v>
      </c>
      <c r="T70" s="1"/>
      <c r="U70" s="1" t="str">
        <f>IFERROR(__xludf.DUMMYFUNCTION("""COMPUTED_VALUE"""),"Atmosphere")</f>
        <v>Atmosphere</v>
      </c>
      <c r="V70" s="1"/>
      <c r="W70" s="1" t="str">
        <f>IFERROR(__xludf.DUMMYFUNCTION("""COMPUTED_VALUE"""),"Yes, Western")</f>
        <v>Yes, Western</v>
      </c>
      <c r="X70" s="1" t="str">
        <f>IFERROR(__xludf.DUMMYFUNCTION("""COMPUTED_VALUE"""),"Yes,  Japanese")</f>
        <v>Yes,  Japanese</v>
      </c>
      <c r="Y70" s="1">
        <f>IFERROR(__xludf.DUMMYFUNCTION("""COMPUTED_VALUE"""),7.0)</f>
        <v>7</v>
      </c>
      <c r="Z70" s="1">
        <f>IFERROR(__xludf.DUMMYFUNCTION("""COMPUTED_VALUE"""),7.0)</f>
        <v>7</v>
      </c>
      <c r="AA70" s="1">
        <f>IFERROR(__xludf.DUMMYFUNCTION("""COMPUTED_VALUE"""),4.0)</f>
        <v>4</v>
      </c>
      <c r="AB70" s="1" t="str">
        <f>IFERROR(__xludf.DUMMYFUNCTION("""COMPUTED_VALUE"""),"Yes")</f>
        <v>Yes</v>
      </c>
      <c r="AC70" s="1"/>
    </row>
    <row r="71">
      <c r="A71" s="1" t="str">
        <f>IFERROR(__xludf.DUMMYFUNCTION("""COMPUTED_VALUE"""),"jaAYBoY")</f>
        <v>jaAYBoY</v>
      </c>
      <c r="B71" s="1" t="str">
        <f>IFERROR(__xludf.DUMMYFUNCTION("""COMPUTED_VALUE"""),"lbd4vZp")</f>
        <v>lbd4vZp</v>
      </c>
      <c r="C71" s="5">
        <f>IFERROR(__xludf.DUMMYFUNCTION("""COMPUTED_VALUE"""),46035.11938657407)</f>
        <v>46035.11939</v>
      </c>
      <c r="D71" s="1" t="str">
        <f>IFERROR(__xludf.DUMMYFUNCTION("""COMPUTED_VALUE"""),"18-25")</f>
        <v>18-25</v>
      </c>
      <c r="E71" s="1" t="str">
        <f>IFERROR(__xludf.DUMMYFUNCTION("""COMPUTED_VALUE"""),"Male")</f>
        <v>Male</v>
      </c>
      <c r="F71" s="1" t="str">
        <f>IFERROR(__xludf.DUMMYFUNCTION("""COMPUTED_VALUE"""),"¥3,000,000 – ¥5,999,999")</f>
        <v>¥3,000,000 – ¥5,999,999</v>
      </c>
      <c r="G71" s="1" t="str">
        <f>IFERROR(__xludf.DUMMYFUNCTION("""COMPUTED_VALUE"""),"Kansai")</f>
        <v>Kansai</v>
      </c>
      <c r="H71" s="1" t="str">
        <f>IFERROR(__xludf.DUMMYFUNCTION("""COMPUTED_VALUE"""),"Daily")</f>
        <v>Daily</v>
      </c>
      <c r="I71" s="1" t="str">
        <f>IFERROR(__xludf.DUMMYFUNCTION("""COMPUTED_VALUE"""),"Americano")</f>
        <v>Americano</v>
      </c>
      <c r="J71" s="1"/>
      <c r="K71" s="1" t="str">
        <f>IFERROR(__xludf.DUMMYFUNCTION("""COMPUTED_VALUE"""),"Rarely")</f>
        <v>Rarely</v>
      </c>
      <c r="L71" s="1" t="str">
        <f>IFERROR(__xludf.DUMMYFUNCTION("""COMPUTED_VALUE"""),"I don’t drink matcha")</f>
        <v>I don’t drink matcha</v>
      </c>
      <c r="M71" s="1"/>
      <c r="N71" s="1" t="str">
        <f>IFERROR(__xludf.DUMMYFUNCTION("""COMPUTED_VALUE"""),"Taste/Flavor, Routine/Ritual")</f>
        <v>Taste/Flavor, Routine/Ritual</v>
      </c>
      <c r="O71" s="1"/>
      <c r="P71" s="1" t="str">
        <f>IFERROR(__xludf.DUMMYFUNCTION("""COMPUTED_VALUE"""),"At cafés, At home, From convenience stores (7-Eleven, Lawson, etc.)")</f>
        <v>At cafés, At home, From convenience stores (7-Eleven, Lawson, etc.)</v>
      </c>
      <c r="Q71" s="1"/>
      <c r="R71" s="1" t="str">
        <f>IFERROR(__xludf.DUMMYFUNCTION("""COMPUTED_VALUE"""),"Several times a week")</f>
        <v>Several times a week</v>
      </c>
      <c r="S71" s="1" t="str">
        <f>IFERROR(__xludf.DUMMYFUNCTION("""COMPUTED_VALUE"""),"Out of habit")</f>
        <v>Out of habit</v>
      </c>
      <c r="T71" s="1"/>
      <c r="U71" s="1" t="str">
        <f>IFERROR(__xludf.DUMMYFUNCTION("""COMPUTED_VALUE"""),"Atmosphere")</f>
        <v>Atmosphere</v>
      </c>
      <c r="V71" s="1"/>
      <c r="W71" s="1" t="str">
        <f>IFERROR(__xludf.DUMMYFUNCTION("""COMPUTED_VALUE"""),"Yes, Global")</f>
        <v>Yes, Global</v>
      </c>
      <c r="X71" s="1" t="str">
        <f>IFERROR(__xludf.DUMMYFUNCTION("""COMPUTED_VALUE"""),"Yes,  Japanese")</f>
        <v>Yes,  Japanese</v>
      </c>
      <c r="Y71" s="1">
        <f>IFERROR(__xludf.DUMMYFUNCTION("""COMPUTED_VALUE"""),7.0)</f>
        <v>7</v>
      </c>
      <c r="Z71" s="1">
        <f>IFERROR(__xludf.DUMMYFUNCTION("""COMPUTED_VALUE"""),5.0)</f>
        <v>5</v>
      </c>
      <c r="AA71" s="1">
        <f>IFERROR(__xludf.DUMMYFUNCTION("""COMPUTED_VALUE"""),7.0)</f>
        <v>7</v>
      </c>
      <c r="AB71" s="1" t="str">
        <f>IFERROR(__xludf.DUMMYFUNCTION("""COMPUTED_VALUE"""),"Yes")</f>
        <v>Yes</v>
      </c>
      <c r="AC71" s="1"/>
    </row>
    <row r="72">
      <c r="A72" s="1" t="str">
        <f>IFERROR(__xludf.DUMMYFUNCTION("""COMPUTED_VALUE"""),"b5QyLD7")</f>
        <v>b5QyLD7</v>
      </c>
      <c r="B72" s="1" t="str">
        <f>IFERROR(__xludf.DUMMYFUNCTION("""COMPUTED_VALUE"""),"9qDrrr5")</f>
        <v>9qDrrr5</v>
      </c>
      <c r="C72" s="5">
        <f>IFERROR(__xludf.DUMMYFUNCTION("""COMPUTED_VALUE"""),46035.13155092593)</f>
        <v>46035.13155</v>
      </c>
      <c r="D72" s="1" t="str">
        <f>IFERROR(__xludf.DUMMYFUNCTION("""COMPUTED_VALUE"""),"65+")</f>
        <v>65+</v>
      </c>
      <c r="E72" s="1" t="str">
        <f>IFERROR(__xludf.DUMMYFUNCTION("""COMPUTED_VALUE"""),"Male")</f>
        <v>Male</v>
      </c>
      <c r="F72" s="1" t="str">
        <f>IFERROR(__xludf.DUMMYFUNCTION("""COMPUTED_VALUE"""),"¥3,000,000 – ¥5,999,999")</f>
        <v>¥3,000,000 – ¥5,999,999</v>
      </c>
      <c r="G72" s="1" t="str">
        <f>IFERROR(__xludf.DUMMYFUNCTION("""COMPUTED_VALUE"""),"Kansai")</f>
        <v>Kansai</v>
      </c>
      <c r="H72" s="1" t="str">
        <f>IFERROR(__xludf.DUMMYFUNCTION("""COMPUTED_VALUE"""),"Rarely")</f>
        <v>Rarely</v>
      </c>
      <c r="I72" s="1" t="str">
        <f>IFERROR(__xludf.DUMMYFUNCTION("""COMPUTED_VALUE"""),"Latte")</f>
        <v>Latte</v>
      </c>
      <c r="J72" s="1"/>
      <c r="K72" s="1" t="str">
        <f>IFERROR(__xludf.DUMMYFUNCTION("""COMPUTED_VALUE"""),"Rarely")</f>
        <v>Rarely</v>
      </c>
      <c r="L72" s="1" t="str">
        <f>IFERROR(__xludf.DUMMYFUNCTION("""COMPUTED_VALUE"""),"I don’t drink matcha")</f>
        <v>I don’t drink matcha</v>
      </c>
      <c r="M72" s="1"/>
      <c r="N72" s="1" t="str">
        <f>IFERROR(__xludf.DUMMYFUNCTION("""COMPUTED_VALUE"""),"Routine/Ritual")</f>
        <v>Routine/Ritual</v>
      </c>
      <c r="O72" s="1"/>
      <c r="P72" s="1" t="str">
        <f>IFERROR(__xludf.DUMMYFUNCTION("""COMPUTED_VALUE"""),"")</f>
        <v/>
      </c>
      <c r="Q72" s="1"/>
      <c r="R72" s="1" t="str">
        <f>IFERROR(__xludf.DUMMYFUNCTION("""COMPUTED_VALUE"""),"Rarely")</f>
        <v>Rarely</v>
      </c>
      <c r="S72" s="1" t="str">
        <f>IFERROR(__xludf.DUMMYFUNCTION("""COMPUTED_VALUE"""),"To meet friends")</f>
        <v>To meet friends</v>
      </c>
      <c r="T72" s="1"/>
      <c r="U72" s="1" t="str">
        <f>IFERROR(__xludf.DUMMYFUNCTION("""COMPUTED_VALUE"""),"Quality of drinks")</f>
        <v>Quality of drinks</v>
      </c>
      <c r="V72" s="1"/>
      <c r="W72" s="1" t="str">
        <f>IFERROR(__xludf.DUMMYFUNCTION("""COMPUTED_VALUE"""),"No")</f>
        <v>No</v>
      </c>
      <c r="X72" s="1" t="str">
        <f>IFERROR(__xludf.DUMMYFUNCTION("""COMPUTED_VALUE"""),"Yes,  Japanese")</f>
        <v>Yes,  Japanese</v>
      </c>
      <c r="Y72" s="1">
        <f>IFERROR(__xludf.DUMMYFUNCTION("""COMPUTED_VALUE"""),7.0)</f>
        <v>7</v>
      </c>
      <c r="Z72" s="1">
        <f>IFERROR(__xludf.DUMMYFUNCTION("""COMPUTED_VALUE"""),7.0)</f>
        <v>7</v>
      </c>
      <c r="AA72" s="1">
        <f>IFERROR(__xludf.DUMMYFUNCTION("""COMPUTED_VALUE"""),7.0)</f>
        <v>7</v>
      </c>
      <c r="AB72" s="1" t="str">
        <f>IFERROR(__xludf.DUMMYFUNCTION("""COMPUTED_VALUE"""),"Yes")</f>
        <v>Yes</v>
      </c>
      <c r="AC72" s="1"/>
    </row>
    <row r="73">
      <c r="A73" s="1" t="str">
        <f>IFERROR(__xludf.DUMMYFUNCTION("""COMPUTED_VALUE"""),"b5QyGKL")</f>
        <v>b5QyGKL</v>
      </c>
      <c r="B73" s="1" t="str">
        <f>IFERROR(__xludf.DUMMYFUNCTION("""COMPUTED_VALUE"""),"zxDbBE0")</f>
        <v>zxDbBE0</v>
      </c>
      <c r="C73" s="5">
        <f>IFERROR(__xludf.DUMMYFUNCTION("""COMPUTED_VALUE"""),46035.18347222222)</f>
        <v>46035.18347</v>
      </c>
      <c r="D73" s="1" t="str">
        <f>IFERROR(__xludf.DUMMYFUNCTION("""COMPUTED_VALUE"""),"46-55")</f>
        <v>46-55</v>
      </c>
      <c r="E73" s="1" t="str">
        <f>IFERROR(__xludf.DUMMYFUNCTION("""COMPUTED_VALUE"""),"Prefer not to say")</f>
        <v>Prefer not to say</v>
      </c>
      <c r="F73" s="1" t="str">
        <f>IFERROR(__xludf.DUMMYFUNCTION("""COMPUTED_VALUE"""),"Prefer not to say")</f>
        <v>Prefer not to say</v>
      </c>
      <c r="G73" s="1" t="str">
        <f>IFERROR(__xludf.DUMMYFUNCTION("""COMPUTED_VALUE"""),"Kanto")</f>
        <v>Kanto</v>
      </c>
      <c r="H73" s="1" t="str">
        <f>IFERROR(__xludf.DUMMYFUNCTION("""COMPUTED_VALUE"""),"Daily")</f>
        <v>Daily</v>
      </c>
      <c r="I73" s="1" t="str">
        <f>IFERROR(__xludf.DUMMYFUNCTION("""COMPUTED_VALUE"""),"Drip")</f>
        <v>Drip</v>
      </c>
      <c r="J73" s="1"/>
      <c r="K73" s="1" t="str">
        <f>IFERROR(__xludf.DUMMYFUNCTION("""COMPUTED_VALUE"""),"Rarely")</f>
        <v>Rarely</v>
      </c>
      <c r="L73" s="1" t="str">
        <f>IFERROR(__xludf.DUMMYFUNCTION("""COMPUTED_VALUE"""),"I don’t drink matcha")</f>
        <v>I don’t drink matcha</v>
      </c>
      <c r="M73" s="1"/>
      <c r="N73" s="1" t="str">
        <f>IFERROR(__xludf.DUMMYFUNCTION("""COMPUTED_VALUE"""),"Taste/Flavor, Routine/Ritual")</f>
        <v>Taste/Flavor, Routine/Ritual</v>
      </c>
      <c r="O73" s="1"/>
      <c r="P73" s="1" t="str">
        <f>IFERROR(__xludf.DUMMYFUNCTION("""COMPUTED_VALUE"""),"At home")</f>
        <v>At home</v>
      </c>
      <c r="Q73" s="1"/>
      <c r="R73" s="1" t="str">
        <f>IFERROR(__xludf.DUMMYFUNCTION("""COMPUTED_VALUE"""),"A few times a month")</f>
        <v>A few times a month</v>
      </c>
      <c r="S73" s="1" t="str">
        <f>IFERROR(__xludf.DUMMYFUNCTION("""COMPUTED_VALUE"""),"To relax or take a break")</f>
        <v>To relax or take a break</v>
      </c>
      <c r="T73" s="1"/>
      <c r="U73" s="1" t="str">
        <f>IFERROR(__xludf.DUMMYFUNCTION("""COMPUTED_VALUE"""),"Atmosphere")</f>
        <v>Atmosphere</v>
      </c>
      <c r="V73" s="1"/>
      <c r="W73" s="1" t="str">
        <f>IFERROR(__xludf.DUMMYFUNCTION("""COMPUTED_VALUE"""),"Yes, Western")</f>
        <v>Yes, Western</v>
      </c>
      <c r="X73" s="1" t="str">
        <f>IFERROR(__xludf.DUMMYFUNCTION("""COMPUTED_VALUE"""),"Yes,  Japanese")</f>
        <v>Yes,  Japanese</v>
      </c>
      <c r="Y73" s="1">
        <f>IFERROR(__xludf.DUMMYFUNCTION("""COMPUTED_VALUE"""),4.0)</f>
        <v>4</v>
      </c>
      <c r="Z73" s="1">
        <f>IFERROR(__xludf.DUMMYFUNCTION("""COMPUTED_VALUE"""),6.0)</f>
        <v>6</v>
      </c>
      <c r="AA73" s="1">
        <f>IFERROR(__xludf.DUMMYFUNCTION("""COMPUTED_VALUE"""),3.0)</f>
        <v>3</v>
      </c>
      <c r="AB73" s="1" t="str">
        <f>IFERROR(__xludf.DUMMYFUNCTION("""COMPUTED_VALUE"""),"No")</f>
        <v>No</v>
      </c>
      <c r="AC73" s="1"/>
    </row>
    <row r="74">
      <c r="A74" s="1" t="str">
        <f>IFERROR(__xludf.DUMMYFUNCTION("""COMPUTED_VALUE"""),"RGy19Xj")</f>
        <v>RGy19Xj</v>
      </c>
      <c r="B74" s="1" t="str">
        <f>IFERROR(__xludf.DUMMYFUNCTION("""COMPUTED_VALUE"""),"GxdkPlk")</f>
        <v>GxdkPlk</v>
      </c>
      <c r="C74" s="5">
        <f>IFERROR(__xludf.DUMMYFUNCTION("""COMPUTED_VALUE"""),46035.467453703706)</f>
        <v>46035.46745</v>
      </c>
      <c r="D74" s="1" t="str">
        <f>IFERROR(__xludf.DUMMYFUNCTION("""COMPUTED_VALUE"""),"18-25")</f>
        <v>18-25</v>
      </c>
      <c r="E74" s="1" t="str">
        <f>IFERROR(__xludf.DUMMYFUNCTION("""COMPUTED_VALUE"""),"Female")</f>
        <v>Female</v>
      </c>
      <c r="F74" s="1" t="str">
        <f>IFERROR(__xludf.DUMMYFUNCTION("""COMPUTED_VALUE"""),"¥3,000,000 – ¥5,999,999")</f>
        <v>¥3,000,000 – ¥5,999,999</v>
      </c>
      <c r="G74" s="1" t="str">
        <f>IFERROR(__xludf.DUMMYFUNCTION("""COMPUTED_VALUE"""),"Kansai")</f>
        <v>Kansai</v>
      </c>
      <c r="H74" s="1" t="str">
        <f>IFERROR(__xludf.DUMMYFUNCTION("""COMPUTED_VALUE"""),"Several times a week")</f>
        <v>Several times a week</v>
      </c>
      <c r="I74" s="1" t="str">
        <f>IFERROR(__xludf.DUMMYFUNCTION("""COMPUTED_VALUE"""),"Drip")</f>
        <v>Drip</v>
      </c>
      <c r="J74" s="1"/>
      <c r="K74" s="1" t="str">
        <f>IFERROR(__xludf.DUMMYFUNCTION("""COMPUTED_VALUE"""),"Rarely")</f>
        <v>Rarely</v>
      </c>
      <c r="L74" s="1" t="str">
        <f>IFERROR(__xludf.DUMMYFUNCTION("""COMPUTED_VALUE"""),"Matcha Latte")</f>
        <v>Matcha Latte</v>
      </c>
      <c r="M74" s="1"/>
      <c r="N74" s="1" t="str">
        <f>IFERROR(__xludf.DUMMYFUNCTION("""COMPUTED_VALUE"""),"Taste/Flavor, Branding/Imagery")</f>
        <v>Taste/Flavor, Branding/Imagery</v>
      </c>
      <c r="O74" s="1"/>
      <c r="P74" s="1" t="str">
        <f>IFERROR(__xludf.DUMMYFUNCTION("""COMPUTED_VALUE"""),"At cafés")</f>
        <v>At cafés</v>
      </c>
      <c r="Q74" s="1"/>
      <c r="R74" s="1" t="str">
        <f>IFERROR(__xludf.DUMMYFUNCTION("""COMPUTED_VALUE"""),"Once a week")</f>
        <v>Once a week</v>
      </c>
      <c r="S74" s="1" t="str">
        <f>IFERROR(__xludf.DUMMYFUNCTION("""COMPUTED_VALUE"""),"To relax or take a break")</f>
        <v>To relax or take a break</v>
      </c>
      <c r="T74" s="1"/>
      <c r="U74" s="1" t="str">
        <f>IFERROR(__xludf.DUMMYFUNCTION("""COMPUTED_VALUE"""),"Atmosphere")</f>
        <v>Atmosphere</v>
      </c>
      <c r="V74" s="1"/>
      <c r="W74" s="1" t="str">
        <f>IFERROR(__xludf.DUMMYFUNCTION("""COMPUTED_VALUE"""),"Yes, Global")</f>
        <v>Yes, Global</v>
      </c>
      <c r="X74" s="1" t="str">
        <f>IFERROR(__xludf.DUMMYFUNCTION("""COMPUTED_VALUE"""),"Yes,  Japanese")</f>
        <v>Yes,  Japanese</v>
      </c>
      <c r="Y74" s="1">
        <f>IFERROR(__xludf.DUMMYFUNCTION("""COMPUTED_VALUE"""),5.0)</f>
        <v>5</v>
      </c>
      <c r="Z74" s="1">
        <f>IFERROR(__xludf.DUMMYFUNCTION("""COMPUTED_VALUE"""),4.0)</f>
        <v>4</v>
      </c>
      <c r="AA74" s="1">
        <f>IFERROR(__xludf.DUMMYFUNCTION("""COMPUTED_VALUE"""),2.0)</f>
        <v>2</v>
      </c>
      <c r="AB74" s="1" t="str">
        <f>IFERROR(__xludf.DUMMYFUNCTION("""COMPUTED_VALUE"""),"Yes")</f>
        <v>Yes</v>
      </c>
      <c r="AC74" s="1"/>
    </row>
    <row r="75">
      <c r="A75" s="1" t="str">
        <f>IFERROR(__xludf.DUMMYFUNCTION("""COMPUTED_VALUE"""),"QKlQZjp")</f>
        <v>QKlQZjp</v>
      </c>
      <c r="B75" s="1" t="str">
        <f>IFERROR(__xludf.DUMMYFUNCTION("""COMPUTED_VALUE"""),"q4A7ZJg")</f>
        <v>q4A7ZJg</v>
      </c>
      <c r="C75" s="5">
        <f>IFERROR(__xludf.DUMMYFUNCTION("""COMPUTED_VALUE"""),46036.10293981482)</f>
        <v>46036.10294</v>
      </c>
      <c r="D75" s="1" t="str">
        <f>IFERROR(__xludf.DUMMYFUNCTION("""COMPUTED_VALUE"""),"65+")</f>
        <v>65+</v>
      </c>
      <c r="E75" s="1" t="str">
        <f>IFERROR(__xludf.DUMMYFUNCTION("""COMPUTED_VALUE"""),"Male")</f>
        <v>Male</v>
      </c>
      <c r="F75" s="1" t="str">
        <f>IFERROR(__xludf.DUMMYFUNCTION("""COMPUTED_VALUE"""),"Prefer not to say")</f>
        <v>Prefer not to say</v>
      </c>
      <c r="G75" s="1" t="str">
        <f>IFERROR(__xludf.DUMMYFUNCTION("""COMPUTED_VALUE"""),"Kanto")</f>
        <v>Kanto</v>
      </c>
      <c r="H75" s="1" t="str">
        <f>IFERROR(__xludf.DUMMYFUNCTION("""COMPUTED_VALUE"""),"Daily")</f>
        <v>Daily</v>
      </c>
      <c r="I75" s="1" t="str">
        <f>IFERROR(__xludf.DUMMYFUNCTION("""COMPUTED_VALUE"""),"Other:")</f>
        <v>Other:</v>
      </c>
      <c r="J75" s="1"/>
      <c r="K75" s="1" t="str">
        <f>IFERROR(__xludf.DUMMYFUNCTION("""COMPUTED_VALUE"""),"Rarely")</f>
        <v>Rarely</v>
      </c>
      <c r="L75" s="1" t="str">
        <f>IFERROR(__xludf.DUMMYFUNCTION("""COMPUTED_VALUE"""),"I don’t drink matcha")</f>
        <v>I don’t drink matcha</v>
      </c>
      <c r="M75" s="1"/>
      <c r="N75" s="1" t="str">
        <f>IFERROR(__xludf.DUMMYFUNCTION("""COMPUTED_VALUE"""),"Taste/Flavor, Social atmosphere")</f>
        <v>Taste/Flavor, Social atmosphere</v>
      </c>
      <c r="O75" s="1"/>
      <c r="P75" s="1" t="str">
        <f>IFERROR(__xludf.DUMMYFUNCTION("""COMPUTED_VALUE"""),"At home")</f>
        <v>At home</v>
      </c>
      <c r="Q75" s="1"/>
      <c r="R75" s="1" t="str">
        <f>IFERROR(__xludf.DUMMYFUNCTION("""COMPUTED_VALUE"""),"A few times a month")</f>
        <v>A few times a month</v>
      </c>
      <c r="S75" s="1" t="str">
        <f>IFERROR(__xludf.DUMMYFUNCTION("""COMPUTED_VALUE"""),"To meet friends")</f>
        <v>To meet friends</v>
      </c>
      <c r="T75" s="1"/>
      <c r="U75" s="1" t="str">
        <f>IFERROR(__xludf.DUMMYFUNCTION("""COMPUTED_VALUE"""),"Atmosphere")</f>
        <v>Atmosphere</v>
      </c>
      <c r="V75" s="1"/>
      <c r="W75" s="1" t="str">
        <f>IFERROR(__xludf.DUMMYFUNCTION("""COMPUTED_VALUE"""),"Unsure")</f>
        <v>Unsure</v>
      </c>
      <c r="X75" s="1" t="str">
        <f>IFERROR(__xludf.DUMMYFUNCTION("""COMPUTED_VALUE"""),"Unsure")</f>
        <v>Unsure</v>
      </c>
      <c r="Y75" s="1">
        <f>IFERROR(__xludf.DUMMYFUNCTION("""COMPUTED_VALUE"""),7.0)</f>
        <v>7</v>
      </c>
      <c r="Z75" s="1">
        <f>IFERROR(__xludf.DUMMYFUNCTION("""COMPUTED_VALUE"""),7.0)</f>
        <v>7</v>
      </c>
      <c r="AA75" s="1">
        <f>IFERROR(__xludf.DUMMYFUNCTION("""COMPUTED_VALUE"""),7.0)</f>
        <v>7</v>
      </c>
      <c r="AB75" s="1" t="str">
        <f>IFERROR(__xludf.DUMMYFUNCTION("""COMPUTED_VALUE"""),"No")</f>
        <v>No</v>
      </c>
      <c r="AC75" s="1"/>
    </row>
    <row r="76">
      <c r="A76" s="1" t="str">
        <f>IFERROR(__xludf.DUMMYFUNCTION("""COMPUTED_VALUE"""),"PdJxOqV")</f>
        <v>PdJxOqV</v>
      </c>
      <c r="B76" s="1" t="str">
        <f>IFERROR(__xludf.DUMMYFUNCTION("""COMPUTED_VALUE"""),"RG56DO4")</f>
        <v>RG56DO4</v>
      </c>
      <c r="C76" s="5">
        <f>IFERROR(__xludf.DUMMYFUNCTION("""COMPUTED_VALUE"""),46036.150034722225)</f>
        <v>46036.15003</v>
      </c>
      <c r="D76" s="1" t="str">
        <f>IFERROR(__xludf.DUMMYFUNCTION("""COMPUTED_VALUE"""),"18-25")</f>
        <v>18-25</v>
      </c>
      <c r="E76" s="1" t="str">
        <f>IFERROR(__xludf.DUMMYFUNCTION("""COMPUTED_VALUE"""),"Female")</f>
        <v>Female</v>
      </c>
      <c r="F76" s="1" t="str">
        <f>IFERROR(__xludf.DUMMYFUNCTION("""COMPUTED_VALUE"""),"Prefer not to say")</f>
        <v>Prefer not to say</v>
      </c>
      <c r="G76" s="1" t="str">
        <f>IFERROR(__xludf.DUMMYFUNCTION("""COMPUTED_VALUE"""),"Kansai")</f>
        <v>Kansai</v>
      </c>
      <c r="H76" s="1" t="str">
        <f>IFERROR(__xludf.DUMMYFUNCTION("""COMPUTED_VALUE"""),"Several times a week")</f>
        <v>Several times a week</v>
      </c>
      <c r="I76" s="1" t="str">
        <f>IFERROR(__xludf.DUMMYFUNCTION("""COMPUTED_VALUE"""),"Drip")</f>
        <v>Drip</v>
      </c>
      <c r="J76" s="1"/>
      <c r="K76" s="1" t="str">
        <f>IFERROR(__xludf.DUMMYFUNCTION("""COMPUTED_VALUE"""),"Several times a week")</f>
        <v>Several times a week</v>
      </c>
      <c r="L76" s="1" t="str">
        <f>IFERROR(__xludf.DUMMYFUNCTION("""COMPUTED_VALUE"""),"Usucha")</f>
        <v>Usucha</v>
      </c>
      <c r="M76" s="1"/>
      <c r="N76" s="1" t="str">
        <f>IFERROR(__xludf.DUMMYFUNCTION("""COMPUTED_VALUE"""),"Taste/Flavor, Routine/Ritual")</f>
        <v>Taste/Flavor, Routine/Ritual</v>
      </c>
      <c r="O76" s="1"/>
      <c r="P76" s="1" t="str">
        <f>IFERROR(__xludf.DUMMYFUNCTION("""COMPUTED_VALUE"""),"")</f>
        <v/>
      </c>
      <c r="Q76" s="1"/>
      <c r="R76" s="1" t="str">
        <f>IFERROR(__xludf.DUMMYFUNCTION("""COMPUTED_VALUE"""),"A few times a month")</f>
        <v>A few times a month</v>
      </c>
      <c r="S76" s="1" t="str">
        <f>IFERROR(__xludf.DUMMYFUNCTION("""COMPUTED_VALUE"""),"To relax or take a break")</f>
        <v>To relax or take a break</v>
      </c>
      <c r="T76" s="1"/>
      <c r="U76" s="1" t="str">
        <f>IFERROR(__xludf.DUMMYFUNCTION("""COMPUTED_VALUE"""),"Atmosphere")</f>
        <v>Atmosphere</v>
      </c>
      <c r="V76" s="1"/>
      <c r="W76" s="1" t="str">
        <f>IFERROR(__xludf.DUMMYFUNCTION("""COMPUTED_VALUE"""),"Yes, Global")</f>
        <v>Yes, Global</v>
      </c>
      <c r="X76" s="1" t="str">
        <f>IFERROR(__xludf.DUMMYFUNCTION("""COMPUTED_VALUE"""),"Yes,  Japanese")</f>
        <v>Yes,  Japanese</v>
      </c>
      <c r="Y76" s="1">
        <f>IFERROR(__xludf.DUMMYFUNCTION("""COMPUTED_VALUE"""),7.0)</f>
        <v>7</v>
      </c>
      <c r="Z76" s="1">
        <f>IFERROR(__xludf.DUMMYFUNCTION("""COMPUTED_VALUE"""),7.0)</f>
        <v>7</v>
      </c>
      <c r="AA76" s="1">
        <f>IFERROR(__xludf.DUMMYFUNCTION("""COMPUTED_VALUE"""),5.0)</f>
        <v>5</v>
      </c>
      <c r="AB76" s="1" t="str">
        <f>IFERROR(__xludf.DUMMYFUNCTION("""COMPUTED_VALUE"""),"No")</f>
        <v>No</v>
      </c>
      <c r="AC76" s="1"/>
    </row>
    <row r="77">
      <c r="A77" s="1" t="str">
        <f>IFERROR(__xludf.DUMMYFUNCTION("""COMPUTED_VALUE"""),"Np1jb7p")</f>
        <v>Np1jb7p</v>
      </c>
      <c r="B77" s="1" t="str">
        <f>IFERROR(__xludf.DUMMYFUNCTION("""COMPUTED_VALUE"""),"81QgeBY")</f>
        <v>81QgeBY</v>
      </c>
      <c r="C77" s="5">
        <f>IFERROR(__xludf.DUMMYFUNCTION("""COMPUTED_VALUE"""),46036.19474537037)</f>
        <v>46036.19475</v>
      </c>
      <c r="D77" s="1" t="str">
        <f>IFERROR(__xludf.DUMMYFUNCTION("""COMPUTED_VALUE"""),"36-45")</f>
        <v>36-45</v>
      </c>
      <c r="E77" s="1" t="str">
        <f>IFERROR(__xludf.DUMMYFUNCTION("""COMPUTED_VALUE"""),"Female")</f>
        <v>Female</v>
      </c>
      <c r="F77" s="1" t="str">
        <f>IFERROR(__xludf.DUMMYFUNCTION("""COMPUTED_VALUE"""),"¥3,000,000 – ¥5,999,999")</f>
        <v>¥3,000,000 – ¥5,999,999</v>
      </c>
      <c r="G77" s="1" t="str">
        <f>IFERROR(__xludf.DUMMYFUNCTION("""COMPUTED_VALUE"""),"Kansai")</f>
        <v>Kansai</v>
      </c>
      <c r="H77" s="1" t="str">
        <f>IFERROR(__xludf.DUMMYFUNCTION("""COMPUTED_VALUE"""),"Daily")</f>
        <v>Daily</v>
      </c>
      <c r="I77" s="1" t="str">
        <f>IFERROR(__xludf.DUMMYFUNCTION("""COMPUTED_VALUE"""),"Drip")</f>
        <v>Drip</v>
      </c>
      <c r="J77" s="1"/>
      <c r="K77" s="1" t="str">
        <f>IFERROR(__xludf.DUMMYFUNCTION("""COMPUTED_VALUE"""),"Rarely")</f>
        <v>Rarely</v>
      </c>
      <c r="L77" s="1" t="str">
        <f>IFERROR(__xludf.DUMMYFUNCTION("""COMPUTED_VALUE"""),"I don’t drink matcha")</f>
        <v>I don’t drink matcha</v>
      </c>
      <c r="M77" s="1"/>
      <c r="N77" s="1" t="str">
        <f>IFERROR(__xludf.DUMMYFUNCTION("""COMPUTED_VALUE"""),"Taste/Flavor")</f>
        <v>Taste/Flavor</v>
      </c>
      <c r="O77" s="1"/>
      <c r="P77" s="1" t="str">
        <f>IFERROR(__xludf.DUMMYFUNCTION("""COMPUTED_VALUE"""),"At home")</f>
        <v>At home</v>
      </c>
      <c r="Q77" s="1"/>
      <c r="R77" s="1" t="str">
        <f>IFERROR(__xludf.DUMMYFUNCTION("""COMPUTED_VALUE"""),"Daily")</f>
        <v>Daily</v>
      </c>
      <c r="S77" s="1" t="str">
        <f>IFERROR(__xludf.DUMMYFUNCTION("""COMPUTED_VALUE"""),"To relax or take a break")</f>
        <v>To relax or take a break</v>
      </c>
      <c r="T77" s="1"/>
      <c r="U77" s="1" t="str">
        <f>IFERROR(__xludf.DUMMYFUNCTION("""COMPUTED_VALUE"""),"Atmosphere")</f>
        <v>Atmosphere</v>
      </c>
      <c r="V77" s="1"/>
      <c r="W77" s="1" t="str">
        <f>IFERROR(__xludf.DUMMYFUNCTION("""COMPUTED_VALUE"""),"Yes, Global")</f>
        <v>Yes, Global</v>
      </c>
      <c r="X77" s="1" t="str">
        <f>IFERROR(__xludf.DUMMYFUNCTION("""COMPUTED_VALUE"""),"Yes,  Japanese")</f>
        <v>Yes,  Japanese</v>
      </c>
      <c r="Y77" s="1">
        <f>IFERROR(__xludf.DUMMYFUNCTION("""COMPUTED_VALUE"""),7.0)</f>
        <v>7</v>
      </c>
      <c r="Z77" s="1">
        <f>IFERROR(__xludf.DUMMYFUNCTION("""COMPUTED_VALUE"""),1.0)</f>
        <v>1</v>
      </c>
      <c r="AA77" s="1">
        <f>IFERROR(__xludf.DUMMYFUNCTION("""COMPUTED_VALUE"""),5.0)</f>
        <v>5</v>
      </c>
      <c r="AB77" s="1" t="str">
        <f>IFERROR(__xludf.DUMMYFUNCTION("""COMPUTED_VALUE"""),"No")</f>
        <v>No</v>
      </c>
      <c r="AC77" s="1"/>
    </row>
    <row r="78">
      <c r="A78" s="1" t="str">
        <f>IFERROR(__xludf.DUMMYFUNCTION("""COMPUTED_VALUE"""),"pb2DOGb")</f>
        <v>pb2DOGb</v>
      </c>
      <c r="B78" s="1" t="str">
        <f>IFERROR(__xludf.DUMMYFUNCTION("""COMPUTED_VALUE"""),"XxWp9kV")</f>
        <v>XxWp9kV</v>
      </c>
      <c r="C78" s="5">
        <f>IFERROR(__xludf.DUMMYFUNCTION("""COMPUTED_VALUE"""),46038.00806712963)</f>
        <v>46038.00807</v>
      </c>
      <c r="D78" s="1" t="str">
        <f>IFERROR(__xludf.DUMMYFUNCTION("""COMPUTED_VALUE"""),"46-55")</f>
        <v>46-55</v>
      </c>
      <c r="E78" s="1" t="str">
        <f>IFERROR(__xludf.DUMMYFUNCTION("""COMPUTED_VALUE"""),"Female")</f>
        <v>Female</v>
      </c>
      <c r="F78" s="1" t="str">
        <f>IFERROR(__xludf.DUMMYFUNCTION("""COMPUTED_VALUE"""),"¥3,000,000 – ¥5,999,999")</f>
        <v>¥3,000,000 – ¥5,999,999</v>
      </c>
      <c r="G78" s="1" t="str">
        <f>IFERROR(__xludf.DUMMYFUNCTION("""COMPUTED_VALUE"""),"Kansai")</f>
        <v>Kansai</v>
      </c>
      <c r="H78" s="1" t="str">
        <f>IFERROR(__xludf.DUMMYFUNCTION("""COMPUTED_VALUE"""),"Several times a week")</f>
        <v>Several times a week</v>
      </c>
      <c r="I78" s="1" t="str">
        <f>IFERROR(__xludf.DUMMYFUNCTION("""COMPUTED_VALUE"""),"Latte")</f>
        <v>Latte</v>
      </c>
      <c r="J78" s="1"/>
      <c r="K78" s="1" t="str">
        <f>IFERROR(__xludf.DUMMYFUNCTION("""COMPUTED_VALUE"""),"Rarely")</f>
        <v>Rarely</v>
      </c>
      <c r="L78" s="1" t="str">
        <f>IFERROR(__xludf.DUMMYFUNCTION("""COMPUTED_VALUE"""),"Matcha Latte")</f>
        <v>Matcha Latte</v>
      </c>
      <c r="M78" s="1"/>
      <c r="N78" s="1" t="str">
        <f>IFERROR(__xludf.DUMMYFUNCTION("""COMPUTED_VALUE"""),"Routine/Ritual, Taste/Flavor")</f>
        <v>Routine/Ritual, Taste/Flavor</v>
      </c>
      <c r="O78" s="1"/>
      <c r="P78" s="1" t="str">
        <f>IFERROR(__xludf.DUMMYFUNCTION("""COMPUTED_VALUE"""),"At home, At cafés")</f>
        <v>At home, At cafés</v>
      </c>
      <c r="Q78" s="1"/>
      <c r="R78" s="1" t="str">
        <f>IFERROR(__xludf.DUMMYFUNCTION("""COMPUTED_VALUE"""),"A few times a month")</f>
        <v>A few times a month</v>
      </c>
      <c r="S78" s="1" t="str">
        <f>IFERROR(__xludf.DUMMYFUNCTION("""COMPUTED_VALUE"""),"To meet friends")</f>
        <v>To meet friends</v>
      </c>
      <c r="T78" s="1"/>
      <c r="U78" s="1" t="str">
        <f>IFERROR(__xludf.DUMMYFUNCTION("""COMPUTED_VALUE"""),"Quality of drinks")</f>
        <v>Quality of drinks</v>
      </c>
      <c r="V78" s="1"/>
      <c r="W78" s="1" t="str">
        <f>IFERROR(__xludf.DUMMYFUNCTION("""COMPUTED_VALUE"""),"No")</f>
        <v>No</v>
      </c>
      <c r="X78" s="1" t="str">
        <f>IFERROR(__xludf.DUMMYFUNCTION("""COMPUTED_VALUE"""),"Yes,  Japanese")</f>
        <v>Yes,  Japanese</v>
      </c>
      <c r="Y78" s="1">
        <f>IFERROR(__xludf.DUMMYFUNCTION("""COMPUTED_VALUE"""),7.0)</f>
        <v>7</v>
      </c>
      <c r="Z78" s="1">
        <f>IFERROR(__xludf.DUMMYFUNCTION("""COMPUTED_VALUE"""),7.0)</f>
        <v>7</v>
      </c>
      <c r="AA78" s="1">
        <f>IFERROR(__xludf.DUMMYFUNCTION("""COMPUTED_VALUE"""),5.0)</f>
        <v>5</v>
      </c>
      <c r="AB78" s="1" t="str">
        <f>IFERROR(__xludf.DUMMYFUNCTION("""COMPUTED_VALUE"""),"No")</f>
        <v>No</v>
      </c>
      <c r="AC78" s="1"/>
    </row>
    <row r="79">
      <c r="A79" s="1" t="str">
        <f>IFERROR(__xludf.DUMMYFUNCTION("""COMPUTED_VALUE"""),"EkOLgBr")</f>
        <v>EkOLgBr</v>
      </c>
      <c r="B79" s="1" t="str">
        <f>IFERROR(__xludf.DUMMYFUNCTION("""COMPUTED_VALUE"""),"J9ANZQz")</f>
        <v>J9ANZQz</v>
      </c>
      <c r="C79" s="5">
        <f>IFERROR(__xludf.DUMMYFUNCTION("""COMPUTED_VALUE"""),46039.07131944445)</f>
        <v>46039.07132</v>
      </c>
      <c r="D79" s="1" t="str">
        <f>IFERROR(__xludf.DUMMYFUNCTION("""COMPUTED_VALUE"""),"26-35")</f>
        <v>26-35</v>
      </c>
      <c r="E79" s="1" t="str">
        <f>IFERROR(__xludf.DUMMYFUNCTION("""COMPUTED_VALUE"""),"Female")</f>
        <v>Female</v>
      </c>
      <c r="F79" s="1" t="str">
        <f>IFERROR(__xludf.DUMMYFUNCTION("""COMPUTED_VALUE"""),"Under ¥3,000,000")</f>
        <v>Under ¥3,000,000</v>
      </c>
      <c r="G79" s="1" t="str">
        <f>IFERROR(__xludf.DUMMYFUNCTION("""COMPUTED_VALUE"""),"Kansai")</f>
        <v>Kansai</v>
      </c>
      <c r="H79" s="1" t="str">
        <f>IFERROR(__xludf.DUMMYFUNCTION("""COMPUTED_VALUE"""),"Daily")</f>
        <v>Daily</v>
      </c>
      <c r="I79" s="1" t="str">
        <f>IFERROR(__xludf.DUMMYFUNCTION("""COMPUTED_VALUE"""),"Pour Over")</f>
        <v>Pour Over</v>
      </c>
      <c r="J79" s="1"/>
      <c r="K79" s="1" t="str">
        <f>IFERROR(__xludf.DUMMYFUNCTION("""COMPUTED_VALUE"""),"Never")</f>
        <v>Never</v>
      </c>
      <c r="L79" s="1" t="str">
        <f>IFERROR(__xludf.DUMMYFUNCTION("""COMPUTED_VALUE"""),"")</f>
        <v/>
      </c>
      <c r="M79" s="1"/>
      <c r="N79" s="1" t="str">
        <f>IFERROR(__xludf.DUMMYFUNCTION("""COMPUTED_VALUE"""),"Taste/Flavor")</f>
        <v>Taste/Flavor</v>
      </c>
      <c r="O79" s="1"/>
      <c r="P79" s="1" t="str">
        <f>IFERROR(__xludf.DUMMYFUNCTION("""COMPUTED_VALUE"""),"At cafés")</f>
        <v>At cafés</v>
      </c>
      <c r="Q79" s="1"/>
      <c r="R79" s="1" t="str">
        <f>IFERROR(__xludf.DUMMYFUNCTION("""COMPUTED_VALUE"""),"Several times a week")</f>
        <v>Several times a week</v>
      </c>
      <c r="S79" s="1" t="str">
        <f>IFERROR(__xludf.DUMMYFUNCTION("""COMPUTED_VALUE"""),"Out of habit")</f>
        <v>Out of habit</v>
      </c>
      <c r="T79" s="1"/>
      <c r="U79" s="1" t="str">
        <f>IFERROR(__xludf.DUMMYFUNCTION("""COMPUTED_VALUE"""),"Atmosphere")</f>
        <v>Atmosphere</v>
      </c>
      <c r="V79" s="1"/>
      <c r="W79" s="1" t="str">
        <f>IFERROR(__xludf.DUMMYFUNCTION("""COMPUTED_VALUE"""),"Yes, Global")</f>
        <v>Yes, Global</v>
      </c>
      <c r="X79" s="1" t="str">
        <f>IFERROR(__xludf.DUMMYFUNCTION("""COMPUTED_VALUE"""),"Yes,  Japanese")</f>
        <v>Yes,  Japanese</v>
      </c>
      <c r="Y79" s="1">
        <f>IFERROR(__xludf.DUMMYFUNCTION("""COMPUTED_VALUE"""),5.0)</f>
        <v>5</v>
      </c>
      <c r="Z79" s="1">
        <f>IFERROR(__xludf.DUMMYFUNCTION("""COMPUTED_VALUE"""),4.0)</f>
        <v>4</v>
      </c>
      <c r="AA79" s="1">
        <f>IFERROR(__xludf.DUMMYFUNCTION("""COMPUTED_VALUE"""),4.0)</f>
        <v>4</v>
      </c>
      <c r="AB79" s="1" t="str">
        <f>IFERROR(__xludf.DUMMYFUNCTION("""COMPUTED_VALUE"""),"No")</f>
        <v>No</v>
      </c>
      <c r="AC79" s="1"/>
    </row>
    <row r="80">
      <c r="A80" s="1" t="str">
        <f>IFERROR(__xludf.DUMMYFUNCTION("""COMPUTED_VALUE"""),"Y5AYV0N")</f>
        <v>Y5AYV0N</v>
      </c>
      <c r="B80" s="1" t="str">
        <f>IFERROR(__xludf.DUMMYFUNCTION("""COMPUTED_VALUE"""),"44xWaRo")</f>
        <v>44xWaRo</v>
      </c>
      <c r="C80" s="5">
        <f>IFERROR(__xludf.DUMMYFUNCTION("""COMPUTED_VALUE"""),46039.22078703704)</f>
        <v>46039.22079</v>
      </c>
      <c r="D80" s="1" t="str">
        <f>IFERROR(__xludf.DUMMYFUNCTION("""COMPUTED_VALUE"""),"56-65")</f>
        <v>56-65</v>
      </c>
      <c r="E80" s="1" t="str">
        <f>IFERROR(__xludf.DUMMYFUNCTION("""COMPUTED_VALUE"""),"Male")</f>
        <v>Male</v>
      </c>
      <c r="F80" s="1" t="str">
        <f>IFERROR(__xludf.DUMMYFUNCTION("""COMPUTED_VALUE"""),"¥9,000,000 – ¥11,999,999")</f>
        <v>¥9,000,000 – ¥11,999,999</v>
      </c>
      <c r="G80" s="1" t="str">
        <f>IFERROR(__xludf.DUMMYFUNCTION("""COMPUTED_VALUE"""),"Hokkaido")</f>
        <v>Hokkaido</v>
      </c>
      <c r="H80" s="1" t="str">
        <f>IFERROR(__xludf.DUMMYFUNCTION("""COMPUTED_VALUE"""),"Daily")</f>
        <v>Daily</v>
      </c>
      <c r="I80" s="1" t="str">
        <f>IFERROR(__xludf.DUMMYFUNCTION("""COMPUTED_VALUE"""),"Drip")</f>
        <v>Drip</v>
      </c>
      <c r="J80" s="1"/>
      <c r="K80" s="1" t="str">
        <f>IFERROR(__xludf.DUMMYFUNCTION("""COMPUTED_VALUE"""),"Daily")</f>
        <v>Daily</v>
      </c>
      <c r="L80" s="1" t="str">
        <f>IFERROR(__xludf.DUMMYFUNCTION("""COMPUTED_VALUE"""),"Usucha")</f>
        <v>Usucha</v>
      </c>
      <c r="M80" s="1"/>
      <c r="N80" s="1" t="str">
        <f>IFERROR(__xludf.DUMMYFUNCTION("""COMPUTED_VALUE"""),"Social atmosphere")</f>
        <v>Social atmosphere</v>
      </c>
      <c r="O80" s="1"/>
      <c r="P80" s="1" t="str">
        <f>IFERROR(__xludf.DUMMYFUNCTION("""COMPUTED_VALUE"""),"At cafés")</f>
        <v>At cafés</v>
      </c>
      <c r="Q80" s="1"/>
      <c r="R80" s="1" t="str">
        <f>IFERROR(__xludf.DUMMYFUNCTION("""COMPUTED_VALUE"""),"Daily")</f>
        <v>Daily</v>
      </c>
      <c r="S80" s="1" t="str">
        <f>IFERROR(__xludf.DUMMYFUNCTION("""COMPUTED_VALUE"""),"To relax or take a break")</f>
        <v>To relax or take a break</v>
      </c>
      <c r="T80" s="1"/>
      <c r="U80" s="1" t="str">
        <f>IFERROR(__xludf.DUMMYFUNCTION("""COMPUTED_VALUE"""),"Atmosphere")</f>
        <v>Atmosphere</v>
      </c>
      <c r="V80" s="1"/>
      <c r="W80" s="1" t="str">
        <f>IFERROR(__xludf.DUMMYFUNCTION("""COMPUTED_VALUE"""),"Yes, Western")</f>
        <v>Yes, Western</v>
      </c>
      <c r="X80" s="1" t="str">
        <f>IFERROR(__xludf.DUMMYFUNCTION("""COMPUTED_VALUE"""),"Yes,  Japanese")</f>
        <v>Yes,  Japanese</v>
      </c>
      <c r="Y80" s="1">
        <f>IFERROR(__xludf.DUMMYFUNCTION("""COMPUTED_VALUE"""),7.0)</f>
        <v>7</v>
      </c>
      <c r="Z80" s="1">
        <f>IFERROR(__xludf.DUMMYFUNCTION("""COMPUTED_VALUE"""),7.0)</f>
        <v>7</v>
      </c>
      <c r="AA80" s="1">
        <f>IFERROR(__xludf.DUMMYFUNCTION("""COMPUTED_VALUE"""),7.0)</f>
        <v>7</v>
      </c>
      <c r="AB80" s="1" t="str">
        <f>IFERROR(__xludf.DUMMYFUNCTION("""COMPUTED_VALUE"""),"No")</f>
        <v>No</v>
      </c>
      <c r="AC80" s="1"/>
    </row>
    <row r="81">
      <c r="A81" s="1" t="str">
        <f>IFERROR(__xludf.DUMMYFUNCTION("""COMPUTED_VALUE"""),"yPaokO6")</f>
        <v>yPaokO6</v>
      </c>
      <c r="B81" s="1" t="str">
        <f>IFERROR(__xludf.DUMMYFUNCTION("""COMPUTED_VALUE"""),"Meb1MBp")</f>
        <v>Meb1MBp</v>
      </c>
      <c r="C81" s="5">
        <f>IFERROR(__xludf.DUMMYFUNCTION("""COMPUTED_VALUE"""),46040.28325231482)</f>
        <v>46040.28325</v>
      </c>
      <c r="D81" s="1" t="str">
        <f>IFERROR(__xludf.DUMMYFUNCTION("""COMPUTED_VALUE"""),"36-45")</f>
        <v>36-45</v>
      </c>
      <c r="E81" s="1" t="str">
        <f>IFERROR(__xludf.DUMMYFUNCTION("""COMPUTED_VALUE"""),"Male")</f>
        <v>Male</v>
      </c>
      <c r="F81" s="1" t="str">
        <f>IFERROR(__xludf.DUMMYFUNCTION("""COMPUTED_VALUE"""),"¥3,000,000 – ¥5,999,999")</f>
        <v>¥3,000,000 – ¥5,999,999</v>
      </c>
      <c r="G81" s="1" t="str">
        <f>IFERROR(__xludf.DUMMYFUNCTION("""COMPUTED_VALUE"""),"Hokkaido")</f>
        <v>Hokkaido</v>
      </c>
      <c r="H81" s="1" t="str">
        <f>IFERROR(__xludf.DUMMYFUNCTION("""COMPUTED_VALUE"""),"Daily")</f>
        <v>Daily</v>
      </c>
      <c r="I81" s="1" t="str">
        <f>IFERROR(__xludf.DUMMYFUNCTION("""COMPUTED_VALUE"""),"Pour Over")</f>
        <v>Pour Over</v>
      </c>
      <c r="J81" s="1"/>
      <c r="K81" s="1" t="str">
        <f>IFERROR(__xludf.DUMMYFUNCTION("""COMPUTED_VALUE"""),"Rarely")</f>
        <v>Rarely</v>
      </c>
      <c r="L81" s="1" t="str">
        <f>IFERROR(__xludf.DUMMYFUNCTION("""COMPUTED_VALUE"""),"Matcha Latte")</f>
        <v>Matcha Latte</v>
      </c>
      <c r="M81" s="1"/>
      <c r="N81" s="1" t="str">
        <f>IFERROR(__xludf.DUMMYFUNCTION("""COMPUTED_VALUE"""),"Taste/Flavor, Price")</f>
        <v>Taste/Flavor, Price</v>
      </c>
      <c r="O81" s="1"/>
      <c r="P81" s="1" t="str">
        <f>IFERROR(__xludf.DUMMYFUNCTION("""COMPUTED_VALUE"""),"At cafés")</f>
        <v>At cafés</v>
      </c>
      <c r="Q81" s="1"/>
      <c r="R81" s="1" t="str">
        <f>IFERROR(__xludf.DUMMYFUNCTION("""COMPUTED_VALUE"""),"Several times a week")</f>
        <v>Several times a week</v>
      </c>
      <c r="S81" s="1" t="str">
        <f>IFERROR(__xludf.DUMMYFUNCTION("""COMPUTED_VALUE"""),"To relax or take a break")</f>
        <v>To relax or take a break</v>
      </c>
      <c r="T81" s="1"/>
      <c r="U81" s="1" t="str">
        <f>IFERROR(__xludf.DUMMYFUNCTION("""COMPUTED_VALUE"""),"Atmosphere")</f>
        <v>Atmosphere</v>
      </c>
      <c r="V81" s="1"/>
      <c r="W81" s="1" t="str">
        <f>IFERROR(__xludf.DUMMYFUNCTION("""COMPUTED_VALUE"""),"Yes,  Japanese")</f>
        <v>Yes,  Japanese</v>
      </c>
      <c r="X81" s="1" t="str">
        <f>IFERROR(__xludf.DUMMYFUNCTION("""COMPUTED_VALUE"""),"Yes,  Japanese")</f>
        <v>Yes,  Japanese</v>
      </c>
      <c r="Y81" s="1">
        <f>IFERROR(__xludf.DUMMYFUNCTION("""COMPUTED_VALUE"""),7.0)</f>
        <v>7</v>
      </c>
      <c r="Z81" s="1">
        <f>IFERROR(__xludf.DUMMYFUNCTION("""COMPUTED_VALUE"""),6.0)</f>
        <v>6</v>
      </c>
      <c r="AA81" s="1">
        <f>IFERROR(__xludf.DUMMYFUNCTION("""COMPUTED_VALUE"""),7.0)</f>
        <v>7</v>
      </c>
      <c r="AB81" s="1" t="str">
        <f>IFERROR(__xludf.DUMMYFUNCTION("""COMPUTED_VALUE"""),"No")</f>
        <v>No</v>
      </c>
      <c r="AC81" s="1"/>
    </row>
    <row r="82">
      <c r="A82" s="1" t="str">
        <f>IFERROR(__xludf.DUMMYFUNCTION("""COMPUTED_VALUE"""),"rjZqzzM")</f>
        <v>rjZqzzM</v>
      </c>
      <c r="B82" s="1" t="str">
        <f>IFERROR(__xludf.DUMMYFUNCTION("""COMPUTED_VALUE"""),"Np6lJxO")</f>
        <v>Np6lJxO</v>
      </c>
      <c r="C82" s="5">
        <f>IFERROR(__xludf.DUMMYFUNCTION("""COMPUTED_VALUE"""),46041.00724537037)</f>
        <v>46041.00725</v>
      </c>
      <c r="D82" s="1" t="str">
        <f>IFERROR(__xludf.DUMMYFUNCTION("""COMPUTED_VALUE"""),"36-45")</f>
        <v>36-45</v>
      </c>
      <c r="E82" s="1" t="str">
        <f>IFERROR(__xludf.DUMMYFUNCTION("""COMPUTED_VALUE"""),"Female")</f>
        <v>Female</v>
      </c>
      <c r="F82" s="1" t="str">
        <f>IFERROR(__xludf.DUMMYFUNCTION("""COMPUTED_VALUE"""),"Prefer not to say")</f>
        <v>Prefer not to say</v>
      </c>
      <c r="G82" s="1" t="str">
        <f>IFERROR(__xludf.DUMMYFUNCTION("""COMPUTED_VALUE"""),"Kansai")</f>
        <v>Kansai</v>
      </c>
      <c r="H82" s="1" t="str">
        <f>IFERROR(__xludf.DUMMYFUNCTION("""COMPUTED_VALUE"""),"Daily")</f>
        <v>Daily</v>
      </c>
      <c r="I82" s="1" t="str">
        <f>IFERROR(__xludf.DUMMYFUNCTION("""COMPUTED_VALUE"""),"Pour Over")</f>
        <v>Pour Over</v>
      </c>
      <c r="J82" s="1"/>
      <c r="K82" s="1" t="str">
        <f>IFERROR(__xludf.DUMMYFUNCTION("""COMPUTED_VALUE"""),"Never")</f>
        <v>Never</v>
      </c>
      <c r="L82" s="1" t="str">
        <f>IFERROR(__xludf.DUMMYFUNCTION("""COMPUTED_VALUE"""),"")</f>
        <v/>
      </c>
      <c r="M82" s="1"/>
      <c r="N82" s="1" t="str">
        <f>IFERROR(__xludf.DUMMYFUNCTION("""COMPUTED_VALUE"""),"")</f>
        <v/>
      </c>
      <c r="O82" s="1"/>
      <c r="P82" s="1" t="str">
        <f>IFERROR(__xludf.DUMMYFUNCTION("""COMPUTED_VALUE"""),"At cafés")</f>
        <v>At cafés</v>
      </c>
      <c r="Q82" s="1"/>
      <c r="R82" s="1" t="str">
        <f>IFERROR(__xludf.DUMMYFUNCTION("""COMPUTED_VALUE"""),"A few times a month")</f>
        <v>A few times a month</v>
      </c>
      <c r="S82" s="1" t="str">
        <f>IFERROR(__xludf.DUMMYFUNCTION("""COMPUTED_VALUE"""),"To meet friends")</f>
        <v>To meet friends</v>
      </c>
      <c r="T82" s="1"/>
      <c r="U82" s="1" t="str">
        <f>IFERROR(__xludf.DUMMYFUNCTION("""COMPUTED_VALUE"""),"Quality of drinks")</f>
        <v>Quality of drinks</v>
      </c>
      <c r="V82" s="1"/>
      <c r="W82" s="1" t="str">
        <f>IFERROR(__xludf.DUMMYFUNCTION("""COMPUTED_VALUE"""),"Unsure")</f>
        <v>Unsure</v>
      </c>
      <c r="X82" s="1" t="str">
        <f>IFERROR(__xludf.DUMMYFUNCTION("""COMPUTED_VALUE"""),"Yes,  Japanese")</f>
        <v>Yes,  Japanese</v>
      </c>
      <c r="Y82" s="1">
        <f>IFERROR(__xludf.DUMMYFUNCTION("""COMPUTED_VALUE"""),7.0)</f>
        <v>7</v>
      </c>
      <c r="Z82" s="1">
        <f>IFERROR(__xludf.DUMMYFUNCTION("""COMPUTED_VALUE"""),7.0)</f>
        <v>7</v>
      </c>
      <c r="AA82" s="1">
        <f>IFERROR(__xludf.DUMMYFUNCTION("""COMPUTED_VALUE"""),3.0)</f>
        <v>3</v>
      </c>
      <c r="AB82" s="1" t="str">
        <f>IFERROR(__xludf.DUMMYFUNCTION("""COMPUTED_VALUE"""),"No")</f>
        <v>No</v>
      </c>
      <c r="AC82" s="1"/>
    </row>
    <row r="83">
      <c r="A83" s="1" t="str">
        <f>IFERROR(__xludf.DUMMYFUNCTION("""COMPUTED_VALUE"""),"2E6gLL9")</f>
        <v>2E6gLL9</v>
      </c>
      <c r="B83" s="1" t="str">
        <f>IFERROR(__xludf.DUMMYFUNCTION("""COMPUTED_VALUE"""),"WON8qMj")</f>
        <v>WON8qMj</v>
      </c>
      <c r="C83" s="5">
        <f>IFERROR(__xludf.DUMMYFUNCTION("""COMPUTED_VALUE"""),46041.56443287037)</f>
        <v>46041.56443</v>
      </c>
      <c r="D83" s="1" t="str">
        <f>IFERROR(__xludf.DUMMYFUNCTION("""COMPUTED_VALUE"""),"36-45")</f>
        <v>36-45</v>
      </c>
      <c r="E83" s="1" t="str">
        <f>IFERROR(__xludf.DUMMYFUNCTION("""COMPUTED_VALUE"""),"Female")</f>
        <v>Female</v>
      </c>
      <c r="F83" s="1" t="str">
        <f>IFERROR(__xludf.DUMMYFUNCTION("""COMPUTED_VALUE"""),"¥6,000,000 – ¥8,999,999")</f>
        <v>¥6,000,000 – ¥8,999,999</v>
      </c>
      <c r="G83" s="1" t="str">
        <f>IFERROR(__xludf.DUMMYFUNCTION("""COMPUTED_VALUE"""),"Hokkaido")</f>
        <v>Hokkaido</v>
      </c>
      <c r="H83" s="1" t="str">
        <f>IFERROR(__xludf.DUMMYFUNCTION("""COMPUTED_VALUE"""),"Daily")</f>
        <v>Daily</v>
      </c>
      <c r="I83" s="1" t="str">
        <f>IFERROR(__xludf.DUMMYFUNCTION("""COMPUTED_VALUE"""),"Drip")</f>
        <v>Drip</v>
      </c>
      <c r="J83" s="1"/>
      <c r="K83" s="1" t="str">
        <f>IFERROR(__xludf.DUMMYFUNCTION("""COMPUTED_VALUE"""),"Rarely")</f>
        <v>Rarely</v>
      </c>
      <c r="L83" s="1" t="str">
        <f>IFERROR(__xludf.DUMMYFUNCTION("""COMPUTED_VALUE"""),"Usucha")</f>
        <v>Usucha</v>
      </c>
      <c r="M83" s="1"/>
      <c r="N83" s="1" t="str">
        <f>IFERROR(__xludf.DUMMYFUNCTION("""COMPUTED_VALUE"""),"Health benefits")</f>
        <v>Health benefits</v>
      </c>
      <c r="O83" s="1"/>
      <c r="P83" s="1" t="str">
        <f>IFERROR(__xludf.DUMMYFUNCTION("""COMPUTED_VALUE"""),"At home")</f>
        <v>At home</v>
      </c>
      <c r="Q83" s="1"/>
      <c r="R83" s="1" t="str">
        <f>IFERROR(__xludf.DUMMYFUNCTION("""COMPUTED_VALUE"""),"A few times a month")</f>
        <v>A few times a month</v>
      </c>
      <c r="S83" s="1" t="str">
        <f>IFERROR(__xludf.DUMMYFUNCTION("""COMPUTED_VALUE"""),"To relax or take a break")</f>
        <v>To relax or take a break</v>
      </c>
      <c r="T83" s="1"/>
      <c r="U83" s="1" t="str">
        <f>IFERROR(__xludf.DUMMYFUNCTION("""COMPUTED_VALUE"""),"Quality of drinks")</f>
        <v>Quality of drinks</v>
      </c>
      <c r="V83" s="1"/>
      <c r="W83" s="1" t="str">
        <f>IFERROR(__xludf.DUMMYFUNCTION("""COMPUTED_VALUE"""),"Yes, Global")</f>
        <v>Yes, Global</v>
      </c>
      <c r="X83" s="1" t="str">
        <f>IFERROR(__xludf.DUMMYFUNCTION("""COMPUTED_VALUE"""),"Yes,  Japanese")</f>
        <v>Yes,  Japanese</v>
      </c>
      <c r="Y83" s="1">
        <f>IFERROR(__xludf.DUMMYFUNCTION("""COMPUTED_VALUE"""),6.0)</f>
        <v>6</v>
      </c>
      <c r="Z83" s="1">
        <f>IFERROR(__xludf.DUMMYFUNCTION("""COMPUTED_VALUE"""),6.0)</f>
        <v>6</v>
      </c>
      <c r="AA83" s="1">
        <f>IFERROR(__xludf.DUMMYFUNCTION("""COMPUTED_VALUE"""),6.0)</f>
        <v>6</v>
      </c>
      <c r="AB83" s="1" t="str">
        <f>IFERROR(__xludf.DUMMYFUNCTION("""COMPUTED_VALUE"""),"Yes")</f>
        <v>Yes</v>
      </c>
      <c r="AC83" s="1"/>
    </row>
    <row r="84">
      <c r="A84" s="1" t="str">
        <f>IFERROR(__xludf.DUMMYFUNCTION("""COMPUTED_VALUE"""),"LZ22L4G")</f>
        <v>LZ22L4G</v>
      </c>
      <c r="B84" s="1" t="str">
        <f>IFERROR(__xludf.DUMMYFUNCTION("""COMPUTED_VALUE"""),"pbKL1Gy")</f>
        <v>pbKL1Gy</v>
      </c>
      <c r="C84" s="5">
        <f>IFERROR(__xludf.DUMMYFUNCTION("""COMPUTED_VALUE"""),46042.46795138889)</f>
        <v>46042.46795</v>
      </c>
      <c r="D84" s="1" t="str">
        <f>IFERROR(__xludf.DUMMYFUNCTION("""COMPUTED_VALUE"""),"18-25")</f>
        <v>18-25</v>
      </c>
      <c r="E84" s="1" t="str">
        <f>IFERROR(__xludf.DUMMYFUNCTION("""COMPUTED_VALUE"""),"Male")</f>
        <v>Male</v>
      </c>
      <c r="F84" s="1" t="str">
        <f>IFERROR(__xludf.DUMMYFUNCTION("""COMPUTED_VALUE"""),"¥3,000,000 – ¥5,999,999")</f>
        <v>¥3,000,000 – ¥5,999,999</v>
      </c>
      <c r="G84" s="1" t="str">
        <f>IFERROR(__xludf.DUMMYFUNCTION("""COMPUTED_VALUE"""),"Tohoku")</f>
        <v>Tohoku</v>
      </c>
      <c r="H84" s="1" t="str">
        <f>IFERROR(__xludf.DUMMYFUNCTION("""COMPUTED_VALUE"""),"Daily")</f>
        <v>Daily</v>
      </c>
      <c r="I84" s="1" t="str">
        <f>IFERROR(__xludf.DUMMYFUNCTION("""COMPUTED_VALUE"""),"Pour Over")</f>
        <v>Pour Over</v>
      </c>
      <c r="J84" s="1"/>
      <c r="K84" s="1" t="str">
        <f>IFERROR(__xludf.DUMMYFUNCTION("""COMPUTED_VALUE"""),"Rarely")</f>
        <v>Rarely</v>
      </c>
      <c r="L84" s="1" t="str">
        <f>IFERROR(__xludf.DUMMYFUNCTION("""COMPUTED_VALUE"""),"Usucha")</f>
        <v>Usucha</v>
      </c>
      <c r="M84" s="1"/>
      <c r="N84" s="1" t="str">
        <f>IFERROR(__xludf.DUMMYFUNCTION("""COMPUTED_VALUE"""),"Routine/Ritual")</f>
        <v>Routine/Ritual</v>
      </c>
      <c r="O84" s="1"/>
      <c r="P84" s="1" t="str">
        <f>IFERROR(__xludf.DUMMYFUNCTION("""COMPUTED_VALUE"""),"At cafés")</f>
        <v>At cafés</v>
      </c>
      <c r="Q84" s="1"/>
      <c r="R84" s="1" t="str">
        <f>IFERROR(__xludf.DUMMYFUNCTION("""COMPUTED_VALUE"""),"Several times a week")</f>
        <v>Several times a week</v>
      </c>
      <c r="S84" s="1" t="str">
        <f>IFERROR(__xludf.DUMMYFUNCTION("""COMPUTED_VALUE"""),"To relax or take a break")</f>
        <v>To relax or take a break</v>
      </c>
      <c r="T84" s="1"/>
      <c r="U84" s="1" t="str">
        <f>IFERROR(__xludf.DUMMYFUNCTION("""COMPUTED_VALUE"""),"Service")</f>
        <v>Service</v>
      </c>
      <c r="V84" s="1"/>
      <c r="W84" s="1" t="str">
        <f>IFERROR(__xludf.DUMMYFUNCTION("""COMPUTED_VALUE"""),"Yes, Global")</f>
        <v>Yes, Global</v>
      </c>
      <c r="X84" s="1" t="str">
        <f>IFERROR(__xludf.DUMMYFUNCTION("""COMPUTED_VALUE"""),"Yes,  Japanese")</f>
        <v>Yes,  Japanese</v>
      </c>
      <c r="Y84" s="1">
        <f>IFERROR(__xludf.DUMMYFUNCTION("""COMPUTED_VALUE"""),7.0)</f>
        <v>7</v>
      </c>
      <c r="Z84" s="1">
        <f>IFERROR(__xludf.DUMMYFUNCTION("""COMPUTED_VALUE"""),7.0)</f>
        <v>7</v>
      </c>
      <c r="AA84" s="1">
        <f>IFERROR(__xludf.DUMMYFUNCTION("""COMPUTED_VALUE"""),7.0)</f>
        <v>7</v>
      </c>
      <c r="AB84" s="1" t="str">
        <f>IFERROR(__xludf.DUMMYFUNCTION("""COMPUTED_VALUE"""),"No")</f>
        <v>No</v>
      </c>
      <c r="AC84" s="1"/>
    </row>
    <row r="85">
      <c r="A85" s="1" t="str">
        <f>IFERROR(__xludf.DUMMYFUNCTION("""COMPUTED_VALUE"""),"rj4laqL")</f>
        <v>rj4laqL</v>
      </c>
      <c r="B85" s="1" t="str">
        <f>IFERROR(__xludf.DUMMYFUNCTION("""COMPUTED_VALUE"""),"Np6dba0")</f>
        <v>Np6dba0</v>
      </c>
      <c r="C85" s="5">
        <f>IFERROR(__xludf.DUMMYFUNCTION("""COMPUTED_VALUE"""),46045.29539351852)</f>
        <v>46045.29539</v>
      </c>
      <c r="D85" s="1" t="str">
        <f>IFERROR(__xludf.DUMMYFUNCTION("""COMPUTED_VALUE"""),"18-25")</f>
        <v>18-25</v>
      </c>
      <c r="E85" s="1" t="str">
        <f>IFERROR(__xludf.DUMMYFUNCTION("""COMPUTED_VALUE"""),"Male")</f>
        <v>Male</v>
      </c>
      <c r="F85" s="1" t="str">
        <f>IFERROR(__xludf.DUMMYFUNCTION("""COMPUTED_VALUE"""),"¥3,000,000 – ¥5,999,999")</f>
        <v>¥3,000,000 – ¥5,999,999</v>
      </c>
      <c r="G85" s="1" t="str">
        <f>IFERROR(__xludf.DUMMYFUNCTION("""COMPUTED_VALUE"""),"Kanto")</f>
        <v>Kanto</v>
      </c>
      <c r="H85" s="1" t="str">
        <f>IFERROR(__xludf.DUMMYFUNCTION("""COMPUTED_VALUE"""),"Daily")</f>
        <v>Daily</v>
      </c>
      <c r="I85" s="1" t="str">
        <f>IFERROR(__xludf.DUMMYFUNCTION("""COMPUTED_VALUE"""),"Pour Over")</f>
        <v>Pour Over</v>
      </c>
      <c r="J85" s="1"/>
      <c r="K85" s="1" t="str">
        <f>IFERROR(__xludf.DUMMYFUNCTION("""COMPUTED_VALUE"""),"Rarely")</f>
        <v>Rarely</v>
      </c>
      <c r="L85" s="1" t="str">
        <f>IFERROR(__xludf.DUMMYFUNCTION("""COMPUTED_VALUE"""),"Usucha")</f>
        <v>Usucha</v>
      </c>
      <c r="M85" s="1"/>
      <c r="N85" s="1" t="str">
        <f>IFERROR(__xludf.DUMMYFUNCTION("""COMPUTED_VALUE"""),"Routine/Ritual")</f>
        <v>Routine/Ritual</v>
      </c>
      <c r="O85" s="1"/>
      <c r="P85" s="1" t="str">
        <f>IFERROR(__xludf.DUMMYFUNCTION("""COMPUTED_VALUE"""),"Other:")</f>
        <v>Other:</v>
      </c>
      <c r="Q85" s="1" t="str">
        <f>IFERROR(__xludf.DUMMYFUNCTION("""COMPUTED_VALUE"""),"Workplace")</f>
        <v>Workplace</v>
      </c>
      <c r="R85" s="1" t="str">
        <f>IFERROR(__xludf.DUMMYFUNCTION("""COMPUTED_VALUE"""),"A few times a month")</f>
        <v>A few times a month</v>
      </c>
      <c r="S85" s="1" t="str">
        <f>IFERROR(__xludf.DUMMYFUNCTION("""COMPUTED_VALUE"""),"To try a new drink")</f>
        <v>To try a new drink</v>
      </c>
      <c r="T85" s="1"/>
      <c r="U85" s="1" t="str">
        <f>IFERROR(__xludf.DUMMYFUNCTION("""COMPUTED_VALUE"""),"Atmosphere")</f>
        <v>Atmosphere</v>
      </c>
      <c r="V85" s="1"/>
      <c r="W85" s="1" t="str">
        <f>IFERROR(__xludf.DUMMYFUNCTION("""COMPUTED_VALUE"""),"Yes, Global")</f>
        <v>Yes, Global</v>
      </c>
      <c r="X85" s="1" t="str">
        <f>IFERROR(__xludf.DUMMYFUNCTION("""COMPUTED_VALUE"""),"Yes, Global")</f>
        <v>Yes, Global</v>
      </c>
      <c r="Y85" s="1">
        <f>IFERROR(__xludf.DUMMYFUNCTION("""COMPUTED_VALUE"""),6.0)</f>
        <v>6</v>
      </c>
      <c r="Z85" s="1">
        <f>IFERROR(__xludf.DUMMYFUNCTION("""COMPUTED_VALUE"""),2.0)</f>
        <v>2</v>
      </c>
      <c r="AA85" s="1" t="str">
        <f>IFERROR(__xludf.DUMMYFUNCTION("""COMPUTED_VALUE"""),"")</f>
        <v/>
      </c>
      <c r="AB85" s="1" t="str">
        <f>IFERROR(__xludf.DUMMYFUNCTION("""COMPUTED_VALUE"""),"Yes")</f>
        <v>Yes</v>
      </c>
      <c r="AC85" s="1"/>
    </row>
    <row r="86">
      <c r="A86" s="1" t="str">
        <f>IFERROR(__xludf.DUMMYFUNCTION("""COMPUTED_VALUE"""),"VLeljXE")</f>
        <v>VLeljXE</v>
      </c>
      <c r="B86" s="1" t="str">
        <f>IFERROR(__xludf.DUMMYFUNCTION("""COMPUTED_VALUE"""),"xXpzMVk")</f>
        <v>xXpzMVk</v>
      </c>
      <c r="C86" s="5">
        <f>IFERROR(__xludf.DUMMYFUNCTION("""COMPUTED_VALUE"""),46045.45578703703)</f>
        <v>46045.45579</v>
      </c>
      <c r="D86" s="1" t="str">
        <f>IFERROR(__xludf.DUMMYFUNCTION("""COMPUTED_VALUE"""),"26-35")</f>
        <v>26-35</v>
      </c>
      <c r="E86" s="1" t="str">
        <f>IFERROR(__xludf.DUMMYFUNCTION("""COMPUTED_VALUE"""),"Male")</f>
        <v>Male</v>
      </c>
      <c r="F86" s="1" t="str">
        <f>IFERROR(__xludf.DUMMYFUNCTION("""COMPUTED_VALUE"""),"¥12,000,000 or more")</f>
        <v>¥12,000,000 or more</v>
      </c>
      <c r="G86" s="1" t="str">
        <f>IFERROR(__xludf.DUMMYFUNCTION("""COMPUTED_VALUE"""),"Kanto")</f>
        <v>Kanto</v>
      </c>
      <c r="H86" s="1" t="str">
        <f>IFERROR(__xludf.DUMMYFUNCTION("""COMPUTED_VALUE"""),"Daily")</f>
        <v>Daily</v>
      </c>
      <c r="I86" s="1" t="str">
        <f>IFERROR(__xludf.DUMMYFUNCTION("""COMPUTED_VALUE"""),"Drip")</f>
        <v>Drip</v>
      </c>
      <c r="J86" s="1"/>
      <c r="K86" s="1" t="str">
        <f>IFERROR(__xludf.DUMMYFUNCTION("""COMPUTED_VALUE"""),"Several times a week")</f>
        <v>Several times a week</v>
      </c>
      <c r="L86" s="1" t="str">
        <f>IFERROR(__xludf.DUMMYFUNCTION("""COMPUTED_VALUE"""),"Matcha Latte")</f>
        <v>Matcha Latte</v>
      </c>
      <c r="M86" s="1"/>
      <c r="N86" s="1" t="str">
        <f>IFERROR(__xludf.DUMMYFUNCTION("""COMPUTED_VALUE"""),"Routine/Ritual")</f>
        <v>Routine/Ritual</v>
      </c>
      <c r="O86" s="1"/>
      <c r="P86" s="1" t="str">
        <f>IFERROR(__xludf.DUMMYFUNCTION("""COMPUTED_VALUE"""),"At home, At cafés, From convenience stores (7-Eleven, Lawson, etc.), From vending machines")</f>
        <v>At home, At cafés, From convenience stores (7-Eleven, Lawson, etc.), From vending machines</v>
      </c>
      <c r="Q86" s="1"/>
      <c r="R86" s="1" t="str">
        <f>IFERROR(__xludf.DUMMYFUNCTION("""COMPUTED_VALUE"""),"Several times a week")</f>
        <v>Several times a week</v>
      </c>
      <c r="S86" s="1" t="str">
        <f>IFERROR(__xludf.DUMMYFUNCTION("""COMPUTED_VALUE"""),"Out of habit")</f>
        <v>Out of habit</v>
      </c>
      <c r="T86" s="1"/>
      <c r="U86" s="1" t="str">
        <f>IFERROR(__xludf.DUMMYFUNCTION("""COMPUTED_VALUE"""),"Other:")</f>
        <v>Other:</v>
      </c>
      <c r="V86" s="1"/>
      <c r="W86" s="1" t="str">
        <f>IFERROR(__xludf.DUMMYFUNCTION("""COMPUTED_VALUE"""),"Yes, Global")</f>
        <v>Yes, Global</v>
      </c>
      <c r="X86" s="1" t="str">
        <f>IFERROR(__xludf.DUMMYFUNCTION("""COMPUTED_VALUE"""),"Yes,  Japanese")</f>
        <v>Yes,  Japanese</v>
      </c>
      <c r="Y86" s="1">
        <f>IFERROR(__xludf.DUMMYFUNCTION("""COMPUTED_VALUE"""),7.0)</f>
        <v>7</v>
      </c>
      <c r="Z86" s="1">
        <f>IFERROR(__xludf.DUMMYFUNCTION("""COMPUTED_VALUE"""),7.0)</f>
        <v>7</v>
      </c>
      <c r="AA86" s="1">
        <f>IFERROR(__xludf.DUMMYFUNCTION("""COMPUTED_VALUE"""),7.0)</f>
        <v>7</v>
      </c>
      <c r="AB86" s="1" t="str">
        <f>IFERROR(__xludf.DUMMYFUNCTION("""COMPUTED_VALUE"""),"Yes")</f>
        <v>Yes</v>
      </c>
      <c r="AC86" s="1"/>
    </row>
    <row r="87">
      <c r="A87" s="1" t="str">
        <f>IFERROR(__xludf.DUMMYFUNCTION("""COMPUTED_VALUE"""),"aQLx2aE")</f>
        <v>aQLx2aE</v>
      </c>
      <c r="B87" s="1" t="str">
        <f>IFERROR(__xludf.DUMMYFUNCTION("""COMPUTED_VALUE"""),"WONqRGN")</f>
        <v>WONqRGN</v>
      </c>
      <c r="C87" s="5">
        <f>IFERROR(__xludf.DUMMYFUNCTION("""COMPUTED_VALUE"""),46045.46512731481)</f>
        <v>46045.46513</v>
      </c>
      <c r="D87" s="1" t="str">
        <f>IFERROR(__xludf.DUMMYFUNCTION("""COMPUTED_VALUE"""),"18-25")</f>
        <v>18-25</v>
      </c>
      <c r="E87" s="1" t="str">
        <f>IFERROR(__xludf.DUMMYFUNCTION("""COMPUTED_VALUE"""),"Female")</f>
        <v>Female</v>
      </c>
      <c r="F87" s="1" t="str">
        <f>IFERROR(__xludf.DUMMYFUNCTION("""COMPUTED_VALUE"""),"Under ¥3,000,000")</f>
        <v>Under ¥3,000,000</v>
      </c>
      <c r="G87" s="1" t="str">
        <f>IFERROR(__xludf.DUMMYFUNCTION("""COMPUTED_VALUE"""),"Kanto")</f>
        <v>Kanto</v>
      </c>
      <c r="H87" s="1" t="str">
        <f>IFERROR(__xludf.DUMMYFUNCTION("""COMPUTED_VALUE"""),"Several times a week")</f>
        <v>Several times a week</v>
      </c>
      <c r="I87" s="1" t="str">
        <f>IFERROR(__xludf.DUMMYFUNCTION("""COMPUTED_VALUE"""),"Pour Over")</f>
        <v>Pour Over</v>
      </c>
      <c r="J87" s="1"/>
      <c r="K87" s="1" t="str">
        <f>IFERROR(__xludf.DUMMYFUNCTION("""COMPUTED_VALUE"""),"Once a week")</f>
        <v>Once a week</v>
      </c>
      <c r="L87" s="1" t="str">
        <f>IFERROR(__xludf.DUMMYFUNCTION("""COMPUTED_VALUE"""),"Matcha Latte")</f>
        <v>Matcha Latte</v>
      </c>
      <c r="M87" s="1"/>
      <c r="N87" s="1" t="str">
        <f>IFERROR(__xludf.DUMMYFUNCTION("""COMPUTED_VALUE"""),"Taste/Flavor, Energy boost/Caffeine")</f>
        <v>Taste/Flavor, Energy boost/Caffeine</v>
      </c>
      <c r="O87" s="1"/>
      <c r="P87" s="1" t="str">
        <f>IFERROR(__xludf.DUMMYFUNCTION("""COMPUTED_VALUE"""),"At cafés, At home, From convenience stores (7-Eleven, Lawson, etc.)")</f>
        <v>At cafés, At home, From convenience stores (7-Eleven, Lawson, etc.)</v>
      </c>
      <c r="Q87" s="1"/>
      <c r="R87" s="1" t="str">
        <f>IFERROR(__xludf.DUMMYFUNCTION("""COMPUTED_VALUE"""),"Once a week")</f>
        <v>Once a week</v>
      </c>
      <c r="S87" s="1" t="str">
        <f>IFERROR(__xludf.DUMMYFUNCTION("""COMPUTED_VALUE"""),"Out of habit")</f>
        <v>Out of habit</v>
      </c>
      <c r="T87" s="1"/>
      <c r="U87" s="1" t="str">
        <f>IFERROR(__xludf.DUMMYFUNCTION("""COMPUTED_VALUE"""),"Service")</f>
        <v>Service</v>
      </c>
      <c r="V87" s="1"/>
      <c r="W87" s="1" t="str">
        <f>IFERROR(__xludf.DUMMYFUNCTION("""COMPUTED_VALUE"""),"Yes, Global")</f>
        <v>Yes, Global</v>
      </c>
      <c r="X87" s="1" t="str">
        <f>IFERROR(__xludf.DUMMYFUNCTION("""COMPUTED_VALUE"""),"Yes,  Japanese")</f>
        <v>Yes,  Japanese</v>
      </c>
      <c r="Y87" s="1">
        <f>IFERROR(__xludf.DUMMYFUNCTION("""COMPUTED_VALUE"""),5.0)</f>
        <v>5</v>
      </c>
      <c r="Z87" s="1">
        <f>IFERROR(__xludf.DUMMYFUNCTION("""COMPUTED_VALUE"""),7.0)</f>
        <v>7</v>
      </c>
      <c r="AA87" s="1">
        <f>IFERROR(__xludf.DUMMYFUNCTION("""COMPUTED_VALUE"""),6.0)</f>
        <v>6</v>
      </c>
      <c r="AB87" s="1" t="str">
        <f>IFERROR(__xludf.DUMMYFUNCTION("""COMPUTED_VALUE"""),"No")</f>
        <v>No</v>
      </c>
      <c r="AC87" s="1"/>
    </row>
    <row r="88">
      <c r="A88" s="1" t="str">
        <f>IFERROR(__xludf.DUMMYFUNCTION("""COMPUTED_VALUE"""),"Bzy1jOR")</f>
        <v>Bzy1jOR</v>
      </c>
      <c r="B88" s="1" t="str">
        <f>IFERROR(__xludf.DUMMYFUNCTION("""COMPUTED_VALUE"""),"zxqdr2g")</f>
        <v>zxqdr2g</v>
      </c>
      <c r="C88" s="5">
        <f>IFERROR(__xludf.DUMMYFUNCTION("""COMPUTED_VALUE"""),46045.51131944444)</f>
        <v>46045.51132</v>
      </c>
      <c r="D88" s="1" t="str">
        <f>IFERROR(__xludf.DUMMYFUNCTION("""COMPUTED_VALUE"""),"36-45")</f>
        <v>36-45</v>
      </c>
      <c r="E88" s="1" t="str">
        <f>IFERROR(__xludf.DUMMYFUNCTION("""COMPUTED_VALUE"""),"Female")</f>
        <v>Female</v>
      </c>
      <c r="F88" s="1" t="str">
        <f>IFERROR(__xludf.DUMMYFUNCTION("""COMPUTED_VALUE"""),"Under ¥3,000,000")</f>
        <v>Under ¥3,000,000</v>
      </c>
      <c r="G88" s="1" t="str">
        <f>IFERROR(__xludf.DUMMYFUNCTION("""COMPUTED_VALUE"""),"Kanto")</f>
        <v>Kanto</v>
      </c>
      <c r="H88" s="1" t="str">
        <f>IFERROR(__xludf.DUMMYFUNCTION("""COMPUTED_VALUE"""),"Daily")</f>
        <v>Daily</v>
      </c>
      <c r="I88" s="1" t="str">
        <f>IFERROR(__xludf.DUMMYFUNCTION("""COMPUTED_VALUE"""),"Pour Over")</f>
        <v>Pour Over</v>
      </c>
      <c r="J88" s="1"/>
      <c r="K88" s="1" t="str">
        <f>IFERROR(__xludf.DUMMYFUNCTION("""COMPUTED_VALUE"""),"Rarely")</f>
        <v>Rarely</v>
      </c>
      <c r="L88" s="1" t="str">
        <f>IFERROR(__xludf.DUMMYFUNCTION("""COMPUTED_VALUE"""),"Usucha")</f>
        <v>Usucha</v>
      </c>
      <c r="M88" s="1"/>
      <c r="N88" s="1" t="str">
        <f>IFERROR(__xludf.DUMMYFUNCTION("""COMPUTED_VALUE"""),"Routine/Ritual, Other:")</f>
        <v>Routine/Ritual, Other:</v>
      </c>
      <c r="O88" s="1"/>
      <c r="P88" s="1" t="str">
        <f>IFERROR(__xludf.DUMMYFUNCTION("""COMPUTED_VALUE"""),"At cafés, Other:")</f>
        <v>At cafés, Other:</v>
      </c>
      <c r="Q88" s="1"/>
      <c r="R88" s="1" t="str">
        <f>IFERROR(__xludf.DUMMYFUNCTION("""COMPUTED_VALUE"""),"")</f>
        <v/>
      </c>
      <c r="S88" s="1" t="str">
        <f>IFERROR(__xludf.DUMMYFUNCTION("""COMPUTED_VALUE"""),"To relax or take a break")</f>
        <v>To relax or take a break</v>
      </c>
      <c r="T88" s="1"/>
      <c r="U88" s="1" t="str">
        <f>IFERROR(__xludf.DUMMYFUNCTION("""COMPUTED_VALUE"""),"Quality of drinks")</f>
        <v>Quality of drinks</v>
      </c>
      <c r="V88" s="1"/>
      <c r="W88" s="1" t="str">
        <f>IFERROR(__xludf.DUMMYFUNCTION("""COMPUTED_VALUE"""),"Yes, Global")</f>
        <v>Yes, Global</v>
      </c>
      <c r="X88" s="1" t="str">
        <f>IFERROR(__xludf.DUMMYFUNCTION("""COMPUTED_VALUE"""),"Yes,  Japanese")</f>
        <v>Yes,  Japanese</v>
      </c>
      <c r="Y88" s="1">
        <f>IFERROR(__xludf.DUMMYFUNCTION("""COMPUTED_VALUE"""),7.0)</f>
        <v>7</v>
      </c>
      <c r="Z88" s="1">
        <f>IFERROR(__xludf.DUMMYFUNCTION("""COMPUTED_VALUE"""),7.0)</f>
        <v>7</v>
      </c>
      <c r="AA88" s="1">
        <f>IFERROR(__xludf.DUMMYFUNCTION("""COMPUTED_VALUE"""),5.0)</f>
        <v>5</v>
      </c>
      <c r="AB88" s="1" t="str">
        <f>IFERROR(__xludf.DUMMYFUNCTION("""COMPUTED_VALUE"""),"No")</f>
        <v>No</v>
      </c>
      <c r="AC88" s="1"/>
    </row>
    <row r="89">
      <c r="A89" s="1" t="str">
        <f>IFERROR(__xludf.DUMMYFUNCTION("""COMPUTED_VALUE"""),"yPQEMog")</f>
        <v>yPQEMog</v>
      </c>
      <c r="B89" s="1" t="str">
        <f>IFERROR(__xludf.DUMMYFUNCTION("""COMPUTED_VALUE"""),"448EV9X")</f>
        <v>448EV9X</v>
      </c>
      <c r="C89" s="5">
        <f>IFERROR(__xludf.DUMMYFUNCTION("""COMPUTED_VALUE"""),46046.104837962965)</f>
        <v>46046.10484</v>
      </c>
      <c r="D89" s="1" t="str">
        <f>IFERROR(__xludf.DUMMYFUNCTION("""COMPUTED_VALUE"""),"18-25")</f>
        <v>18-25</v>
      </c>
      <c r="E89" s="1" t="str">
        <f>IFERROR(__xludf.DUMMYFUNCTION("""COMPUTED_VALUE"""),"Female")</f>
        <v>Female</v>
      </c>
      <c r="F89" s="1" t="str">
        <f>IFERROR(__xludf.DUMMYFUNCTION("""COMPUTED_VALUE"""),"Prefer not to say")</f>
        <v>Prefer not to say</v>
      </c>
      <c r="G89" s="1" t="str">
        <f>IFERROR(__xludf.DUMMYFUNCTION("""COMPUTED_VALUE"""),"Kanto")</f>
        <v>Kanto</v>
      </c>
      <c r="H89" s="1" t="str">
        <f>IFERROR(__xludf.DUMMYFUNCTION("""COMPUTED_VALUE"""),"Daily")</f>
        <v>Daily</v>
      </c>
      <c r="I89" s="1" t="str">
        <f>IFERROR(__xludf.DUMMYFUNCTION("""COMPUTED_VALUE"""),"Americano")</f>
        <v>Americano</v>
      </c>
      <c r="J89" s="1"/>
      <c r="K89" s="1" t="str">
        <f>IFERROR(__xludf.DUMMYFUNCTION("""COMPUTED_VALUE"""),"Rarely")</f>
        <v>Rarely</v>
      </c>
      <c r="L89" s="1" t="str">
        <f>IFERROR(__xludf.DUMMYFUNCTION("""COMPUTED_VALUE"""),"Matcha Latte")</f>
        <v>Matcha Latte</v>
      </c>
      <c r="M89" s="1"/>
      <c r="N89" s="1" t="str">
        <f>IFERROR(__xludf.DUMMYFUNCTION("""COMPUTED_VALUE"""),"Taste/Flavor, Energy boost/Caffeine")</f>
        <v>Taste/Flavor, Energy boost/Caffeine</v>
      </c>
      <c r="O89" s="1"/>
      <c r="P89" s="1" t="str">
        <f>IFERROR(__xludf.DUMMYFUNCTION("""COMPUTED_VALUE"""),"At cafés")</f>
        <v>At cafés</v>
      </c>
      <c r="Q89" s="1"/>
      <c r="R89" s="1" t="str">
        <f>IFERROR(__xludf.DUMMYFUNCTION("""COMPUTED_VALUE"""),"Daily")</f>
        <v>Daily</v>
      </c>
      <c r="S89" s="1" t="str">
        <f>IFERROR(__xludf.DUMMYFUNCTION("""COMPUTED_VALUE"""),"Out of habit")</f>
        <v>Out of habit</v>
      </c>
      <c r="T89" s="1"/>
      <c r="U89" s="1" t="str">
        <f>IFERROR(__xludf.DUMMYFUNCTION("""COMPUTED_VALUE"""),"Atmosphere")</f>
        <v>Atmosphere</v>
      </c>
      <c r="V89" s="1"/>
      <c r="W89" s="1" t="str">
        <f>IFERROR(__xludf.DUMMYFUNCTION("""COMPUTED_VALUE"""),"No")</f>
        <v>No</v>
      </c>
      <c r="X89" s="1" t="str">
        <f>IFERROR(__xludf.DUMMYFUNCTION("""COMPUTED_VALUE"""),"Yes,  Japanese")</f>
        <v>Yes,  Japanese</v>
      </c>
      <c r="Y89" s="1">
        <f>IFERROR(__xludf.DUMMYFUNCTION("""COMPUTED_VALUE"""),6.0)</f>
        <v>6</v>
      </c>
      <c r="Z89" s="1">
        <f>IFERROR(__xludf.DUMMYFUNCTION("""COMPUTED_VALUE"""),6.0)</f>
        <v>6</v>
      </c>
      <c r="AA89" s="1">
        <f>IFERROR(__xludf.DUMMYFUNCTION("""COMPUTED_VALUE"""),7.0)</f>
        <v>7</v>
      </c>
      <c r="AB89" s="1" t="str">
        <f>IFERROR(__xludf.DUMMYFUNCTION("""COMPUTED_VALUE"""),"No")</f>
        <v>No</v>
      </c>
      <c r="AC89" s="1"/>
    </row>
    <row r="90">
      <c r="A90" s="1" t="str">
        <f>IFERROR(__xludf.DUMMYFUNCTION("""COMPUTED_VALUE"""),"xXqPPd9")</f>
        <v>xXqPPd9</v>
      </c>
      <c r="B90" s="1" t="str">
        <f>IFERROR(__xludf.DUMMYFUNCTION("""COMPUTED_VALUE"""),"2EeZ8Ej")</f>
        <v>2EeZ8Ej</v>
      </c>
      <c r="C90" s="5">
        <f>IFERROR(__xludf.DUMMYFUNCTION("""COMPUTED_VALUE"""),46046.181608796294)</f>
        <v>46046.18161</v>
      </c>
      <c r="D90" s="1" t="str">
        <f>IFERROR(__xludf.DUMMYFUNCTION("""COMPUTED_VALUE"""),"18-25")</f>
        <v>18-25</v>
      </c>
      <c r="E90" s="1" t="str">
        <f>IFERROR(__xludf.DUMMYFUNCTION("""COMPUTED_VALUE"""),"Male")</f>
        <v>Male</v>
      </c>
      <c r="F90" s="1" t="str">
        <f>IFERROR(__xludf.DUMMYFUNCTION("""COMPUTED_VALUE"""),"¥6,000,000 – ¥8,999,999")</f>
        <v>¥6,000,000 – ¥8,999,999</v>
      </c>
      <c r="G90" s="1" t="str">
        <f>IFERROR(__xludf.DUMMYFUNCTION("""COMPUTED_VALUE"""),"Kanto")</f>
        <v>Kanto</v>
      </c>
      <c r="H90" s="1" t="str">
        <f>IFERROR(__xludf.DUMMYFUNCTION("""COMPUTED_VALUE"""),"Several times a week")</f>
        <v>Several times a week</v>
      </c>
      <c r="I90" s="1" t="str">
        <f>IFERROR(__xludf.DUMMYFUNCTION("""COMPUTED_VALUE"""),"Pour Over")</f>
        <v>Pour Over</v>
      </c>
      <c r="J90" s="1"/>
      <c r="K90" s="1" t="str">
        <f>IFERROR(__xludf.DUMMYFUNCTION("""COMPUTED_VALUE"""),"Rarely")</f>
        <v>Rarely</v>
      </c>
      <c r="L90" s="1" t="str">
        <f>IFERROR(__xludf.DUMMYFUNCTION("""COMPUTED_VALUE"""),"")</f>
        <v/>
      </c>
      <c r="M90" s="1"/>
      <c r="N90" s="1" t="str">
        <f>IFERROR(__xludf.DUMMYFUNCTION("""COMPUTED_VALUE"""),"Taste/Flavor, Social atmosphere")</f>
        <v>Taste/Flavor, Social atmosphere</v>
      </c>
      <c r="O90" s="1"/>
      <c r="P90" s="1" t="str">
        <f>IFERROR(__xludf.DUMMYFUNCTION("""COMPUTED_VALUE"""),"At home, At cafés")</f>
        <v>At home, At cafés</v>
      </c>
      <c r="Q90" s="1"/>
      <c r="R90" s="1" t="str">
        <f>IFERROR(__xludf.DUMMYFUNCTION("""COMPUTED_VALUE"""),"Several times a week")</f>
        <v>Several times a week</v>
      </c>
      <c r="S90" s="1" t="str">
        <f>IFERROR(__xludf.DUMMYFUNCTION("""COMPUTED_VALUE"""),"To study/work")</f>
        <v>To study/work</v>
      </c>
      <c r="T90" s="1"/>
      <c r="U90" s="1" t="str">
        <f>IFERROR(__xludf.DUMMYFUNCTION("""COMPUTED_VALUE"""),"Atmosphere")</f>
        <v>Atmosphere</v>
      </c>
      <c r="V90" s="1"/>
      <c r="W90" s="1" t="str">
        <f>IFERROR(__xludf.DUMMYFUNCTION("""COMPUTED_VALUE"""),"No")</f>
        <v>No</v>
      </c>
      <c r="X90" s="1" t="str">
        <f>IFERROR(__xludf.DUMMYFUNCTION("""COMPUTED_VALUE"""),"Yes,  Japanese")</f>
        <v>Yes,  Japanese</v>
      </c>
      <c r="Y90" s="1">
        <f>IFERROR(__xludf.DUMMYFUNCTION("""COMPUTED_VALUE"""),6.0)</f>
        <v>6</v>
      </c>
      <c r="Z90" s="1">
        <f>IFERROR(__xludf.DUMMYFUNCTION("""COMPUTED_VALUE"""),6.0)</f>
        <v>6</v>
      </c>
      <c r="AA90" s="1">
        <f>IFERROR(__xludf.DUMMYFUNCTION("""COMPUTED_VALUE"""),7.0)</f>
        <v>7</v>
      </c>
      <c r="AB90" s="1" t="str">
        <f>IFERROR(__xludf.DUMMYFUNCTION("""COMPUTED_VALUE"""),"No")</f>
        <v>No</v>
      </c>
      <c r="AC90" s="1"/>
    </row>
    <row r="91">
      <c r="A91" s="1" t="str">
        <f>IFERROR(__xludf.DUMMYFUNCTION("""COMPUTED_VALUE"""),"QKZxNdp")</f>
        <v>QKZxNdp</v>
      </c>
      <c r="B91" s="1" t="str">
        <f>IFERROR(__xludf.DUMMYFUNCTION("""COMPUTED_VALUE"""),"RG0lj0d")</f>
        <v>RG0lj0d</v>
      </c>
      <c r="C91" s="5">
        <f>IFERROR(__xludf.DUMMYFUNCTION("""COMPUTED_VALUE"""),46046.659050925926)</f>
        <v>46046.65905</v>
      </c>
      <c r="D91" s="1" t="str">
        <f>IFERROR(__xludf.DUMMYFUNCTION("""COMPUTED_VALUE"""),"26-35")</f>
        <v>26-35</v>
      </c>
      <c r="E91" s="1" t="str">
        <f>IFERROR(__xludf.DUMMYFUNCTION("""COMPUTED_VALUE"""),"Male")</f>
        <v>Male</v>
      </c>
      <c r="F91" s="1" t="str">
        <f>IFERROR(__xludf.DUMMYFUNCTION("""COMPUTED_VALUE"""),"¥3,000,000 – ¥5,999,999")</f>
        <v>¥3,000,000 – ¥5,999,999</v>
      </c>
      <c r="G91" s="1" t="str">
        <f>IFERROR(__xludf.DUMMYFUNCTION("""COMPUTED_VALUE"""),"Kanto")</f>
        <v>Kanto</v>
      </c>
      <c r="H91" s="1" t="str">
        <f>IFERROR(__xludf.DUMMYFUNCTION("""COMPUTED_VALUE"""),"Rarely")</f>
        <v>Rarely</v>
      </c>
      <c r="I91" s="1" t="str">
        <f>IFERROR(__xludf.DUMMYFUNCTION("""COMPUTED_VALUE"""),"I don't drink coffee")</f>
        <v>I don't drink coffee</v>
      </c>
      <c r="J91" s="1"/>
      <c r="K91" s="1" t="str">
        <f>IFERROR(__xludf.DUMMYFUNCTION("""COMPUTED_VALUE"""),"Several times a week")</f>
        <v>Several times a week</v>
      </c>
      <c r="L91" s="1" t="str">
        <f>IFERROR(__xludf.DUMMYFUNCTION("""COMPUTED_VALUE"""),"Matcha Latte")</f>
        <v>Matcha Latte</v>
      </c>
      <c r="M91" s="1"/>
      <c r="N91" s="1" t="str">
        <f>IFERROR(__xludf.DUMMYFUNCTION("""COMPUTED_VALUE"""),"Taste/Flavor, To try new things")</f>
        <v>Taste/Flavor, To try new things</v>
      </c>
      <c r="O91" s="1"/>
      <c r="P91" s="1" t="str">
        <f>IFERROR(__xludf.DUMMYFUNCTION("""COMPUTED_VALUE"""),"At cafés")</f>
        <v>At cafés</v>
      </c>
      <c r="Q91" s="1"/>
      <c r="R91" s="1" t="str">
        <f>IFERROR(__xludf.DUMMYFUNCTION("""COMPUTED_VALUE"""),"A few times a month")</f>
        <v>A few times a month</v>
      </c>
      <c r="S91" s="1" t="str">
        <f>IFERROR(__xludf.DUMMYFUNCTION("""COMPUTED_VALUE"""),"To meet friends")</f>
        <v>To meet friends</v>
      </c>
      <c r="T91" s="1"/>
      <c r="U91" s="1" t="str">
        <f>IFERROR(__xludf.DUMMYFUNCTION("""COMPUTED_VALUE"""),"Atmosphere")</f>
        <v>Atmosphere</v>
      </c>
      <c r="V91" s="1"/>
      <c r="W91" s="1" t="str">
        <f>IFERROR(__xludf.DUMMYFUNCTION("""COMPUTED_VALUE"""),"Unsure")</f>
        <v>Unsure</v>
      </c>
      <c r="X91" s="1" t="str">
        <f>IFERROR(__xludf.DUMMYFUNCTION("""COMPUTED_VALUE"""),"Yes,  Japanese")</f>
        <v>Yes,  Japanese</v>
      </c>
      <c r="Y91" s="1">
        <f>IFERROR(__xludf.DUMMYFUNCTION("""COMPUTED_VALUE"""),0.0)</f>
        <v>0</v>
      </c>
      <c r="Z91" s="1">
        <f>IFERROR(__xludf.DUMMYFUNCTION("""COMPUTED_VALUE"""),7.0)</f>
        <v>7</v>
      </c>
      <c r="AA91" s="1">
        <f>IFERROR(__xludf.DUMMYFUNCTION("""COMPUTED_VALUE"""),6.0)</f>
        <v>6</v>
      </c>
      <c r="AB91" s="1" t="str">
        <f>IFERROR(__xludf.DUMMYFUNCTION("""COMPUTED_VALUE"""),"No")</f>
        <v>No</v>
      </c>
      <c r="AC91" s="1"/>
    </row>
    <row r="92">
      <c r="A92" s="1" t="str">
        <f>IFERROR(__xludf.DUMMYFUNCTION("""COMPUTED_VALUE"""),"LZrOWjz")</f>
        <v>LZrOWjz</v>
      </c>
      <c r="B92" s="1" t="str">
        <f>IFERROR(__xludf.DUMMYFUNCTION("""COMPUTED_VALUE"""),"RG0QBEK")</f>
        <v>RG0QBEK</v>
      </c>
      <c r="C92" s="5">
        <f>IFERROR(__xludf.DUMMYFUNCTION("""COMPUTED_VALUE"""),46047.76725694445)</f>
        <v>46047.76726</v>
      </c>
      <c r="D92" s="1" t="str">
        <f>IFERROR(__xludf.DUMMYFUNCTION("""COMPUTED_VALUE"""),"46-55")</f>
        <v>46-55</v>
      </c>
      <c r="E92" s="1" t="str">
        <f>IFERROR(__xludf.DUMMYFUNCTION("""COMPUTED_VALUE"""),"Female")</f>
        <v>Female</v>
      </c>
      <c r="F92" s="1" t="str">
        <f>IFERROR(__xludf.DUMMYFUNCTION("""COMPUTED_VALUE"""),"Prefer not to say")</f>
        <v>Prefer not to say</v>
      </c>
      <c r="G92" s="1" t="str">
        <f>IFERROR(__xludf.DUMMYFUNCTION("""COMPUTED_VALUE"""),"I do not live in Japan")</f>
        <v>I do not live in Japan</v>
      </c>
      <c r="H92" s="1" t="str">
        <f>IFERROR(__xludf.DUMMYFUNCTION("""COMPUTED_VALUE"""),"Daily")</f>
        <v>Daily</v>
      </c>
      <c r="I92" s="1" t="str">
        <f>IFERROR(__xludf.DUMMYFUNCTION("""COMPUTED_VALUE"""),"Drip")</f>
        <v>Drip</v>
      </c>
      <c r="J92" s="1"/>
      <c r="K92" s="1" t="str">
        <f>IFERROR(__xludf.DUMMYFUNCTION("""COMPUTED_VALUE"""),"Never")</f>
        <v>Never</v>
      </c>
      <c r="L92" s="1" t="str">
        <f>IFERROR(__xludf.DUMMYFUNCTION("""COMPUTED_VALUE"""),"")</f>
        <v/>
      </c>
      <c r="M92" s="1"/>
      <c r="N92" s="1" t="str">
        <f>IFERROR(__xludf.DUMMYFUNCTION("""COMPUTED_VALUE"""),"Routine/Ritual, Price")</f>
        <v>Routine/Ritual, Price</v>
      </c>
      <c r="O92" s="1"/>
      <c r="P92" s="1" t="str">
        <f>IFERROR(__xludf.DUMMYFUNCTION("""COMPUTED_VALUE"""),"")</f>
        <v/>
      </c>
      <c r="Q92" s="1"/>
      <c r="R92" s="1" t="str">
        <f>IFERROR(__xludf.DUMMYFUNCTION("""COMPUTED_VALUE"""),"Rarely")</f>
        <v>Rarely</v>
      </c>
      <c r="S92" s="1" t="str">
        <f>IFERROR(__xludf.DUMMYFUNCTION("""COMPUTED_VALUE"""),"")</f>
        <v/>
      </c>
      <c r="T92" s="1"/>
      <c r="U92" s="1" t="str">
        <f>IFERROR(__xludf.DUMMYFUNCTION("""COMPUTED_VALUE"""),"")</f>
        <v/>
      </c>
      <c r="V92" s="1"/>
      <c r="W92" s="1" t="str">
        <f>IFERROR(__xludf.DUMMYFUNCTION("""COMPUTED_VALUE"""),"No")</f>
        <v>No</v>
      </c>
      <c r="X92" s="1" t="str">
        <f>IFERROR(__xludf.DUMMYFUNCTION("""COMPUTED_VALUE"""),"Yes,  Japanese")</f>
        <v>Yes,  Japanese</v>
      </c>
      <c r="Y92" s="1" t="str">
        <f>IFERROR(__xludf.DUMMYFUNCTION("""COMPUTED_VALUE"""),"")</f>
        <v/>
      </c>
      <c r="Z92" s="1" t="str">
        <f>IFERROR(__xludf.DUMMYFUNCTION("""COMPUTED_VALUE"""),"")</f>
        <v/>
      </c>
      <c r="AA92" s="1" t="str">
        <f>IFERROR(__xludf.DUMMYFUNCTION("""COMPUTED_VALUE"""),"")</f>
        <v/>
      </c>
      <c r="AB92" s="1" t="str">
        <f>IFERROR(__xludf.DUMMYFUNCTION("""COMPUTED_VALUE"""),"")</f>
        <v/>
      </c>
      <c r="AC92" s="1"/>
    </row>
    <row r="93">
      <c r="A93" s="1" t="str">
        <f>IFERROR(__xludf.DUMMYFUNCTION("""COMPUTED_VALUE"""),"dWMpYWq")</f>
        <v>dWMpYWq</v>
      </c>
      <c r="B93" s="1" t="str">
        <f>IFERROR(__xludf.DUMMYFUNCTION("""COMPUTED_VALUE"""),"eq6gKzq")</f>
        <v>eq6gKzq</v>
      </c>
      <c r="C93" s="5">
        <f>IFERROR(__xludf.DUMMYFUNCTION("""COMPUTED_VALUE"""),46048.39412037037)</f>
        <v>46048.39412</v>
      </c>
      <c r="D93" s="1" t="str">
        <f>IFERROR(__xludf.DUMMYFUNCTION("""COMPUTED_VALUE"""),"56-65")</f>
        <v>56-65</v>
      </c>
      <c r="E93" s="1" t="str">
        <f>IFERROR(__xludf.DUMMYFUNCTION("""COMPUTED_VALUE"""),"Male")</f>
        <v>Male</v>
      </c>
      <c r="F93" s="1" t="str">
        <f>IFERROR(__xludf.DUMMYFUNCTION("""COMPUTED_VALUE"""),"¥9,000,000 – ¥11,999,999")</f>
        <v>¥9,000,000 – ¥11,999,999</v>
      </c>
      <c r="G93" s="1" t="str">
        <f>IFERROR(__xludf.DUMMYFUNCTION("""COMPUTED_VALUE"""),"Kanto")</f>
        <v>Kanto</v>
      </c>
      <c r="H93" s="1" t="str">
        <f>IFERROR(__xludf.DUMMYFUNCTION("""COMPUTED_VALUE"""),"Daily")</f>
        <v>Daily</v>
      </c>
      <c r="I93" s="1" t="str">
        <f>IFERROR(__xludf.DUMMYFUNCTION("""COMPUTED_VALUE"""),"Other:")</f>
        <v>Other:</v>
      </c>
      <c r="J93" s="1" t="str">
        <f>IFERROR(__xludf.DUMMYFUNCTION("""COMPUTED_VALUE"""),"Instant Coffee")</f>
        <v>Instant Coffee</v>
      </c>
      <c r="K93" s="1" t="str">
        <f>IFERROR(__xludf.DUMMYFUNCTION("""COMPUTED_VALUE"""),"Rarely")</f>
        <v>Rarely</v>
      </c>
      <c r="L93" s="1" t="str">
        <f>IFERROR(__xludf.DUMMYFUNCTION("""COMPUTED_VALUE"""),"Other:")</f>
        <v>Other:</v>
      </c>
      <c r="M93" s="1" t="str">
        <f>IFERROR(__xludf.DUMMYFUNCTION("""COMPUTED_VALUE"""),"I have a matcha latte at Starbucks a few times a year.")</f>
        <v>I have a matcha latte at Starbucks a few times a year.</v>
      </c>
      <c r="N93" s="1" t="str">
        <f>IFERROR(__xludf.DUMMYFUNCTION("""COMPUTED_VALUE"""),"Social atmosphere")</f>
        <v>Social atmosphere</v>
      </c>
      <c r="O93" s="1"/>
      <c r="P93" s="1" t="str">
        <f>IFERROR(__xludf.DUMMYFUNCTION("""COMPUTED_VALUE"""),"At home")</f>
        <v>At home</v>
      </c>
      <c r="Q93" s="1" t="str">
        <f>IFERROR(__xludf.DUMMYFUNCTION("""COMPUTED_VALUE"""),"Cafe")</f>
        <v>Cafe</v>
      </c>
      <c r="R93" s="1" t="str">
        <f>IFERROR(__xludf.DUMMYFUNCTION("""COMPUTED_VALUE"""),"A few times a month")</f>
        <v>A few times a month</v>
      </c>
      <c r="S93" s="1" t="str">
        <f>IFERROR(__xludf.DUMMYFUNCTION("""COMPUTED_VALUE"""),"To relax or take a break")</f>
        <v>To relax or take a break</v>
      </c>
      <c r="T93" s="1"/>
      <c r="U93" s="1" t="str">
        <f>IFERROR(__xludf.DUMMYFUNCTION("""COMPUTED_VALUE"""),"Atmosphere")</f>
        <v>Atmosphere</v>
      </c>
      <c r="V93" s="1"/>
      <c r="W93" s="1" t="str">
        <f>IFERROR(__xludf.DUMMYFUNCTION("""COMPUTED_VALUE"""),"No")</f>
        <v>No</v>
      </c>
      <c r="X93" s="1" t="str">
        <f>IFERROR(__xludf.DUMMYFUNCTION("""COMPUTED_VALUE"""),"Yes,  Japanese")</f>
        <v>Yes,  Japanese</v>
      </c>
      <c r="Y93" s="1">
        <f>IFERROR(__xludf.DUMMYFUNCTION("""COMPUTED_VALUE"""),7.0)</f>
        <v>7</v>
      </c>
      <c r="Z93" s="1">
        <f>IFERROR(__xludf.DUMMYFUNCTION("""COMPUTED_VALUE"""),7.0)</f>
        <v>7</v>
      </c>
      <c r="AA93" s="1">
        <f>IFERROR(__xludf.DUMMYFUNCTION("""COMPUTED_VALUE"""),7.0)</f>
        <v>7</v>
      </c>
      <c r="AB93" s="1" t="str">
        <f>IFERROR(__xludf.DUMMYFUNCTION("""COMPUTED_VALUE"""),"No")</f>
        <v>No</v>
      </c>
      <c r="AC93" s="1"/>
    </row>
    <row r="94">
      <c r="A94" s="1" t="str">
        <f>IFERROR(__xludf.DUMMYFUNCTION("""COMPUTED_VALUE"""),"OD2gPRA")</f>
        <v>OD2gPRA</v>
      </c>
      <c r="B94" s="1" t="str">
        <f>IFERROR(__xludf.DUMMYFUNCTION("""COMPUTED_VALUE"""),"kdy8J4J")</f>
        <v>kdy8J4J</v>
      </c>
      <c r="C94" s="5">
        <f>IFERROR(__xludf.DUMMYFUNCTION("""COMPUTED_VALUE"""),46048.40122685185)</f>
        <v>46048.40123</v>
      </c>
      <c r="D94" s="1" t="str">
        <f>IFERROR(__xludf.DUMMYFUNCTION("""COMPUTED_VALUE"""),"46-55")</f>
        <v>46-55</v>
      </c>
      <c r="E94" s="1" t="str">
        <f>IFERROR(__xludf.DUMMYFUNCTION("""COMPUTED_VALUE"""),"Female")</f>
        <v>Female</v>
      </c>
      <c r="F94" s="1" t="str">
        <f>IFERROR(__xludf.DUMMYFUNCTION("""COMPUTED_VALUE"""),"¥9,000,000 – ¥11,999,999")</f>
        <v>¥9,000,000 – ¥11,999,999</v>
      </c>
      <c r="G94" s="1" t="str">
        <f>IFERROR(__xludf.DUMMYFUNCTION("""COMPUTED_VALUE"""),"Kanto")</f>
        <v>Kanto</v>
      </c>
      <c r="H94" s="1" t="str">
        <f>IFERROR(__xludf.DUMMYFUNCTION("""COMPUTED_VALUE"""),"Daily")</f>
        <v>Daily</v>
      </c>
      <c r="I94" s="1" t="str">
        <f>IFERROR(__xludf.DUMMYFUNCTION("""COMPUTED_VALUE"""),"Latte")</f>
        <v>Latte</v>
      </c>
      <c r="J94" s="1"/>
      <c r="K94" s="1" t="str">
        <f>IFERROR(__xludf.DUMMYFUNCTION("""COMPUTED_VALUE"""),"Rarely")</f>
        <v>Rarely</v>
      </c>
      <c r="L94" s="1" t="str">
        <f>IFERROR(__xludf.DUMMYFUNCTION("""COMPUTED_VALUE"""),"Usucha")</f>
        <v>Usucha</v>
      </c>
      <c r="M94" s="1"/>
      <c r="N94" s="1" t="str">
        <f>IFERROR(__xludf.DUMMYFUNCTION("""COMPUTED_VALUE"""),"Taste/Flavor, Routine/Ritual")</f>
        <v>Taste/Flavor, Routine/Ritual</v>
      </c>
      <c r="O94" s="1"/>
      <c r="P94" s="1" t="str">
        <f>IFERROR(__xludf.DUMMYFUNCTION("""COMPUTED_VALUE"""),"At home, From convenience stores (7-Eleven, Lawson, etc.), At cafés")</f>
        <v>At home, From convenience stores (7-Eleven, Lawson, etc.), At cafés</v>
      </c>
      <c r="Q94" s="1"/>
      <c r="R94" s="1" t="str">
        <f>IFERROR(__xludf.DUMMYFUNCTION("""COMPUTED_VALUE"""),"Rarely")</f>
        <v>Rarely</v>
      </c>
      <c r="S94" s="1" t="str">
        <f>IFERROR(__xludf.DUMMYFUNCTION("""COMPUTED_VALUE"""),"To relax or take a break")</f>
        <v>To relax or take a break</v>
      </c>
      <c r="T94" s="1"/>
      <c r="U94" s="1" t="str">
        <f>IFERROR(__xludf.DUMMYFUNCTION("""COMPUTED_VALUE"""),"Atmosphere")</f>
        <v>Atmosphere</v>
      </c>
      <c r="V94" s="1"/>
      <c r="W94" s="1" t="str">
        <f>IFERROR(__xludf.DUMMYFUNCTION("""COMPUTED_VALUE"""),"No")</f>
        <v>No</v>
      </c>
      <c r="X94" s="1" t="str">
        <f>IFERROR(__xludf.DUMMYFUNCTION("""COMPUTED_VALUE"""),"Yes,  Japanese")</f>
        <v>Yes,  Japanese</v>
      </c>
      <c r="Y94" s="1">
        <f>IFERROR(__xludf.DUMMYFUNCTION("""COMPUTED_VALUE"""),6.0)</f>
        <v>6</v>
      </c>
      <c r="Z94" s="1">
        <f>IFERROR(__xludf.DUMMYFUNCTION("""COMPUTED_VALUE"""),7.0)</f>
        <v>7</v>
      </c>
      <c r="AA94" s="1">
        <f>IFERROR(__xludf.DUMMYFUNCTION("""COMPUTED_VALUE"""),7.0)</f>
        <v>7</v>
      </c>
      <c r="AB94" s="1" t="str">
        <f>IFERROR(__xludf.DUMMYFUNCTION("""COMPUTED_VALUE"""),"No")</f>
        <v>No</v>
      </c>
      <c r="AC94" s="1"/>
    </row>
    <row r="95">
      <c r="A95" s="1" t="str">
        <f>IFERROR(__xludf.DUMMYFUNCTION("""COMPUTED_VALUE"""),"eqJOWJo")</f>
        <v>eqJOWJo</v>
      </c>
      <c r="B95" s="1" t="str">
        <f>IFERROR(__xludf.DUMMYFUNCTION("""COMPUTED_VALUE"""),"eq6VvEk")</f>
        <v>eq6VvEk</v>
      </c>
      <c r="C95" s="5">
        <f>IFERROR(__xludf.DUMMYFUNCTION("""COMPUTED_VALUE"""),46049.31818287037)</f>
        <v>46049.31818</v>
      </c>
      <c r="D95" s="1" t="str">
        <f>IFERROR(__xludf.DUMMYFUNCTION("""COMPUTED_VALUE"""),"56-65")</f>
        <v>56-65</v>
      </c>
      <c r="E95" s="1" t="str">
        <f>IFERROR(__xludf.DUMMYFUNCTION("""COMPUTED_VALUE"""),"Female")</f>
        <v>Female</v>
      </c>
      <c r="F95" s="1" t="str">
        <f>IFERROR(__xludf.DUMMYFUNCTION("""COMPUTED_VALUE"""),"¥3,000,000 – ¥5,999,999")</f>
        <v>¥3,000,000 – ¥5,999,999</v>
      </c>
      <c r="G95" s="1" t="str">
        <f>IFERROR(__xludf.DUMMYFUNCTION("""COMPUTED_VALUE"""),"Kansai")</f>
        <v>Kansai</v>
      </c>
      <c r="H95" s="1" t="str">
        <f>IFERROR(__xludf.DUMMYFUNCTION("""COMPUTED_VALUE"""),"Daily")</f>
        <v>Daily</v>
      </c>
      <c r="I95" s="1" t="str">
        <f>IFERROR(__xludf.DUMMYFUNCTION("""COMPUTED_VALUE"""),"Drip")</f>
        <v>Drip</v>
      </c>
      <c r="J95" s="1"/>
      <c r="K95" s="1" t="str">
        <f>IFERROR(__xludf.DUMMYFUNCTION("""COMPUTED_VALUE"""),"Rarely")</f>
        <v>Rarely</v>
      </c>
      <c r="L95" s="1" t="str">
        <f>IFERROR(__xludf.DUMMYFUNCTION("""COMPUTED_VALUE"""),"Other:")</f>
        <v>Other:</v>
      </c>
      <c r="M95" s="1" t="str">
        <f>IFERROR(__xludf.DUMMYFUNCTION("""COMPUTED_VALUE"""),"I drink green tea with meals.")</f>
        <v>I drink green tea with meals.</v>
      </c>
      <c r="N95" s="1" t="str">
        <f>IFERROR(__xludf.DUMMYFUNCTION("""COMPUTED_VALUE"""),"Taste/Flavor, Routine/Ritual")</f>
        <v>Taste/Flavor, Routine/Ritual</v>
      </c>
      <c r="O95" s="1"/>
      <c r="P95" s="1" t="str">
        <f>IFERROR(__xludf.DUMMYFUNCTION("""COMPUTED_VALUE"""),"At cafés, At home")</f>
        <v>At cafés, At home</v>
      </c>
      <c r="Q95" s="1"/>
      <c r="R95" s="1" t="str">
        <f>IFERROR(__xludf.DUMMYFUNCTION("""COMPUTED_VALUE"""),"Several times a week")</f>
        <v>Several times a week</v>
      </c>
      <c r="S95" s="1" t="str">
        <f>IFERROR(__xludf.DUMMYFUNCTION("""COMPUTED_VALUE"""),"To relax or take a break")</f>
        <v>To relax or take a break</v>
      </c>
      <c r="T95" s="1"/>
      <c r="U95" s="1" t="str">
        <f>IFERROR(__xludf.DUMMYFUNCTION("""COMPUTED_VALUE"""),"Atmosphere")</f>
        <v>Atmosphere</v>
      </c>
      <c r="V95" s="1"/>
      <c r="W95" s="1" t="str">
        <f>IFERROR(__xludf.DUMMYFUNCTION("""COMPUTED_VALUE"""),"No")</f>
        <v>No</v>
      </c>
      <c r="X95" s="1" t="str">
        <f>IFERROR(__xludf.DUMMYFUNCTION("""COMPUTED_VALUE"""),"Yes,  Japanese")</f>
        <v>Yes,  Japanese</v>
      </c>
      <c r="Y95" s="1">
        <f>IFERROR(__xludf.DUMMYFUNCTION("""COMPUTED_VALUE"""),4.0)</f>
        <v>4</v>
      </c>
      <c r="Z95" s="1">
        <f>IFERROR(__xludf.DUMMYFUNCTION("""COMPUTED_VALUE"""),6.0)</f>
        <v>6</v>
      </c>
      <c r="AA95" s="1">
        <f>IFERROR(__xludf.DUMMYFUNCTION("""COMPUTED_VALUE"""),5.0)</f>
        <v>5</v>
      </c>
      <c r="AB95" s="1" t="str">
        <f>IFERROR(__xludf.DUMMYFUNCTION("""COMPUTED_VALUE"""),"No")</f>
        <v>No</v>
      </c>
      <c r="AC95" s="1"/>
    </row>
    <row r="96">
      <c r="A96" s="1" t="str">
        <f>IFERROR(__xludf.DUMMYFUNCTION("""COMPUTED_VALUE"""),"kd2VEeR")</f>
        <v>kd2VEeR</v>
      </c>
      <c r="B96" s="1" t="str">
        <f>IFERROR(__xludf.DUMMYFUNCTION("""COMPUTED_VALUE"""),"xXdo7k9")</f>
        <v>xXdo7k9</v>
      </c>
      <c r="C96" s="5">
        <f>IFERROR(__xludf.DUMMYFUNCTION("""COMPUTED_VALUE"""),46057.57728009259)</f>
        <v>46057.57728</v>
      </c>
      <c r="D96" s="1" t="str">
        <f>IFERROR(__xludf.DUMMYFUNCTION("""COMPUTED_VALUE"""),"26-35")</f>
        <v>26-35</v>
      </c>
      <c r="E96" s="1" t="str">
        <f>IFERROR(__xludf.DUMMYFUNCTION("""COMPUTED_VALUE"""),"Male")</f>
        <v>Male</v>
      </c>
      <c r="F96" s="1" t="str">
        <f>IFERROR(__xludf.DUMMYFUNCTION("""COMPUTED_VALUE"""),"¥6,000,000 – ¥8,999,999")</f>
        <v>¥6,000,000 – ¥8,999,999</v>
      </c>
      <c r="G96" s="1" t="str">
        <f>IFERROR(__xludf.DUMMYFUNCTION("""COMPUTED_VALUE"""),"Kanto")</f>
        <v>Kanto</v>
      </c>
      <c r="H96" s="1" t="str">
        <f>IFERROR(__xludf.DUMMYFUNCTION("""COMPUTED_VALUE"""),"Several times a week")</f>
        <v>Several times a week</v>
      </c>
      <c r="I96" s="1" t="str">
        <f>IFERROR(__xludf.DUMMYFUNCTION("""COMPUTED_VALUE"""),"Latte")</f>
        <v>Latte</v>
      </c>
      <c r="J96" s="1"/>
      <c r="K96" s="1" t="str">
        <f>IFERROR(__xludf.DUMMYFUNCTION("""COMPUTED_VALUE"""),"Once a week")</f>
        <v>Once a week</v>
      </c>
      <c r="L96" s="1" t="str">
        <f>IFERROR(__xludf.DUMMYFUNCTION("""COMPUTED_VALUE"""),"I don’t drink matcha")</f>
        <v>I don’t drink matcha</v>
      </c>
      <c r="M96" s="1"/>
      <c r="N96" s="1" t="str">
        <f>IFERROR(__xludf.DUMMYFUNCTION("""COMPUTED_VALUE"""),"Branding/Imagery, Taste/Flavor")</f>
        <v>Branding/Imagery, Taste/Flavor</v>
      </c>
      <c r="O96" s="1"/>
      <c r="P96" s="1" t="str">
        <f>IFERROR(__xludf.DUMMYFUNCTION("""COMPUTED_VALUE"""),"At cafés")</f>
        <v>At cafés</v>
      </c>
      <c r="Q96" s="1"/>
      <c r="R96" s="1" t="str">
        <f>IFERROR(__xludf.DUMMYFUNCTION("""COMPUTED_VALUE"""),"Several times a week")</f>
        <v>Several times a week</v>
      </c>
      <c r="S96" s="1" t="str">
        <f>IFERROR(__xludf.DUMMYFUNCTION("""COMPUTED_VALUE"""),"To study/work")</f>
        <v>To study/work</v>
      </c>
      <c r="T96" s="1"/>
      <c r="U96" s="1" t="str">
        <f>IFERROR(__xludf.DUMMYFUNCTION("""COMPUTED_VALUE"""),"Atmosphere")</f>
        <v>Atmosphere</v>
      </c>
      <c r="V96" s="1"/>
      <c r="W96" s="1" t="str">
        <f>IFERROR(__xludf.DUMMYFUNCTION("""COMPUTED_VALUE"""),"Yes, Global")</f>
        <v>Yes, Global</v>
      </c>
      <c r="X96" s="1" t="str">
        <f>IFERROR(__xludf.DUMMYFUNCTION("""COMPUTED_VALUE"""),"Yes, Global")</f>
        <v>Yes, Global</v>
      </c>
      <c r="Y96" s="1">
        <f>IFERROR(__xludf.DUMMYFUNCTION("""COMPUTED_VALUE"""),6.0)</f>
        <v>6</v>
      </c>
      <c r="Z96" s="1">
        <f>IFERROR(__xludf.DUMMYFUNCTION("""COMPUTED_VALUE"""),6.0)</f>
        <v>6</v>
      </c>
      <c r="AA96" s="1">
        <f>IFERROR(__xludf.DUMMYFUNCTION("""COMPUTED_VALUE"""),3.0)</f>
        <v>3</v>
      </c>
      <c r="AB96" s="1" t="str">
        <f>IFERROR(__xludf.DUMMYFUNCTION("""COMPUTED_VALUE"""),"No")</f>
        <v>No</v>
      </c>
      <c r="AC96" s="1"/>
    </row>
    <row r="97">
      <c r="A97" s="1" t="str">
        <f>IFERROR(__xludf.DUMMYFUNCTION("""COMPUTED_VALUE"""),"rjXV585")</f>
        <v>rjXV585</v>
      </c>
      <c r="B97" s="1" t="str">
        <f>IFERROR(__xludf.DUMMYFUNCTION("""COMPUTED_VALUE"""),"kdYoB5e")</f>
        <v>kdYoB5e</v>
      </c>
      <c r="C97" s="5">
        <f>IFERROR(__xludf.DUMMYFUNCTION("""COMPUTED_VALUE"""),46060.13034722222)</f>
        <v>46060.13035</v>
      </c>
      <c r="D97" s="1" t="str">
        <f>IFERROR(__xludf.DUMMYFUNCTION("""COMPUTED_VALUE"""),"36-45")</f>
        <v>36-45</v>
      </c>
      <c r="E97" s="1" t="str">
        <f>IFERROR(__xludf.DUMMYFUNCTION("""COMPUTED_VALUE"""),"Female")</f>
        <v>Female</v>
      </c>
      <c r="F97" s="1" t="str">
        <f>IFERROR(__xludf.DUMMYFUNCTION("""COMPUTED_VALUE"""),"¥6,000,000 – ¥8,999,999")</f>
        <v>¥6,000,000 – ¥8,999,999</v>
      </c>
      <c r="G97" s="1" t="str">
        <f>IFERROR(__xludf.DUMMYFUNCTION("""COMPUTED_VALUE"""),"Kansai")</f>
        <v>Kansai</v>
      </c>
      <c r="H97" s="1" t="str">
        <f>IFERROR(__xludf.DUMMYFUNCTION("""COMPUTED_VALUE"""),"Several times a week")</f>
        <v>Several times a week</v>
      </c>
      <c r="I97" s="1" t="str">
        <f>IFERROR(__xludf.DUMMYFUNCTION("""COMPUTED_VALUE"""),"Drip")</f>
        <v>Drip</v>
      </c>
      <c r="J97" s="1"/>
      <c r="K97" s="1" t="str">
        <f>IFERROR(__xludf.DUMMYFUNCTION("""COMPUTED_VALUE"""),"Rarely")</f>
        <v>Rarely</v>
      </c>
      <c r="L97" s="1" t="str">
        <f>IFERROR(__xludf.DUMMYFUNCTION("""COMPUTED_VALUE"""),"Matcha Latte")</f>
        <v>Matcha Latte</v>
      </c>
      <c r="M97" s="1"/>
      <c r="N97" s="1" t="str">
        <f>IFERROR(__xludf.DUMMYFUNCTION("""COMPUTED_VALUE"""),"Other:, Taste/Flavor")</f>
        <v>Other:, Taste/Flavor</v>
      </c>
      <c r="O97" s="1" t="str">
        <f>IFERROR(__xludf.DUMMYFUNCTION("""COMPUTED_VALUE"""),"I change it depending on my mood.")</f>
        <v>I change it depending on my mood.</v>
      </c>
      <c r="P97" s="1" t="str">
        <f>IFERROR(__xludf.DUMMYFUNCTION("""COMPUTED_VALUE"""),"At home, From convenience stores (7-Eleven, Lawson, etc.)")</f>
        <v>At home, From convenience stores (7-Eleven, Lawson, etc.)</v>
      </c>
      <c r="Q97" s="1"/>
      <c r="R97" s="1" t="str">
        <f>IFERROR(__xludf.DUMMYFUNCTION("""COMPUTED_VALUE"""),"A few times a month")</f>
        <v>A few times a month</v>
      </c>
      <c r="S97" s="1" t="str">
        <f>IFERROR(__xludf.DUMMYFUNCTION("""COMPUTED_VALUE"""),"To study/work")</f>
        <v>To study/work</v>
      </c>
      <c r="T97" s="1"/>
      <c r="U97" s="1" t="str">
        <f>IFERROR(__xludf.DUMMYFUNCTION("""COMPUTED_VALUE"""),"Atmosphere")</f>
        <v>Atmosphere</v>
      </c>
      <c r="V97" s="1"/>
      <c r="W97" s="1" t="str">
        <f>IFERROR(__xludf.DUMMYFUNCTION("""COMPUTED_VALUE"""),"Yes, Global")</f>
        <v>Yes, Global</v>
      </c>
      <c r="X97" s="1" t="str">
        <f>IFERROR(__xludf.DUMMYFUNCTION("""COMPUTED_VALUE"""),"Yes,  Japanese")</f>
        <v>Yes,  Japanese</v>
      </c>
      <c r="Y97" s="1">
        <f>IFERROR(__xludf.DUMMYFUNCTION("""COMPUTED_VALUE"""),5.0)</f>
        <v>5</v>
      </c>
      <c r="Z97" s="1">
        <f>IFERROR(__xludf.DUMMYFUNCTION("""COMPUTED_VALUE"""),5.0)</f>
        <v>5</v>
      </c>
      <c r="AA97" s="1">
        <f>IFERROR(__xludf.DUMMYFUNCTION("""COMPUTED_VALUE"""),5.0)</f>
        <v>5</v>
      </c>
      <c r="AB97" s="1" t="str">
        <f>IFERROR(__xludf.DUMMYFUNCTION("""COMPUTED_VALUE"""),"No")</f>
        <v>No</v>
      </c>
      <c r="AC97" s="1"/>
    </row>
    <row r="98">
      <c r="A98" s="1" t="str">
        <f>IFERROR(__xludf.DUMMYFUNCTION("""COMPUTED_VALUE"""),"9qe69rG")</f>
        <v>9qe69rG</v>
      </c>
      <c r="B98" s="1" t="str">
        <f>IFERROR(__xludf.DUMMYFUNCTION("""COMPUTED_VALUE"""),"gD52JXN")</f>
        <v>gD52JXN</v>
      </c>
      <c r="C98" s="5">
        <f>IFERROR(__xludf.DUMMYFUNCTION("""COMPUTED_VALUE"""),46061.1175)</f>
        <v>46061.1175</v>
      </c>
      <c r="D98" s="1" t="str">
        <f>IFERROR(__xludf.DUMMYFUNCTION("""COMPUTED_VALUE"""),"65+")</f>
        <v>65+</v>
      </c>
      <c r="E98" s="1" t="str">
        <f>IFERROR(__xludf.DUMMYFUNCTION("""COMPUTED_VALUE"""),"Male")</f>
        <v>Male</v>
      </c>
      <c r="F98" s="1" t="str">
        <f>IFERROR(__xludf.DUMMYFUNCTION("""COMPUTED_VALUE"""),"¥3,000,000 – ¥5,999,999")</f>
        <v>¥3,000,000 – ¥5,999,999</v>
      </c>
      <c r="G98" s="1" t="str">
        <f>IFERROR(__xludf.DUMMYFUNCTION("""COMPUTED_VALUE"""),"Kansai")</f>
        <v>Kansai</v>
      </c>
      <c r="H98" s="1" t="str">
        <f>IFERROR(__xludf.DUMMYFUNCTION("""COMPUTED_VALUE"""),"Daily")</f>
        <v>Daily</v>
      </c>
      <c r="I98" s="1" t="str">
        <f>IFERROR(__xludf.DUMMYFUNCTION("""COMPUTED_VALUE"""),"Drip")</f>
        <v>Drip</v>
      </c>
      <c r="J98" s="1"/>
      <c r="K98" s="1" t="str">
        <f>IFERROR(__xludf.DUMMYFUNCTION("""COMPUTED_VALUE"""),"Rarely")</f>
        <v>Rarely</v>
      </c>
      <c r="L98" s="1" t="str">
        <f>IFERROR(__xludf.DUMMYFUNCTION("""COMPUTED_VALUE"""),"Other:")</f>
        <v>Other:</v>
      </c>
      <c r="M98" s="1" t="str">
        <f>IFERROR(__xludf.DUMMYFUNCTION("""COMPUTED_VALUE"""),"Sencha")</f>
        <v>Sencha</v>
      </c>
      <c r="N98" s="1" t="str">
        <f>IFERROR(__xludf.DUMMYFUNCTION("""COMPUTED_VALUE"""),"Routine/Ritual, Branding/Imagery")</f>
        <v>Routine/Ritual, Branding/Imagery</v>
      </c>
      <c r="O98" s="1"/>
      <c r="P98" s="1" t="str">
        <f>IFERROR(__xludf.DUMMYFUNCTION("""COMPUTED_VALUE"""),"At home")</f>
        <v>At home</v>
      </c>
      <c r="Q98" s="1"/>
      <c r="R98" s="1" t="str">
        <f>IFERROR(__xludf.DUMMYFUNCTION("""COMPUTED_VALUE"""),"Rarely")</f>
        <v>Rarely</v>
      </c>
      <c r="S98" s="1" t="str">
        <f>IFERROR(__xludf.DUMMYFUNCTION("""COMPUTED_VALUE"""),"Other:")</f>
        <v>Other:</v>
      </c>
      <c r="T98" s="1" t="str">
        <f>IFERROR(__xludf.DUMMYFUNCTION("""COMPUTED_VALUE"""),"When I went out after a long time.")</f>
        <v>When I went out after a long time.</v>
      </c>
      <c r="U98" s="1" t="str">
        <f>IFERROR(__xludf.DUMMYFUNCTION("""COMPUTED_VALUE"""),"")</f>
        <v/>
      </c>
      <c r="V98" s="1" t="str">
        <f>IFERROR(__xludf.DUMMYFUNCTION("""COMPUTED_VALUE"""),"Because I drank it often when I was in the U.S.")</f>
        <v>Because I drank it often when I was in the U.S.</v>
      </c>
      <c r="W98" s="1" t="str">
        <f>IFERROR(__xludf.DUMMYFUNCTION("""COMPUTED_VALUE"""),"Yes, Western")</f>
        <v>Yes, Western</v>
      </c>
      <c r="X98" s="1" t="str">
        <f>IFERROR(__xludf.DUMMYFUNCTION("""COMPUTED_VALUE"""),"Yes,  Japanese")</f>
        <v>Yes,  Japanese</v>
      </c>
      <c r="Y98" s="1">
        <f>IFERROR(__xludf.DUMMYFUNCTION("""COMPUTED_VALUE"""),5.0)</f>
        <v>5</v>
      </c>
      <c r="Z98" s="1">
        <f>IFERROR(__xludf.DUMMYFUNCTION("""COMPUTED_VALUE"""),6.0)</f>
        <v>6</v>
      </c>
      <c r="AA98" s="1">
        <f>IFERROR(__xludf.DUMMYFUNCTION("""COMPUTED_VALUE"""),2.0)</f>
        <v>2</v>
      </c>
      <c r="AB98" s="1" t="str">
        <f>IFERROR(__xludf.DUMMYFUNCTION("""COMPUTED_VALUE"""),"No")</f>
        <v>No</v>
      </c>
      <c r="AC98" s="1"/>
    </row>
    <row r="99">
      <c r="A99" s="1" t="str">
        <f>IFERROR(__xludf.DUMMYFUNCTION("""COMPUTED_VALUE"""),"dW7kDgN")</f>
        <v>dW7kDgN</v>
      </c>
      <c r="B99" s="1" t="str">
        <f>IFERROR(__xludf.DUMMYFUNCTION("""COMPUTED_VALUE"""),"5Bd6vqb")</f>
        <v>5Bd6vqb</v>
      </c>
      <c r="C99" s="5">
        <f>IFERROR(__xludf.DUMMYFUNCTION("""COMPUTED_VALUE"""),46062.14965277778)</f>
        <v>46062.14965</v>
      </c>
      <c r="D99" s="1" t="str">
        <f>IFERROR(__xludf.DUMMYFUNCTION("""COMPUTED_VALUE"""),"36-45")</f>
        <v>36-45</v>
      </c>
      <c r="E99" s="1" t="str">
        <f>IFERROR(__xludf.DUMMYFUNCTION("""COMPUTED_VALUE"""),"Female")</f>
        <v>Female</v>
      </c>
      <c r="F99" s="1" t="str">
        <f>IFERROR(__xludf.DUMMYFUNCTION("""COMPUTED_VALUE"""),"¥6,000,000 – ¥8,999,999")</f>
        <v>¥6,000,000 – ¥8,999,999</v>
      </c>
      <c r="G99" s="1" t="str">
        <f>IFERROR(__xludf.DUMMYFUNCTION("""COMPUTED_VALUE"""),"Kanto")</f>
        <v>Kanto</v>
      </c>
      <c r="H99" s="1" t="str">
        <f>IFERROR(__xludf.DUMMYFUNCTION("""COMPUTED_VALUE"""),"Several times a week")</f>
        <v>Several times a week</v>
      </c>
      <c r="I99" s="1" t="str">
        <f>IFERROR(__xludf.DUMMYFUNCTION("""COMPUTED_VALUE"""),"Latte")</f>
        <v>Latte</v>
      </c>
      <c r="J99" s="1"/>
      <c r="K99" s="1" t="str">
        <f>IFERROR(__xludf.DUMMYFUNCTION("""COMPUTED_VALUE"""),"Rarely")</f>
        <v>Rarely</v>
      </c>
      <c r="L99" s="1" t="str">
        <f>IFERROR(__xludf.DUMMYFUNCTION("""COMPUTED_VALUE"""),"Matcha Latte")</f>
        <v>Matcha Latte</v>
      </c>
      <c r="M99" s="1"/>
      <c r="N99" s="1" t="str">
        <f>IFERROR(__xludf.DUMMYFUNCTION("""COMPUTED_VALUE"""),"Taste/Flavor, Price")</f>
        <v>Taste/Flavor, Price</v>
      </c>
      <c r="O99" s="1"/>
      <c r="P99" s="1" t="str">
        <f>IFERROR(__xludf.DUMMYFUNCTION("""COMPUTED_VALUE"""),"At cafés, Other:")</f>
        <v>At cafés, Other:</v>
      </c>
      <c r="Q99" s="1" t="str">
        <f>IFERROR(__xludf.DUMMYFUNCTION("""COMPUTED_VALUE"""),"I only drink matcha at events")</f>
        <v>I only drink matcha at events</v>
      </c>
      <c r="R99" s="1" t="str">
        <f>IFERROR(__xludf.DUMMYFUNCTION("""COMPUTED_VALUE"""),"Once a week")</f>
        <v>Once a week</v>
      </c>
      <c r="S99" s="1" t="str">
        <f>IFERROR(__xludf.DUMMYFUNCTION("""COMPUTED_VALUE"""),"Other:")</f>
        <v>Other:</v>
      </c>
      <c r="T99" s="1" t="str">
        <f>IFERROR(__xludf.DUMMYFUNCTION("""COMPUTED_VALUE"""),"Waiting time")</f>
        <v>Waiting time</v>
      </c>
      <c r="U99" s="1" t="str">
        <f>IFERROR(__xludf.DUMMYFUNCTION("""COMPUTED_VALUE"""),"Atmosphere")</f>
        <v>Atmosphere</v>
      </c>
      <c r="V99" s="1"/>
      <c r="W99" s="1" t="str">
        <f>IFERROR(__xludf.DUMMYFUNCTION("""COMPUTED_VALUE"""),"No")</f>
        <v>No</v>
      </c>
      <c r="X99" s="1" t="str">
        <f>IFERROR(__xludf.DUMMYFUNCTION("""COMPUTED_VALUE"""),"Yes,  Japanese")</f>
        <v>Yes,  Japanese</v>
      </c>
      <c r="Y99" s="1">
        <f>IFERROR(__xludf.DUMMYFUNCTION("""COMPUTED_VALUE"""),4.0)</f>
        <v>4</v>
      </c>
      <c r="Z99" s="1">
        <f>IFERROR(__xludf.DUMMYFUNCTION("""COMPUTED_VALUE"""),7.0)</f>
        <v>7</v>
      </c>
      <c r="AA99" s="1">
        <f>IFERROR(__xludf.DUMMYFUNCTION("""COMPUTED_VALUE"""),5.0)</f>
        <v>5</v>
      </c>
      <c r="AB99" s="1" t="str">
        <f>IFERROR(__xludf.DUMMYFUNCTION("""COMPUTED_VALUE"""),"No")</f>
        <v>No</v>
      </c>
      <c r="AC99" s="1"/>
    </row>
    <row r="100">
      <c r="A100" s="1" t="str">
        <f>IFERROR(__xludf.DUMMYFUNCTION("""COMPUTED_VALUE"""),"9qeoEKV")</f>
        <v>9qeoEKV</v>
      </c>
      <c r="B100" s="1" t="str">
        <f>IFERROR(__xludf.DUMMYFUNCTION("""COMPUTED_VALUE"""),"pbLjWk1")</f>
        <v>pbLjWk1</v>
      </c>
      <c r="C100" s="5">
        <f>IFERROR(__xludf.DUMMYFUNCTION("""COMPUTED_VALUE"""),46062.150925925926)</f>
        <v>46062.15093</v>
      </c>
      <c r="D100" s="1" t="str">
        <f>IFERROR(__xludf.DUMMYFUNCTION("""COMPUTED_VALUE"""),"46-55")</f>
        <v>46-55</v>
      </c>
      <c r="E100" s="1" t="str">
        <f>IFERROR(__xludf.DUMMYFUNCTION("""COMPUTED_VALUE"""),"Female")</f>
        <v>Female</v>
      </c>
      <c r="F100" s="1" t="str">
        <f>IFERROR(__xludf.DUMMYFUNCTION("""COMPUTED_VALUE"""),"¥12,000,000 or more")</f>
        <v>¥12,000,000 or more</v>
      </c>
      <c r="G100" s="1" t="str">
        <f>IFERROR(__xludf.DUMMYFUNCTION("""COMPUTED_VALUE"""),"Kanto")</f>
        <v>Kanto</v>
      </c>
      <c r="H100" s="1" t="str">
        <f>IFERROR(__xludf.DUMMYFUNCTION("""COMPUTED_VALUE"""),"Several times a week")</f>
        <v>Several times a week</v>
      </c>
      <c r="I100" s="1" t="str">
        <f>IFERROR(__xludf.DUMMYFUNCTION("""COMPUTED_VALUE"""),"Latte")</f>
        <v>Latte</v>
      </c>
      <c r="J100" s="1"/>
      <c r="K100" s="1" t="str">
        <f>IFERROR(__xludf.DUMMYFUNCTION("""COMPUTED_VALUE"""),"Rarely")</f>
        <v>Rarely</v>
      </c>
      <c r="L100" s="1" t="str">
        <f>IFERROR(__xludf.DUMMYFUNCTION("""COMPUTED_VALUE"""),"Koicha")</f>
        <v>Koicha</v>
      </c>
      <c r="M100" s="1"/>
      <c r="N100" s="1" t="str">
        <f>IFERROR(__xludf.DUMMYFUNCTION("""COMPUTED_VALUE"""),"Taste/Flavor")</f>
        <v>Taste/Flavor</v>
      </c>
      <c r="O100" s="1"/>
      <c r="P100" s="1" t="str">
        <f>IFERROR(__xludf.DUMMYFUNCTION("""COMPUTED_VALUE"""),"At home, At cafés, From convenience stores (7-Eleven, Lawson, etc.)")</f>
        <v>At home, At cafés, From convenience stores (7-Eleven, Lawson, etc.)</v>
      </c>
      <c r="Q100" s="1"/>
      <c r="R100" s="1" t="str">
        <f>IFERROR(__xludf.DUMMYFUNCTION("""COMPUTED_VALUE"""),"A few times a month")</f>
        <v>A few times a month</v>
      </c>
      <c r="S100" s="1" t="str">
        <f>IFERROR(__xludf.DUMMYFUNCTION("""COMPUTED_VALUE"""),"To study/work")</f>
        <v>To study/work</v>
      </c>
      <c r="T100" s="1"/>
      <c r="U100" s="1" t="str">
        <f>IFERROR(__xludf.DUMMYFUNCTION("""COMPUTED_VALUE"""),"Atmosphere")</f>
        <v>Atmosphere</v>
      </c>
      <c r="V100" s="1"/>
      <c r="W100" s="1" t="str">
        <f>IFERROR(__xludf.DUMMYFUNCTION("""COMPUTED_VALUE"""),"Unsure")</f>
        <v>Unsure</v>
      </c>
      <c r="X100" s="1" t="str">
        <f>IFERROR(__xludf.DUMMYFUNCTION("""COMPUTED_VALUE"""),"Yes,  Japanese")</f>
        <v>Yes,  Japanese</v>
      </c>
      <c r="Y100" s="1">
        <f>IFERROR(__xludf.DUMMYFUNCTION("""COMPUTED_VALUE"""),7.0)</f>
        <v>7</v>
      </c>
      <c r="Z100" s="1">
        <f>IFERROR(__xludf.DUMMYFUNCTION("""COMPUTED_VALUE"""),5.0)</f>
        <v>5</v>
      </c>
      <c r="AA100" s="1">
        <f>IFERROR(__xludf.DUMMYFUNCTION("""COMPUTED_VALUE"""),5.0)</f>
        <v>5</v>
      </c>
      <c r="AB100" s="1" t="str">
        <f>IFERROR(__xludf.DUMMYFUNCTION("""COMPUTED_VALUE"""),"No")</f>
        <v>No</v>
      </c>
      <c r="AC100" s="1"/>
    </row>
    <row r="101">
      <c r="A101" s="1" t="str">
        <f>IFERROR(__xludf.DUMMYFUNCTION("""COMPUTED_VALUE"""),"2E2Dxjp")</f>
        <v>2E2Dxjp</v>
      </c>
      <c r="B101" s="1" t="str">
        <f>IFERROR(__xludf.DUMMYFUNCTION("""COMPUTED_VALUE"""),"rjlNLpR")</f>
        <v>rjlNLpR</v>
      </c>
      <c r="C101" s="5">
        <f>IFERROR(__xludf.DUMMYFUNCTION("""COMPUTED_VALUE"""),46062.15195601852)</f>
        <v>46062.15196</v>
      </c>
      <c r="D101" s="1" t="str">
        <f>IFERROR(__xludf.DUMMYFUNCTION("""COMPUTED_VALUE"""),"18-25")</f>
        <v>18-25</v>
      </c>
      <c r="E101" s="1" t="str">
        <f>IFERROR(__xludf.DUMMYFUNCTION("""COMPUTED_VALUE"""),"Male")</f>
        <v>Male</v>
      </c>
      <c r="F101" s="1" t="str">
        <f>IFERROR(__xludf.DUMMYFUNCTION("""COMPUTED_VALUE"""),"¥12,000,000 or more")</f>
        <v>¥12,000,000 or more</v>
      </c>
      <c r="G101" s="1" t="str">
        <f>IFERROR(__xludf.DUMMYFUNCTION("""COMPUTED_VALUE"""),"Kanto")</f>
        <v>Kanto</v>
      </c>
      <c r="H101" s="1" t="str">
        <f>IFERROR(__xludf.DUMMYFUNCTION("""COMPUTED_VALUE"""),"Several times a week")</f>
        <v>Several times a week</v>
      </c>
      <c r="I101" s="1" t="str">
        <f>IFERROR(__xludf.DUMMYFUNCTION("""COMPUTED_VALUE"""),"Other:")</f>
        <v>Other:</v>
      </c>
      <c r="J101" s="1" t="str">
        <f>IFERROR(__xludf.DUMMYFUNCTION("""COMPUTED_VALUE"""),"Bottled")</f>
        <v>Bottled</v>
      </c>
      <c r="K101" s="1" t="str">
        <f>IFERROR(__xludf.DUMMYFUNCTION("""COMPUTED_VALUE"""),"Never")</f>
        <v>Never</v>
      </c>
      <c r="L101" s="1" t="str">
        <f>IFERROR(__xludf.DUMMYFUNCTION("""COMPUTED_VALUE"""),"")</f>
        <v/>
      </c>
      <c r="M101" s="1"/>
      <c r="N101" s="1" t="str">
        <f>IFERROR(__xludf.DUMMYFUNCTION("""COMPUTED_VALUE"""),"Other:")</f>
        <v>Other:</v>
      </c>
      <c r="O101" s="1" t="str">
        <f>IFERROR(__xludf.DUMMYFUNCTION("""COMPUTED_VALUE"""),"Availability")</f>
        <v>Availability</v>
      </c>
      <c r="P101" s="1" t="str">
        <f>IFERROR(__xludf.DUMMYFUNCTION("""COMPUTED_VALUE"""),"From convenience stores (7-Eleven, Lawson, etc.)")</f>
        <v>From convenience stores (7-Eleven, Lawson, etc.)</v>
      </c>
      <c r="Q101" s="1"/>
      <c r="R101" s="1" t="str">
        <f>IFERROR(__xludf.DUMMYFUNCTION("""COMPUTED_VALUE"""),"A few times a month")</f>
        <v>A few times a month</v>
      </c>
      <c r="S101" s="1" t="str">
        <f>IFERROR(__xludf.DUMMYFUNCTION("""COMPUTED_VALUE"""),"To meet friends")</f>
        <v>To meet friends</v>
      </c>
      <c r="T101" s="1"/>
      <c r="U101" s="1" t="str">
        <f>IFERROR(__xludf.DUMMYFUNCTION("""COMPUTED_VALUE"""),"Atmosphere")</f>
        <v>Atmosphere</v>
      </c>
      <c r="V101" s="1"/>
      <c r="W101" s="1" t="str">
        <f>IFERROR(__xludf.DUMMYFUNCTION("""COMPUTED_VALUE"""),"No")</f>
        <v>No</v>
      </c>
      <c r="X101" s="1" t="str">
        <f>IFERROR(__xludf.DUMMYFUNCTION("""COMPUTED_VALUE"""),"Yes,  Japanese")</f>
        <v>Yes,  Japanese</v>
      </c>
      <c r="Y101" s="1">
        <f>IFERROR(__xludf.DUMMYFUNCTION("""COMPUTED_VALUE"""),5.0)</f>
        <v>5</v>
      </c>
      <c r="Z101" s="1">
        <f>IFERROR(__xludf.DUMMYFUNCTION("""COMPUTED_VALUE"""),6.0)</f>
        <v>6</v>
      </c>
      <c r="AA101" s="1">
        <f>IFERROR(__xludf.DUMMYFUNCTION("""COMPUTED_VALUE"""),7.0)</f>
        <v>7</v>
      </c>
      <c r="AB101" s="1" t="str">
        <f>IFERROR(__xludf.DUMMYFUNCTION("""COMPUTED_VALUE"""),"No")</f>
        <v>No</v>
      </c>
      <c r="AC101" s="1"/>
    </row>
    <row r="102">
      <c r="A102" s="1" t="str">
        <f>IFERROR(__xludf.DUMMYFUNCTION("""COMPUTED_VALUE"""),"VLr41e6")</f>
        <v>VLr41e6</v>
      </c>
      <c r="B102" s="1" t="str">
        <f>IFERROR(__xludf.DUMMYFUNCTION("""COMPUTED_VALUE"""),"xXdkPVk")</f>
        <v>xXdkPVk</v>
      </c>
      <c r="C102" s="5">
        <f>IFERROR(__xludf.DUMMYFUNCTION("""COMPUTED_VALUE"""),46062.15582175926)</f>
        <v>46062.15582</v>
      </c>
      <c r="D102" s="1" t="str">
        <f>IFERROR(__xludf.DUMMYFUNCTION("""COMPUTED_VALUE"""),"36-45")</f>
        <v>36-45</v>
      </c>
      <c r="E102" s="1" t="str">
        <f>IFERROR(__xludf.DUMMYFUNCTION("""COMPUTED_VALUE"""),"Male")</f>
        <v>Male</v>
      </c>
      <c r="F102" s="1" t="str">
        <f>IFERROR(__xludf.DUMMYFUNCTION("""COMPUTED_VALUE"""),"¥12,000,000 or more")</f>
        <v>¥12,000,000 or more</v>
      </c>
      <c r="G102" s="1" t="str">
        <f>IFERROR(__xludf.DUMMYFUNCTION("""COMPUTED_VALUE"""),"Kansai")</f>
        <v>Kansai</v>
      </c>
      <c r="H102" s="1" t="str">
        <f>IFERROR(__xludf.DUMMYFUNCTION("""COMPUTED_VALUE"""),"Daily")</f>
        <v>Daily</v>
      </c>
      <c r="I102" s="1" t="str">
        <f>IFERROR(__xludf.DUMMYFUNCTION("""COMPUTED_VALUE"""),"Drip")</f>
        <v>Drip</v>
      </c>
      <c r="J102" s="1"/>
      <c r="K102" s="1" t="str">
        <f>IFERROR(__xludf.DUMMYFUNCTION("""COMPUTED_VALUE"""),"Never")</f>
        <v>Never</v>
      </c>
      <c r="L102" s="1" t="str">
        <f>IFERROR(__xludf.DUMMYFUNCTION("""COMPUTED_VALUE"""),"")</f>
        <v/>
      </c>
      <c r="M102" s="1"/>
      <c r="N102" s="1" t="str">
        <f>IFERROR(__xludf.DUMMYFUNCTION("""COMPUTED_VALUE"""),"Energy boost/Caffeine, Taste/Flavor")</f>
        <v>Energy boost/Caffeine, Taste/Flavor</v>
      </c>
      <c r="O102" s="1"/>
      <c r="P102" s="1" t="str">
        <f>IFERROR(__xludf.DUMMYFUNCTION("""COMPUTED_VALUE"""),"From convenience stores (7-Eleven, Lawson, etc.), At home, At cafés")</f>
        <v>From convenience stores (7-Eleven, Lawson, etc.), At home, At cafés</v>
      </c>
      <c r="Q102" s="1"/>
      <c r="R102" s="1" t="str">
        <f>IFERROR(__xludf.DUMMYFUNCTION("""COMPUTED_VALUE"""),"Once a week")</f>
        <v>Once a week</v>
      </c>
      <c r="S102" s="1" t="str">
        <f>IFERROR(__xludf.DUMMYFUNCTION("""COMPUTED_VALUE"""),"To study/work")</f>
        <v>To study/work</v>
      </c>
      <c r="T102" s="1"/>
      <c r="U102" s="1" t="str">
        <f>IFERROR(__xludf.DUMMYFUNCTION("""COMPUTED_VALUE"""),"Atmosphere")</f>
        <v>Atmosphere</v>
      </c>
      <c r="V102" s="1"/>
      <c r="W102" s="1" t="str">
        <f>IFERROR(__xludf.DUMMYFUNCTION("""COMPUTED_VALUE"""),"Yes, Global")</f>
        <v>Yes, Global</v>
      </c>
      <c r="X102" s="1" t="str">
        <f>IFERROR(__xludf.DUMMYFUNCTION("""COMPUTED_VALUE"""),"Yes,  Japanese")</f>
        <v>Yes,  Japanese</v>
      </c>
      <c r="Y102" s="1">
        <f>IFERROR(__xludf.DUMMYFUNCTION("""COMPUTED_VALUE"""),6.0)</f>
        <v>6</v>
      </c>
      <c r="Z102" s="1">
        <f>IFERROR(__xludf.DUMMYFUNCTION("""COMPUTED_VALUE"""),4.0)</f>
        <v>4</v>
      </c>
      <c r="AA102" s="1">
        <f>IFERROR(__xludf.DUMMYFUNCTION("""COMPUTED_VALUE"""),7.0)</f>
        <v>7</v>
      </c>
      <c r="AB102" s="1" t="str">
        <f>IFERROR(__xludf.DUMMYFUNCTION("""COMPUTED_VALUE"""),"No")</f>
        <v>No</v>
      </c>
      <c r="AC102" s="1"/>
    </row>
    <row r="103">
      <c r="A103" s="1" t="str">
        <f>IFERROR(__xludf.DUMMYFUNCTION("""COMPUTED_VALUE"""),"QKGO82Y")</f>
        <v>QKGO82Y</v>
      </c>
      <c r="B103" s="1" t="str">
        <f>IFERROR(__xludf.DUMMYFUNCTION("""COMPUTED_VALUE"""),"2E4qJge")</f>
        <v>2E4qJge</v>
      </c>
      <c r="C103" s="5">
        <f>IFERROR(__xludf.DUMMYFUNCTION("""COMPUTED_VALUE"""),46062.16138888889)</f>
        <v>46062.16139</v>
      </c>
      <c r="D103" s="1" t="str">
        <f>IFERROR(__xludf.DUMMYFUNCTION("""COMPUTED_VALUE"""),"36-45")</f>
        <v>36-45</v>
      </c>
      <c r="E103" s="1" t="str">
        <f>IFERROR(__xludf.DUMMYFUNCTION("""COMPUTED_VALUE"""),"Male")</f>
        <v>Male</v>
      </c>
      <c r="F103" s="1" t="str">
        <f>IFERROR(__xludf.DUMMYFUNCTION("""COMPUTED_VALUE"""),"¥12,000,000 or more")</f>
        <v>¥12,000,000 or more</v>
      </c>
      <c r="G103" s="1" t="str">
        <f>IFERROR(__xludf.DUMMYFUNCTION("""COMPUTED_VALUE"""),"Kanto")</f>
        <v>Kanto</v>
      </c>
      <c r="H103" s="1" t="str">
        <f>IFERROR(__xludf.DUMMYFUNCTION("""COMPUTED_VALUE"""),"Daily")</f>
        <v>Daily</v>
      </c>
      <c r="I103" s="1" t="str">
        <f>IFERROR(__xludf.DUMMYFUNCTION("""COMPUTED_VALUE"""),"Drip")</f>
        <v>Drip</v>
      </c>
      <c r="J103" s="1"/>
      <c r="K103" s="1" t="str">
        <f>IFERROR(__xludf.DUMMYFUNCTION("""COMPUTED_VALUE"""),"Never")</f>
        <v>Never</v>
      </c>
      <c r="L103" s="1" t="str">
        <f>IFERROR(__xludf.DUMMYFUNCTION("""COMPUTED_VALUE"""),"")</f>
        <v/>
      </c>
      <c r="M103" s="1"/>
      <c r="N103" s="1" t="str">
        <f>IFERROR(__xludf.DUMMYFUNCTION("""COMPUTED_VALUE"""),"Taste/Flavor")</f>
        <v>Taste/Flavor</v>
      </c>
      <c r="O103" s="1"/>
      <c r="P103" s="1" t="str">
        <f>IFERROR(__xludf.DUMMYFUNCTION("""COMPUTED_VALUE"""),"At home, From convenience stores (7-Eleven, Lawson, etc.)")</f>
        <v>At home, From convenience stores (7-Eleven, Lawson, etc.)</v>
      </c>
      <c r="Q103" s="1"/>
      <c r="R103" s="1" t="str">
        <f>IFERROR(__xludf.DUMMYFUNCTION("""COMPUTED_VALUE"""),"Rarely")</f>
        <v>Rarely</v>
      </c>
      <c r="S103" s="1" t="str">
        <f>IFERROR(__xludf.DUMMYFUNCTION("""COMPUTED_VALUE"""),"To meet friends")</f>
        <v>To meet friends</v>
      </c>
      <c r="T103" s="1"/>
      <c r="U103" s="1" t="str">
        <f>IFERROR(__xludf.DUMMYFUNCTION("""COMPUTED_VALUE"""),"Atmosphere")</f>
        <v>Atmosphere</v>
      </c>
      <c r="V103" s="1"/>
      <c r="W103" s="1" t="str">
        <f>IFERROR(__xludf.DUMMYFUNCTION("""COMPUTED_VALUE"""),"No")</f>
        <v>No</v>
      </c>
      <c r="X103" s="1" t="str">
        <f>IFERROR(__xludf.DUMMYFUNCTION("""COMPUTED_VALUE"""),"Yes,  Japanese")</f>
        <v>Yes,  Japanese</v>
      </c>
      <c r="Y103" s="1">
        <f>IFERROR(__xludf.DUMMYFUNCTION("""COMPUTED_VALUE"""),5.0)</f>
        <v>5</v>
      </c>
      <c r="Z103" s="1">
        <f>IFERROR(__xludf.DUMMYFUNCTION("""COMPUTED_VALUE"""),7.0)</f>
        <v>7</v>
      </c>
      <c r="AA103" s="1">
        <f>IFERROR(__xludf.DUMMYFUNCTION("""COMPUTED_VALUE"""),2.0)</f>
        <v>2</v>
      </c>
      <c r="AB103" s="1" t="str">
        <f>IFERROR(__xludf.DUMMYFUNCTION("""COMPUTED_VALUE"""),"No")</f>
        <v>No</v>
      </c>
      <c r="AC103" s="1"/>
    </row>
    <row r="104">
      <c r="A104" s="1" t="str">
        <f>IFERROR(__xludf.DUMMYFUNCTION("""COMPUTED_VALUE"""),"D4LZPPp")</f>
        <v>D4LZPPp</v>
      </c>
      <c r="B104" s="1" t="str">
        <f>IFERROR(__xludf.DUMMYFUNCTION("""COMPUTED_VALUE"""),"ODApo5k")</f>
        <v>ODApo5k</v>
      </c>
      <c r="C104" s="5">
        <f>IFERROR(__xludf.DUMMYFUNCTION("""COMPUTED_VALUE"""),46062.21375)</f>
        <v>46062.21375</v>
      </c>
      <c r="D104" s="1" t="str">
        <f>IFERROR(__xludf.DUMMYFUNCTION("""COMPUTED_VALUE"""),"26-35")</f>
        <v>26-35</v>
      </c>
      <c r="E104" s="1" t="str">
        <f>IFERROR(__xludf.DUMMYFUNCTION("""COMPUTED_VALUE"""),"Male")</f>
        <v>Male</v>
      </c>
      <c r="F104" s="1" t="str">
        <f>IFERROR(__xludf.DUMMYFUNCTION("""COMPUTED_VALUE"""),"¥3,000,000 – ¥5,999,999")</f>
        <v>¥3,000,000 – ¥5,999,999</v>
      </c>
      <c r="G104" s="1" t="str">
        <f>IFERROR(__xludf.DUMMYFUNCTION("""COMPUTED_VALUE"""),"Kanto")</f>
        <v>Kanto</v>
      </c>
      <c r="H104" s="1" t="str">
        <f>IFERROR(__xludf.DUMMYFUNCTION("""COMPUTED_VALUE"""),"Daily")</f>
        <v>Daily</v>
      </c>
      <c r="I104" s="1" t="str">
        <f>IFERROR(__xludf.DUMMYFUNCTION("""COMPUTED_VALUE"""),"Drip")</f>
        <v>Drip</v>
      </c>
      <c r="J104" s="1"/>
      <c r="K104" s="1" t="str">
        <f>IFERROR(__xludf.DUMMYFUNCTION("""COMPUTED_VALUE"""),"Never")</f>
        <v>Never</v>
      </c>
      <c r="L104" s="1" t="str">
        <f>IFERROR(__xludf.DUMMYFUNCTION("""COMPUTED_VALUE"""),"")</f>
        <v/>
      </c>
      <c r="M104" s="1"/>
      <c r="N104" s="1" t="str">
        <f>IFERROR(__xludf.DUMMYFUNCTION("""COMPUTED_VALUE"""),"Routine/Ritual")</f>
        <v>Routine/Ritual</v>
      </c>
      <c r="O104" s="1"/>
      <c r="P104" s="1" t="str">
        <f>IFERROR(__xludf.DUMMYFUNCTION("""COMPUTED_VALUE"""),"At home")</f>
        <v>At home</v>
      </c>
      <c r="Q104" s="1"/>
      <c r="R104" s="1" t="str">
        <f>IFERROR(__xludf.DUMMYFUNCTION("""COMPUTED_VALUE"""),"A few times a month")</f>
        <v>A few times a month</v>
      </c>
      <c r="S104" s="1" t="str">
        <f>IFERROR(__xludf.DUMMYFUNCTION("""COMPUTED_VALUE"""),"To study/work")</f>
        <v>To study/work</v>
      </c>
      <c r="T104" s="1"/>
      <c r="U104" s="1" t="str">
        <f>IFERROR(__xludf.DUMMYFUNCTION("""COMPUTED_VALUE"""),"Atmosphere")</f>
        <v>Atmosphere</v>
      </c>
      <c r="V104" s="1"/>
      <c r="W104" s="1" t="str">
        <f>IFERROR(__xludf.DUMMYFUNCTION("""COMPUTED_VALUE"""),"No")</f>
        <v>No</v>
      </c>
      <c r="X104" s="1" t="str">
        <f>IFERROR(__xludf.DUMMYFUNCTION("""COMPUTED_VALUE"""),"Yes,  Japanese")</f>
        <v>Yes,  Japanese</v>
      </c>
      <c r="Y104" s="1">
        <f>IFERROR(__xludf.DUMMYFUNCTION("""COMPUTED_VALUE"""),6.0)</f>
        <v>6</v>
      </c>
      <c r="Z104" s="1">
        <f>IFERROR(__xludf.DUMMYFUNCTION("""COMPUTED_VALUE"""),6.0)</f>
        <v>6</v>
      </c>
      <c r="AA104" s="1">
        <f>IFERROR(__xludf.DUMMYFUNCTION("""COMPUTED_VALUE"""),4.0)</f>
        <v>4</v>
      </c>
      <c r="AB104" s="1" t="str">
        <f>IFERROR(__xludf.DUMMYFUNCTION("""COMPUTED_VALUE"""),"No")</f>
        <v>No</v>
      </c>
      <c r="AC104" s="1"/>
    </row>
    <row r="105">
      <c r="A105" s="1" t="str">
        <f>IFERROR(__xludf.DUMMYFUNCTION("""COMPUTED_VALUE"""),"obJkr8X")</f>
        <v>obJkr8X</v>
      </c>
      <c r="B105" s="1" t="str">
        <f>IFERROR(__xludf.DUMMYFUNCTION("""COMPUTED_VALUE"""),"gD5yxa1")</f>
        <v>gD5yxa1</v>
      </c>
      <c r="C105" s="5">
        <f>IFERROR(__xludf.DUMMYFUNCTION("""COMPUTED_VALUE"""),46062.278819444444)</f>
        <v>46062.27882</v>
      </c>
      <c r="D105" s="1" t="str">
        <f>IFERROR(__xludf.DUMMYFUNCTION("""COMPUTED_VALUE"""),"26-35")</f>
        <v>26-35</v>
      </c>
      <c r="E105" s="1" t="str">
        <f>IFERROR(__xludf.DUMMYFUNCTION("""COMPUTED_VALUE"""),"Male")</f>
        <v>Male</v>
      </c>
      <c r="F105" s="1" t="str">
        <f>IFERROR(__xludf.DUMMYFUNCTION("""COMPUTED_VALUE"""),"¥9,000,000 – ¥11,999,999")</f>
        <v>¥9,000,000 – ¥11,999,999</v>
      </c>
      <c r="G105" s="1" t="str">
        <f>IFERROR(__xludf.DUMMYFUNCTION("""COMPUTED_VALUE"""),"Kanto")</f>
        <v>Kanto</v>
      </c>
      <c r="H105" s="1" t="str">
        <f>IFERROR(__xludf.DUMMYFUNCTION("""COMPUTED_VALUE"""),"Once a week")</f>
        <v>Once a week</v>
      </c>
      <c r="I105" s="1" t="str">
        <f>IFERROR(__xludf.DUMMYFUNCTION("""COMPUTED_VALUE"""),"Latte")</f>
        <v>Latte</v>
      </c>
      <c r="J105" s="1"/>
      <c r="K105" s="1" t="str">
        <f>IFERROR(__xludf.DUMMYFUNCTION("""COMPUTED_VALUE"""),"Once a week")</f>
        <v>Once a week</v>
      </c>
      <c r="L105" s="1" t="str">
        <f>IFERROR(__xludf.DUMMYFUNCTION("""COMPUTED_VALUE"""),"Usucha")</f>
        <v>Usucha</v>
      </c>
      <c r="M105" s="1"/>
      <c r="N105" s="1" t="str">
        <f>IFERROR(__xludf.DUMMYFUNCTION("""COMPUTED_VALUE"""),"Routine/Ritual, Taste/Flavor")</f>
        <v>Routine/Ritual, Taste/Flavor</v>
      </c>
      <c r="O105" s="1"/>
      <c r="P105" s="1" t="str">
        <f>IFERROR(__xludf.DUMMYFUNCTION("""COMPUTED_VALUE"""),"At home, From convenience stores (7-Eleven, Lawson, etc.)")</f>
        <v>At home, From convenience stores (7-Eleven, Lawson, etc.)</v>
      </c>
      <c r="Q105" s="1"/>
      <c r="R105" s="1" t="str">
        <f>IFERROR(__xludf.DUMMYFUNCTION("""COMPUTED_VALUE"""),"A few times a month")</f>
        <v>A few times a month</v>
      </c>
      <c r="S105" s="1" t="str">
        <f>IFERROR(__xludf.DUMMYFUNCTION("""COMPUTED_VALUE"""),"Other:")</f>
        <v>Other:</v>
      </c>
      <c r="T105" s="1" t="str">
        <f>IFERROR(__xludf.DUMMYFUNCTION("""COMPUTED_VALUE"""),"To kill time until my next appointment")</f>
        <v>To kill time until my next appointment</v>
      </c>
      <c r="U105" s="1" t="str">
        <f>IFERROR(__xludf.DUMMYFUNCTION("""COMPUTED_VALUE"""),"Atmosphere")</f>
        <v>Atmosphere</v>
      </c>
      <c r="V105" s="1"/>
      <c r="W105" s="1" t="str">
        <f>IFERROR(__xludf.DUMMYFUNCTION("""COMPUTED_VALUE"""),"No")</f>
        <v>No</v>
      </c>
      <c r="X105" s="1" t="str">
        <f>IFERROR(__xludf.DUMMYFUNCTION("""COMPUTED_VALUE"""),"Yes,  Japanese")</f>
        <v>Yes,  Japanese</v>
      </c>
      <c r="Y105" s="1">
        <f>IFERROR(__xludf.DUMMYFUNCTION("""COMPUTED_VALUE"""),3.0)</f>
        <v>3</v>
      </c>
      <c r="Z105" s="1">
        <f>IFERROR(__xludf.DUMMYFUNCTION("""COMPUTED_VALUE"""),6.0)</f>
        <v>6</v>
      </c>
      <c r="AA105" s="1">
        <f>IFERROR(__xludf.DUMMYFUNCTION("""COMPUTED_VALUE"""),2.0)</f>
        <v>2</v>
      </c>
      <c r="AB105" s="1" t="str">
        <f>IFERROR(__xludf.DUMMYFUNCTION("""COMPUTED_VALUE"""),"Yes")</f>
        <v>Yes</v>
      </c>
      <c r="AC105" s="1"/>
    </row>
    <row r="106">
      <c r="A106" s="1" t="str">
        <f>IFERROR(__xludf.DUMMYFUNCTION("""COMPUTED_VALUE"""),"rjXvy2L")</f>
        <v>rjXvy2L</v>
      </c>
      <c r="B106" s="1" t="str">
        <f>IFERROR(__xludf.DUMMYFUNCTION("""COMPUTED_VALUE"""),"9qdLg2Q")</f>
        <v>9qdLg2Q</v>
      </c>
      <c r="C106" s="5">
        <f>IFERROR(__xludf.DUMMYFUNCTION("""COMPUTED_VALUE"""),46062.281539351854)</f>
        <v>46062.28154</v>
      </c>
      <c r="D106" s="1" t="str">
        <f>IFERROR(__xludf.DUMMYFUNCTION("""COMPUTED_VALUE"""),"46-55")</f>
        <v>46-55</v>
      </c>
      <c r="E106" s="1" t="str">
        <f>IFERROR(__xludf.DUMMYFUNCTION("""COMPUTED_VALUE"""),"Female")</f>
        <v>Female</v>
      </c>
      <c r="F106" s="1" t="str">
        <f>IFERROR(__xludf.DUMMYFUNCTION("""COMPUTED_VALUE"""),"¥12,000,000 or more")</f>
        <v>¥12,000,000 or more</v>
      </c>
      <c r="G106" s="1" t="str">
        <f>IFERROR(__xludf.DUMMYFUNCTION("""COMPUTED_VALUE"""),"Kanto")</f>
        <v>Kanto</v>
      </c>
      <c r="H106" s="1" t="str">
        <f>IFERROR(__xludf.DUMMYFUNCTION("""COMPUTED_VALUE"""),"Daily")</f>
        <v>Daily</v>
      </c>
      <c r="I106" s="1" t="str">
        <f>IFERROR(__xludf.DUMMYFUNCTION("""COMPUTED_VALUE"""),"Drip")</f>
        <v>Drip</v>
      </c>
      <c r="J106" s="1"/>
      <c r="K106" s="1" t="str">
        <f>IFERROR(__xludf.DUMMYFUNCTION("""COMPUTED_VALUE"""),"Rarely")</f>
        <v>Rarely</v>
      </c>
      <c r="L106" s="1" t="str">
        <f>IFERROR(__xludf.DUMMYFUNCTION("""COMPUTED_VALUE"""),"I don’t drink matcha")</f>
        <v>I don’t drink matcha</v>
      </c>
      <c r="M106" s="1"/>
      <c r="N106" s="1" t="str">
        <f>IFERROR(__xludf.DUMMYFUNCTION("""COMPUTED_VALUE"""),"Taste/Flavor, Social atmosphere")</f>
        <v>Taste/Flavor, Social atmosphere</v>
      </c>
      <c r="O106" s="1"/>
      <c r="P106" s="1" t="str">
        <f>IFERROR(__xludf.DUMMYFUNCTION("""COMPUTED_VALUE"""),"At home, At cafés, From convenience stores (7-Eleven, Lawson, etc.)")</f>
        <v>At home, At cafés, From convenience stores (7-Eleven, Lawson, etc.)</v>
      </c>
      <c r="Q106" s="1"/>
      <c r="R106" s="1" t="str">
        <f>IFERROR(__xludf.DUMMYFUNCTION("""COMPUTED_VALUE"""),"A few times a month")</f>
        <v>A few times a month</v>
      </c>
      <c r="S106" s="1" t="str">
        <f>IFERROR(__xludf.DUMMYFUNCTION("""COMPUTED_VALUE"""),"To meet friends")</f>
        <v>To meet friends</v>
      </c>
      <c r="T106" s="1"/>
      <c r="U106" s="1" t="str">
        <f>IFERROR(__xludf.DUMMYFUNCTION("""COMPUTED_VALUE"""),"Atmosphere")</f>
        <v>Atmosphere</v>
      </c>
      <c r="V106" s="1"/>
      <c r="W106" s="1" t="str">
        <f>IFERROR(__xludf.DUMMYFUNCTION("""COMPUTED_VALUE"""),"No")</f>
        <v>No</v>
      </c>
      <c r="X106" s="1" t="str">
        <f>IFERROR(__xludf.DUMMYFUNCTION("""COMPUTED_VALUE"""),"Yes,  Japanese")</f>
        <v>Yes,  Japanese</v>
      </c>
      <c r="Y106" s="1">
        <f>IFERROR(__xludf.DUMMYFUNCTION("""COMPUTED_VALUE"""),6.0)</f>
        <v>6</v>
      </c>
      <c r="Z106" s="1">
        <f>IFERROR(__xludf.DUMMYFUNCTION("""COMPUTED_VALUE"""),6.0)</f>
        <v>6</v>
      </c>
      <c r="AA106" s="1">
        <f>IFERROR(__xludf.DUMMYFUNCTION("""COMPUTED_VALUE"""),3.0)</f>
        <v>3</v>
      </c>
      <c r="AB106" s="1" t="str">
        <f>IFERROR(__xludf.DUMMYFUNCTION("""COMPUTED_VALUE"""),"No")</f>
        <v>No</v>
      </c>
      <c r="AC106" s="1"/>
    </row>
    <row r="107">
      <c r="A107" s="1" t="str">
        <f>IFERROR(__xludf.DUMMYFUNCTION("""COMPUTED_VALUE"""),"0Q4a71P")</f>
        <v>0Q4a71P</v>
      </c>
      <c r="B107" s="1" t="str">
        <f>IFERROR(__xludf.DUMMYFUNCTION("""COMPUTED_VALUE"""),"obArZ1x")</f>
        <v>obArZ1x</v>
      </c>
      <c r="C107" s="5">
        <f>IFERROR(__xludf.DUMMYFUNCTION("""COMPUTED_VALUE"""),46062.29765046296)</f>
        <v>46062.29765</v>
      </c>
      <c r="D107" s="1" t="str">
        <f>IFERROR(__xludf.DUMMYFUNCTION("""COMPUTED_VALUE"""),"36-45")</f>
        <v>36-45</v>
      </c>
      <c r="E107" s="1" t="str">
        <f>IFERROR(__xludf.DUMMYFUNCTION("""COMPUTED_VALUE"""),"Male")</f>
        <v>Male</v>
      </c>
      <c r="F107" s="1" t="str">
        <f>IFERROR(__xludf.DUMMYFUNCTION("""COMPUTED_VALUE"""),"¥12,000,000 or more")</f>
        <v>¥12,000,000 or more</v>
      </c>
      <c r="G107" s="1" t="str">
        <f>IFERROR(__xludf.DUMMYFUNCTION("""COMPUTED_VALUE"""),"Kanto")</f>
        <v>Kanto</v>
      </c>
      <c r="H107" s="1" t="str">
        <f>IFERROR(__xludf.DUMMYFUNCTION("""COMPUTED_VALUE"""),"Daily")</f>
        <v>Daily</v>
      </c>
      <c r="I107" s="1" t="str">
        <f>IFERROR(__xludf.DUMMYFUNCTION("""COMPUTED_VALUE"""),"Drip")</f>
        <v>Drip</v>
      </c>
      <c r="J107" s="1"/>
      <c r="K107" s="1" t="str">
        <f>IFERROR(__xludf.DUMMYFUNCTION("""COMPUTED_VALUE"""),"Never")</f>
        <v>Never</v>
      </c>
      <c r="L107" s="1" t="str">
        <f>IFERROR(__xludf.DUMMYFUNCTION("""COMPUTED_VALUE"""),"")</f>
        <v/>
      </c>
      <c r="M107" s="1"/>
      <c r="N107" s="1" t="str">
        <f>IFERROR(__xludf.DUMMYFUNCTION("""COMPUTED_VALUE"""),"Routine/Ritual, Energy boost/Caffeine")</f>
        <v>Routine/Ritual, Energy boost/Caffeine</v>
      </c>
      <c r="O107" s="1" t="str">
        <f>IFERROR(__xludf.DUMMYFUNCTION("""COMPUTED_VALUE"""),"I don't know how to make matcha")</f>
        <v>I don't know how to make matcha</v>
      </c>
      <c r="P107" s="1" t="str">
        <f>IFERROR(__xludf.DUMMYFUNCTION("""COMPUTED_VALUE"""),"At home")</f>
        <v>At home</v>
      </c>
      <c r="Q107" s="1"/>
      <c r="R107" s="1" t="str">
        <f>IFERROR(__xludf.DUMMYFUNCTION("""COMPUTED_VALUE"""),"Rarely")</f>
        <v>Rarely</v>
      </c>
      <c r="S107" s="1" t="str">
        <f>IFERROR(__xludf.DUMMYFUNCTION("""COMPUTED_VALUE"""),"Other:")</f>
        <v>Other:</v>
      </c>
      <c r="T107" s="1" t="str">
        <f>IFERROR(__xludf.DUMMYFUNCTION("""COMPUTED_VALUE"""),"A place to stay when I’m out and have time before my next appointment and want to get some work done.")</f>
        <v>A place to stay when I’m out and have time before my next appointment and want to get some work done.</v>
      </c>
      <c r="U107" s="1" t="str">
        <f>IFERROR(__xludf.DUMMYFUNCTION("""COMPUTED_VALUE"""),"Atmosphere")</f>
        <v>Atmosphere</v>
      </c>
      <c r="V107" s="1"/>
      <c r="W107" s="1" t="str">
        <f>IFERROR(__xludf.DUMMYFUNCTION("""COMPUTED_VALUE"""),"No")</f>
        <v>No</v>
      </c>
      <c r="X107" s="1" t="str">
        <f>IFERROR(__xludf.DUMMYFUNCTION("""COMPUTED_VALUE"""),"Yes,  Japanese")</f>
        <v>Yes,  Japanese</v>
      </c>
      <c r="Y107" s="1">
        <f>IFERROR(__xludf.DUMMYFUNCTION("""COMPUTED_VALUE"""),7.0)</f>
        <v>7</v>
      </c>
      <c r="Z107" s="1">
        <f>IFERROR(__xludf.DUMMYFUNCTION("""COMPUTED_VALUE"""),7.0)</f>
        <v>7</v>
      </c>
      <c r="AA107" s="1">
        <f>IFERROR(__xludf.DUMMYFUNCTION("""COMPUTED_VALUE"""),2.0)</f>
        <v>2</v>
      </c>
      <c r="AB107" s="1" t="str">
        <f>IFERROR(__xludf.DUMMYFUNCTION("""COMPUTED_VALUE"""),"No")</f>
        <v>No</v>
      </c>
      <c r="AC107" s="1"/>
    </row>
    <row r="108">
      <c r="A108" s="1" t="str">
        <f>IFERROR(__xludf.DUMMYFUNCTION("""COMPUTED_VALUE"""),"ODRy7pR")</f>
        <v>ODRy7pR</v>
      </c>
      <c r="B108" s="1" t="str">
        <f>IFERROR(__xludf.DUMMYFUNCTION("""COMPUTED_VALUE"""),"5BkXJlP")</f>
        <v>5BkXJlP</v>
      </c>
      <c r="C108" s="5">
        <f>IFERROR(__xludf.DUMMYFUNCTION("""COMPUTED_VALUE"""),46063.04516203704)</f>
        <v>46063.04516</v>
      </c>
      <c r="D108" s="1" t="str">
        <f>IFERROR(__xludf.DUMMYFUNCTION("""COMPUTED_VALUE"""),"36-45")</f>
        <v>36-45</v>
      </c>
      <c r="E108" s="1" t="str">
        <f>IFERROR(__xludf.DUMMYFUNCTION("""COMPUTED_VALUE"""),"Female")</f>
        <v>Female</v>
      </c>
      <c r="F108" s="1" t="str">
        <f>IFERROR(__xludf.DUMMYFUNCTION("""COMPUTED_VALUE"""),"¥12,000,000 or more")</f>
        <v>¥12,000,000 or more</v>
      </c>
      <c r="G108" s="1" t="str">
        <f>IFERROR(__xludf.DUMMYFUNCTION("""COMPUTED_VALUE"""),"Kanto")</f>
        <v>Kanto</v>
      </c>
      <c r="H108" s="1" t="str">
        <f>IFERROR(__xludf.DUMMYFUNCTION("""COMPUTED_VALUE"""),"Daily")</f>
        <v>Daily</v>
      </c>
      <c r="I108" s="1" t="str">
        <f>IFERROR(__xludf.DUMMYFUNCTION("""COMPUTED_VALUE"""),"Pour Over")</f>
        <v>Pour Over</v>
      </c>
      <c r="J108" s="1"/>
      <c r="K108" s="1" t="str">
        <f>IFERROR(__xludf.DUMMYFUNCTION("""COMPUTED_VALUE"""),"Never")</f>
        <v>Never</v>
      </c>
      <c r="L108" s="1" t="str">
        <f>IFERROR(__xludf.DUMMYFUNCTION("""COMPUTED_VALUE"""),"")</f>
        <v/>
      </c>
      <c r="M108" s="1"/>
      <c r="N108" s="1" t="str">
        <f>IFERROR(__xludf.DUMMYFUNCTION("""COMPUTED_VALUE"""),"Taste/Flavor")</f>
        <v>Taste/Flavor</v>
      </c>
      <c r="O108" s="1"/>
      <c r="P108" s="1" t="str">
        <f>IFERROR(__xludf.DUMMYFUNCTION("""COMPUTED_VALUE"""),"At home, From convenience stores (7-Eleven, Lawson, etc.)")</f>
        <v>At home, From convenience stores (7-Eleven, Lawson, etc.)</v>
      </c>
      <c r="Q108" s="1"/>
      <c r="R108" s="1" t="str">
        <f>IFERROR(__xludf.DUMMYFUNCTION("""COMPUTED_VALUE"""),"A few times a month")</f>
        <v>A few times a month</v>
      </c>
      <c r="S108" s="1" t="str">
        <f>IFERROR(__xludf.DUMMYFUNCTION("""COMPUTED_VALUE"""),"To relax or take a break")</f>
        <v>To relax or take a break</v>
      </c>
      <c r="T108" s="1"/>
      <c r="U108" s="1" t="str">
        <f>IFERROR(__xludf.DUMMYFUNCTION("""COMPUTED_VALUE"""),"Atmosphere")</f>
        <v>Atmosphere</v>
      </c>
      <c r="V108" s="1"/>
      <c r="W108" s="1" t="str">
        <f>IFERROR(__xludf.DUMMYFUNCTION("""COMPUTED_VALUE"""),"Unsure")</f>
        <v>Unsure</v>
      </c>
      <c r="X108" s="1" t="str">
        <f>IFERROR(__xludf.DUMMYFUNCTION("""COMPUTED_VALUE"""),"Yes,  Japanese")</f>
        <v>Yes,  Japanese</v>
      </c>
      <c r="Y108" s="1">
        <f>IFERROR(__xludf.DUMMYFUNCTION("""COMPUTED_VALUE"""),4.0)</f>
        <v>4</v>
      </c>
      <c r="Z108" s="1">
        <f>IFERROR(__xludf.DUMMYFUNCTION("""COMPUTED_VALUE"""),6.0)</f>
        <v>6</v>
      </c>
      <c r="AA108" s="1">
        <f>IFERROR(__xludf.DUMMYFUNCTION("""COMPUTED_VALUE"""),5.0)</f>
        <v>5</v>
      </c>
      <c r="AB108" s="1" t="str">
        <f>IFERROR(__xludf.DUMMYFUNCTION("""COMPUTED_VALUE"""),"No")</f>
        <v>No</v>
      </c>
      <c r="AC108" s="1"/>
    </row>
    <row r="109">
      <c r="A109" s="1" t="str">
        <f>IFERROR(__xludf.DUMMYFUNCTION("""COMPUTED_VALUE"""),"dW7VyRz")</f>
        <v>dW7VyRz</v>
      </c>
      <c r="B109" s="1" t="str">
        <f>IFERROR(__xludf.DUMMYFUNCTION("""COMPUTED_VALUE"""),"b5kqxyo")</f>
        <v>b5kqxyo</v>
      </c>
      <c r="C109" s="5">
        <f>IFERROR(__xludf.DUMMYFUNCTION("""COMPUTED_VALUE"""),46063.15777777778)</f>
        <v>46063.15778</v>
      </c>
      <c r="D109" s="1" t="str">
        <f>IFERROR(__xludf.DUMMYFUNCTION("""COMPUTED_VALUE"""),"18-25")</f>
        <v>18-25</v>
      </c>
      <c r="E109" s="1" t="str">
        <f>IFERROR(__xludf.DUMMYFUNCTION("""COMPUTED_VALUE"""),"Male")</f>
        <v>Male</v>
      </c>
      <c r="F109" s="1" t="str">
        <f>IFERROR(__xludf.DUMMYFUNCTION("""COMPUTED_VALUE"""),"¥6,000,000 – ¥8,999,999")</f>
        <v>¥6,000,000 – ¥8,999,999</v>
      </c>
      <c r="G109" s="1" t="str">
        <f>IFERROR(__xludf.DUMMYFUNCTION("""COMPUTED_VALUE"""),"Kanto")</f>
        <v>Kanto</v>
      </c>
      <c r="H109" s="1" t="str">
        <f>IFERROR(__xludf.DUMMYFUNCTION("""COMPUTED_VALUE"""),"Daily")</f>
        <v>Daily</v>
      </c>
      <c r="I109" s="1" t="str">
        <f>IFERROR(__xludf.DUMMYFUNCTION("""COMPUTED_VALUE"""),"Drip")</f>
        <v>Drip</v>
      </c>
      <c r="J109" s="1"/>
      <c r="K109" s="1" t="str">
        <f>IFERROR(__xludf.DUMMYFUNCTION("""COMPUTED_VALUE"""),"Rarely")</f>
        <v>Rarely</v>
      </c>
      <c r="L109" s="1" t="str">
        <f>IFERROR(__xludf.DUMMYFUNCTION("""COMPUTED_VALUE"""),"I don’t drink matcha")</f>
        <v>I don’t drink matcha</v>
      </c>
      <c r="M109" s="1"/>
      <c r="N109" s="1" t="str">
        <f>IFERROR(__xludf.DUMMYFUNCTION("""COMPUTED_VALUE"""),"Other:")</f>
        <v>Other:</v>
      </c>
      <c r="O109" s="1"/>
      <c r="P109" s="1" t="str">
        <f>IFERROR(__xludf.DUMMYFUNCTION("""COMPUTED_VALUE"""),"")</f>
        <v/>
      </c>
      <c r="Q109" s="1"/>
      <c r="R109" s="1" t="str">
        <f>IFERROR(__xludf.DUMMYFUNCTION("""COMPUTED_VALUE"""),"A few times a month")</f>
        <v>A few times a month</v>
      </c>
      <c r="S109" s="1" t="str">
        <f>IFERROR(__xludf.DUMMYFUNCTION("""COMPUTED_VALUE"""),"To meet friends")</f>
        <v>To meet friends</v>
      </c>
      <c r="T109" s="1"/>
      <c r="U109" s="1" t="str">
        <f>IFERROR(__xludf.DUMMYFUNCTION("""COMPUTED_VALUE"""),"Atmosphere")</f>
        <v>Atmosphere</v>
      </c>
      <c r="V109" s="1"/>
      <c r="W109" s="1" t="str">
        <f>IFERROR(__xludf.DUMMYFUNCTION("""COMPUTED_VALUE"""),"No")</f>
        <v>No</v>
      </c>
      <c r="X109" s="1" t="str">
        <f>IFERROR(__xludf.DUMMYFUNCTION("""COMPUTED_VALUE"""),"Yes,  Japanese")</f>
        <v>Yes,  Japanese</v>
      </c>
      <c r="Y109" s="1">
        <f>IFERROR(__xludf.DUMMYFUNCTION("""COMPUTED_VALUE"""),6.0)</f>
        <v>6</v>
      </c>
      <c r="Z109" s="1">
        <f>IFERROR(__xludf.DUMMYFUNCTION("""COMPUTED_VALUE"""),6.0)</f>
        <v>6</v>
      </c>
      <c r="AA109" s="1">
        <f>IFERROR(__xludf.DUMMYFUNCTION("""COMPUTED_VALUE"""),4.0)</f>
        <v>4</v>
      </c>
      <c r="AB109" s="1" t="str">
        <f>IFERROR(__xludf.DUMMYFUNCTION("""COMPUTED_VALUE"""),"No")</f>
        <v>No</v>
      </c>
      <c r="AC109" s="1"/>
    </row>
    <row r="110">
      <c r="A110" s="1" t="str">
        <f>IFERROR(__xludf.DUMMYFUNCTION("""COMPUTED_VALUE"""),"Ekpr5r4")</f>
        <v>Ekpr5r4</v>
      </c>
      <c r="B110" s="1" t="str">
        <f>IFERROR(__xludf.DUMMYFUNCTION("""COMPUTED_VALUE"""),"D41BQOZ")</f>
        <v>D41BQOZ</v>
      </c>
      <c r="C110" s="5">
        <f>IFERROR(__xludf.DUMMYFUNCTION("""COMPUTED_VALUE"""),46063.376122685186)</f>
        <v>46063.37612</v>
      </c>
      <c r="D110" s="1" t="str">
        <f>IFERROR(__xludf.DUMMYFUNCTION("""COMPUTED_VALUE"""),"65+")</f>
        <v>65+</v>
      </c>
      <c r="E110" s="1" t="str">
        <f>IFERROR(__xludf.DUMMYFUNCTION("""COMPUTED_VALUE"""),"Male")</f>
        <v>Male</v>
      </c>
      <c r="F110" s="1" t="str">
        <f>IFERROR(__xludf.DUMMYFUNCTION("""COMPUTED_VALUE"""),"¥12,000,000 or more")</f>
        <v>¥12,000,000 or more</v>
      </c>
      <c r="G110" s="1" t="str">
        <f>IFERROR(__xludf.DUMMYFUNCTION("""COMPUTED_VALUE"""),"Kanto")</f>
        <v>Kanto</v>
      </c>
      <c r="H110" s="1" t="str">
        <f>IFERROR(__xludf.DUMMYFUNCTION("""COMPUTED_VALUE"""),"Rarely")</f>
        <v>Rarely</v>
      </c>
      <c r="I110" s="1" t="str">
        <f>IFERROR(__xludf.DUMMYFUNCTION("""COMPUTED_VALUE"""),"I don't drink coffee")</f>
        <v>I don't drink coffee</v>
      </c>
      <c r="J110" s="1"/>
      <c r="K110" s="1" t="str">
        <f>IFERROR(__xludf.DUMMYFUNCTION("""COMPUTED_VALUE"""),"Rarely")</f>
        <v>Rarely</v>
      </c>
      <c r="L110" s="1" t="str">
        <f>IFERROR(__xludf.DUMMYFUNCTION("""COMPUTED_VALUE"""),"I don’t drink matcha")</f>
        <v>I don’t drink matcha</v>
      </c>
      <c r="M110" s="1"/>
      <c r="N110" s="1" t="str">
        <f>IFERROR(__xludf.DUMMYFUNCTION("""COMPUTED_VALUE"""),"Taste/Flavor")</f>
        <v>Taste/Flavor</v>
      </c>
      <c r="O110" s="1"/>
      <c r="P110" s="1" t="str">
        <f>IFERROR(__xludf.DUMMYFUNCTION("""COMPUTED_VALUE"""),"At home")</f>
        <v>At home</v>
      </c>
      <c r="Q110" s="1"/>
      <c r="R110" s="1" t="str">
        <f>IFERROR(__xludf.DUMMYFUNCTION("""COMPUTED_VALUE"""),"Rarely")</f>
        <v>Rarely</v>
      </c>
      <c r="S110" s="1" t="str">
        <f>IFERROR(__xludf.DUMMYFUNCTION("""COMPUTED_VALUE"""),"")</f>
        <v/>
      </c>
      <c r="T110" s="1"/>
      <c r="U110" s="1" t="str">
        <f>IFERROR(__xludf.DUMMYFUNCTION("""COMPUTED_VALUE"""),"Quality of drinks")</f>
        <v>Quality of drinks</v>
      </c>
      <c r="V110" s="1"/>
      <c r="W110" s="1" t="str">
        <f>IFERROR(__xludf.DUMMYFUNCTION("""COMPUTED_VALUE"""),"No")</f>
        <v>No</v>
      </c>
      <c r="X110" s="1" t="str">
        <f>IFERROR(__xludf.DUMMYFUNCTION("""COMPUTED_VALUE"""),"Yes,  Japanese")</f>
        <v>Yes,  Japanese</v>
      </c>
      <c r="Y110" s="1">
        <f>IFERROR(__xludf.DUMMYFUNCTION("""COMPUTED_VALUE"""),7.0)</f>
        <v>7</v>
      </c>
      <c r="Z110" s="1">
        <f>IFERROR(__xludf.DUMMYFUNCTION("""COMPUTED_VALUE"""),2.0)</f>
        <v>2</v>
      </c>
      <c r="AA110" s="1">
        <f>IFERROR(__xludf.DUMMYFUNCTION("""COMPUTED_VALUE"""),5.0)</f>
        <v>5</v>
      </c>
      <c r="AB110" s="1" t="str">
        <f>IFERROR(__xludf.DUMMYFUNCTION("""COMPUTED_VALUE"""),"No")</f>
        <v>No</v>
      </c>
      <c r="AC11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235</v>
      </c>
      <c r="B1" s="3" t="s">
        <v>236</v>
      </c>
      <c r="C1" s="3" t="s">
        <v>237</v>
      </c>
      <c r="D1" s="3" t="s">
        <v>238</v>
      </c>
      <c r="E1" s="3" t="s">
        <v>239</v>
      </c>
      <c r="F1" s="3" t="s">
        <v>240</v>
      </c>
    </row>
    <row r="2">
      <c r="A2" s="6" t="s">
        <v>241</v>
      </c>
      <c r="B2" s="6" t="s">
        <v>242</v>
      </c>
      <c r="C2" s="6" t="s">
        <v>243</v>
      </c>
      <c r="D2" s="6" t="s">
        <v>244</v>
      </c>
    </row>
    <row r="3">
      <c r="A3" s="1" t="s">
        <v>245</v>
      </c>
      <c r="C3" s="1" t="s">
        <v>244</v>
      </c>
    </row>
    <row r="4">
      <c r="A4" s="1" t="s">
        <v>245</v>
      </c>
      <c r="C4" s="1" t="s">
        <v>243</v>
      </c>
    </row>
    <row r="5">
      <c r="A5" s="1" t="s">
        <v>245</v>
      </c>
      <c r="C5" s="1" t="s">
        <v>244</v>
      </c>
    </row>
    <row r="6">
      <c r="A6" s="1" t="s">
        <v>246</v>
      </c>
      <c r="C6" s="1" t="s">
        <v>244</v>
      </c>
    </row>
    <row r="7">
      <c r="A7" s="6" t="s">
        <v>247</v>
      </c>
      <c r="B7" s="6" t="s">
        <v>241</v>
      </c>
      <c r="C7" s="1" t="s">
        <v>243</v>
      </c>
    </row>
    <row r="8">
      <c r="A8" s="1" t="s">
        <v>241</v>
      </c>
      <c r="C8" s="6" t="s">
        <v>244</v>
      </c>
      <c r="D8" s="6" t="s">
        <v>243</v>
      </c>
      <c r="E8" s="6" t="s">
        <v>248</v>
      </c>
      <c r="F8" s="6" t="s">
        <v>249</v>
      </c>
    </row>
    <row r="9">
      <c r="A9" s="1" t="s">
        <v>250</v>
      </c>
      <c r="C9" s="1" t="s">
        <v>243</v>
      </c>
    </row>
    <row r="10">
      <c r="A10" s="6" t="s">
        <v>245</v>
      </c>
      <c r="B10" s="6" t="s">
        <v>251</v>
      </c>
      <c r="C10" s="6" t="s">
        <v>243</v>
      </c>
      <c r="D10" s="6" t="s">
        <v>244</v>
      </c>
    </row>
    <row r="11">
      <c r="A11" s="6" t="s">
        <v>252</v>
      </c>
      <c r="B11" s="6" t="s">
        <v>241</v>
      </c>
      <c r="C11" s="1" t="s">
        <v>243</v>
      </c>
    </row>
    <row r="12">
      <c r="A12" s="1" t="s">
        <v>245</v>
      </c>
      <c r="C12" s="6" t="s">
        <v>244</v>
      </c>
      <c r="D12" s="6" t="s">
        <v>243</v>
      </c>
    </row>
    <row r="13">
      <c r="A13" s="6" t="s">
        <v>241</v>
      </c>
      <c r="B13" s="6" t="s">
        <v>245</v>
      </c>
      <c r="C13" s="6" t="s">
        <v>244</v>
      </c>
      <c r="D13" s="6" t="s">
        <v>243</v>
      </c>
    </row>
    <row r="14">
      <c r="A14" s="1" t="s">
        <v>252</v>
      </c>
      <c r="C14" s="6" t="s">
        <v>244</v>
      </c>
      <c r="D14" s="6" t="s">
        <v>54</v>
      </c>
    </row>
    <row r="15">
      <c r="A15" s="6" t="s">
        <v>245</v>
      </c>
      <c r="C15" s="6" t="s">
        <v>243</v>
      </c>
      <c r="D15" s="6" t="s">
        <v>244</v>
      </c>
      <c r="E15" s="6" t="s">
        <v>248</v>
      </c>
    </row>
    <row r="16">
      <c r="A16" s="6" t="s">
        <v>245</v>
      </c>
      <c r="B16" s="6" t="s">
        <v>252</v>
      </c>
      <c r="C16" s="6" t="s">
        <v>244</v>
      </c>
      <c r="D16" s="6" t="s">
        <v>243</v>
      </c>
      <c r="E16" s="6" t="s">
        <v>248</v>
      </c>
    </row>
    <row r="17">
      <c r="A17" s="6" t="s">
        <v>241</v>
      </c>
      <c r="B17" s="6" t="s">
        <v>205</v>
      </c>
      <c r="C17" s="6" t="s">
        <v>243</v>
      </c>
      <c r="D17" s="6" t="s">
        <v>244</v>
      </c>
    </row>
    <row r="18">
      <c r="A18" s="6" t="s">
        <v>245</v>
      </c>
      <c r="B18" s="6" t="s">
        <v>252</v>
      </c>
      <c r="C18" s="6" t="s">
        <v>243</v>
      </c>
      <c r="D18" s="6" t="s">
        <v>244</v>
      </c>
    </row>
    <row r="19">
      <c r="A19" s="6" t="s">
        <v>247</v>
      </c>
      <c r="B19" s="6" t="s">
        <v>252</v>
      </c>
      <c r="C19" s="1" t="s">
        <v>244</v>
      </c>
    </row>
    <row r="20">
      <c r="A20" s="6" t="s">
        <v>245</v>
      </c>
      <c r="B20" s="6" t="s">
        <v>253</v>
      </c>
      <c r="C20" s="6" t="s">
        <v>244</v>
      </c>
      <c r="D20" s="6" t="s">
        <v>243</v>
      </c>
    </row>
    <row r="21">
      <c r="A21" s="6" t="s">
        <v>245</v>
      </c>
      <c r="B21" s="6" t="s">
        <v>241</v>
      </c>
    </row>
    <row r="22">
      <c r="A22" s="1" t="s">
        <v>254</v>
      </c>
      <c r="C22" s="1" t="s">
        <v>243</v>
      </c>
    </row>
    <row r="23">
      <c r="A23" s="6" t="s">
        <v>251</v>
      </c>
      <c r="B23" s="6" t="s">
        <v>245</v>
      </c>
      <c r="C23" s="1" t="s">
        <v>243</v>
      </c>
    </row>
    <row r="24">
      <c r="A24" s="6" t="s">
        <v>245</v>
      </c>
      <c r="B24" s="6" t="s">
        <v>255</v>
      </c>
      <c r="C24" s="6" t="s">
        <v>244</v>
      </c>
      <c r="D24" s="6" t="s">
        <v>243</v>
      </c>
    </row>
    <row r="25">
      <c r="A25" s="6" t="s">
        <v>252</v>
      </c>
      <c r="B25" s="6" t="s">
        <v>241</v>
      </c>
      <c r="C25" s="1" t="s">
        <v>244</v>
      </c>
    </row>
    <row r="26">
      <c r="A26" s="6" t="s">
        <v>245</v>
      </c>
      <c r="B26" s="6" t="s">
        <v>241</v>
      </c>
      <c r="C26" s="6" t="s">
        <v>244</v>
      </c>
      <c r="D26" s="6" t="s">
        <v>243</v>
      </c>
    </row>
    <row r="27">
      <c r="A27" s="6" t="s">
        <v>245</v>
      </c>
      <c r="B27" s="6" t="s">
        <v>255</v>
      </c>
      <c r="C27" s="1" t="s">
        <v>243</v>
      </c>
    </row>
    <row r="28">
      <c r="A28" s="6" t="s">
        <v>252</v>
      </c>
      <c r="B28" s="6" t="s">
        <v>245</v>
      </c>
      <c r="C28" s="6" t="s">
        <v>243</v>
      </c>
      <c r="D28" s="6" t="s">
        <v>244</v>
      </c>
      <c r="E28" s="6" t="s">
        <v>248</v>
      </c>
      <c r="F28" s="6" t="s">
        <v>249</v>
      </c>
    </row>
    <row r="29">
      <c r="A29" s="1" t="s">
        <v>256</v>
      </c>
      <c r="C29" s="1" t="s">
        <v>243</v>
      </c>
    </row>
    <row r="30">
      <c r="A30" s="6" t="s">
        <v>241</v>
      </c>
      <c r="B30" s="6" t="s">
        <v>257</v>
      </c>
      <c r="C30" s="6" t="s">
        <v>243</v>
      </c>
      <c r="D30" s="6" t="s">
        <v>244</v>
      </c>
    </row>
    <row r="31">
      <c r="A31" s="1" t="s">
        <v>245</v>
      </c>
      <c r="C31" s="1" t="s">
        <v>54</v>
      </c>
    </row>
    <row r="32">
      <c r="A32" s="6" t="s">
        <v>252</v>
      </c>
      <c r="B32" s="6" t="s">
        <v>241</v>
      </c>
      <c r="C32" s="6" t="s">
        <v>249</v>
      </c>
      <c r="D32" s="6" t="s">
        <v>244</v>
      </c>
      <c r="E32" s="6" t="s">
        <v>243</v>
      </c>
    </row>
    <row r="33">
      <c r="A33" s="6" t="s">
        <v>245</v>
      </c>
      <c r="B33" s="6" t="s">
        <v>242</v>
      </c>
    </row>
    <row r="34">
      <c r="A34" s="6" t="s">
        <v>255</v>
      </c>
      <c r="B34" s="6" t="s">
        <v>258</v>
      </c>
      <c r="C34" s="6" t="s">
        <v>243</v>
      </c>
      <c r="D34" s="6" t="s">
        <v>244</v>
      </c>
      <c r="E34" s="6" t="s">
        <v>54</v>
      </c>
    </row>
    <row r="35">
      <c r="A35" s="6" t="s">
        <v>252</v>
      </c>
      <c r="B35" s="6" t="s">
        <v>245</v>
      </c>
      <c r="C35" s="1" t="s">
        <v>243</v>
      </c>
    </row>
    <row r="36">
      <c r="A36" s="6" t="s">
        <v>252</v>
      </c>
      <c r="B36" s="6" t="s">
        <v>245</v>
      </c>
      <c r="C36" s="6" t="s">
        <v>243</v>
      </c>
      <c r="D36" s="6" t="s">
        <v>244</v>
      </c>
      <c r="E36" s="6" t="s">
        <v>248</v>
      </c>
      <c r="F36" s="6" t="s">
        <v>249</v>
      </c>
    </row>
    <row r="37">
      <c r="A37" s="6" t="s">
        <v>245</v>
      </c>
      <c r="B37" s="6" t="s">
        <v>250</v>
      </c>
      <c r="C37" s="6" t="s">
        <v>243</v>
      </c>
      <c r="D37" s="6" t="s">
        <v>244</v>
      </c>
    </row>
    <row r="38">
      <c r="A38" s="1" t="s">
        <v>259</v>
      </c>
      <c r="C38" s="6" t="s">
        <v>243</v>
      </c>
      <c r="D38" s="6" t="s">
        <v>244</v>
      </c>
    </row>
    <row r="39">
      <c r="A39" s="6" t="s">
        <v>252</v>
      </c>
      <c r="B39" s="6" t="s">
        <v>255</v>
      </c>
      <c r="C39" s="6" t="s">
        <v>243</v>
      </c>
      <c r="D39" s="6" t="s">
        <v>244</v>
      </c>
    </row>
    <row r="40">
      <c r="A40" s="1" t="s">
        <v>54</v>
      </c>
      <c r="C40" s="6" t="s">
        <v>244</v>
      </c>
      <c r="D40" s="6" t="s">
        <v>243</v>
      </c>
    </row>
    <row r="41">
      <c r="A41" s="6" t="s">
        <v>245</v>
      </c>
      <c r="B41" s="6" t="s">
        <v>242</v>
      </c>
      <c r="C41" s="1" t="s">
        <v>243</v>
      </c>
    </row>
    <row r="42">
      <c r="A42" s="6" t="s">
        <v>245</v>
      </c>
      <c r="B42" s="6" t="s">
        <v>260</v>
      </c>
      <c r="C42" s="6" t="s">
        <v>244</v>
      </c>
      <c r="D42" s="6" t="s">
        <v>248</v>
      </c>
      <c r="E42" s="6" t="s">
        <v>249</v>
      </c>
    </row>
    <row r="43">
      <c r="A43" s="6" t="s">
        <v>245</v>
      </c>
      <c r="B43" s="6" t="s">
        <v>241</v>
      </c>
      <c r="C43" s="6" t="s">
        <v>244</v>
      </c>
      <c r="D43" s="6" t="s">
        <v>243</v>
      </c>
    </row>
    <row r="44">
      <c r="A44" s="6" t="s">
        <v>252</v>
      </c>
      <c r="B44" s="6" t="s">
        <v>247</v>
      </c>
      <c r="C44" s="6" t="s">
        <v>244</v>
      </c>
      <c r="D44" s="6" t="s">
        <v>249</v>
      </c>
      <c r="E44" s="6" t="s">
        <v>248</v>
      </c>
    </row>
    <row r="45">
      <c r="A45" s="6" t="s">
        <v>245</v>
      </c>
      <c r="B45" s="6" t="s">
        <v>255</v>
      </c>
      <c r="C45" s="6" t="s">
        <v>243</v>
      </c>
      <c r="D45" s="6" t="s">
        <v>244</v>
      </c>
      <c r="E45" s="6" t="s">
        <v>248</v>
      </c>
    </row>
    <row r="46">
      <c r="A46" s="1" t="s">
        <v>261</v>
      </c>
      <c r="C46" s="1" t="s">
        <v>249</v>
      </c>
    </row>
    <row r="47">
      <c r="A47" s="6" t="s">
        <v>245</v>
      </c>
      <c r="B47" s="6" t="s">
        <v>252</v>
      </c>
      <c r="C47" s="6" t="s">
        <v>243</v>
      </c>
      <c r="D47" s="6" t="s">
        <v>54</v>
      </c>
    </row>
    <row r="48">
      <c r="A48" s="6" t="s">
        <v>245</v>
      </c>
      <c r="B48" s="6" t="s">
        <v>251</v>
      </c>
      <c r="C48" s="6" t="s">
        <v>249</v>
      </c>
      <c r="D48" s="6" t="s">
        <v>248</v>
      </c>
    </row>
    <row r="49">
      <c r="A49" s="6" t="s">
        <v>255</v>
      </c>
      <c r="B49" s="6" t="s">
        <v>245</v>
      </c>
      <c r="C49" s="1" t="s">
        <v>244</v>
      </c>
    </row>
    <row r="50">
      <c r="A50" s="6" t="s">
        <v>245</v>
      </c>
      <c r="B50" s="6" t="s">
        <v>252</v>
      </c>
      <c r="C50" s="6" t="s">
        <v>243</v>
      </c>
      <c r="D50" s="6" t="s">
        <v>244</v>
      </c>
    </row>
    <row r="51">
      <c r="A51" s="1" t="s">
        <v>245</v>
      </c>
      <c r="C51" s="1" t="s">
        <v>243</v>
      </c>
    </row>
    <row r="52">
      <c r="A52" s="1" t="s">
        <v>245</v>
      </c>
      <c r="C52" s="1" t="s">
        <v>244</v>
      </c>
    </row>
    <row r="53">
      <c r="A53" s="1" t="s">
        <v>245</v>
      </c>
      <c r="C53" s="6" t="s">
        <v>243</v>
      </c>
      <c r="D53" s="6" t="s">
        <v>244</v>
      </c>
    </row>
    <row r="54">
      <c r="A54" s="1" t="s">
        <v>245</v>
      </c>
      <c r="C54" s="1" t="s">
        <v>243</v>
      </c>
    </row>
    <row r="55">
      <c r="A55" s="1" t="s">
        <v>245</v>
      </c>
      <c r="C55" s="6" t="s">
        <v>243</v>
      </c>
      <c r="D55" s="6" t="s">
        <v>248</v>
      </c>
    </row>
    <row r="56">
      <c r="A56" s="1" t="s">
        <v>245</v>
      </c>
      <c r="C56" s="1" t="s">
        <v>243</v>
      </c>
    </row>
    <row r="57">
      <c r="A57" s="1" t="s">
        <v>54</v>
      </c>
      <c r="C57" s="6" t="s">
        <v>243</v>
      </c>
      <c r="D57" s="6" t="s">
        <v>244</v>
      </c>
    </row>
    <row r="58">
      <c r="A58" s="6" t="s">
        <v>245</v>
      </c>
      <c r="B58" s="6" t="s">
        <v>251</v>
      </c>
      <c r="C58" s="6" t="s">
        <v>244</v>
      </c>
      <c r="D58" s="6" t="s">
        <v>249</v>
      </c>
    </row>
    <row r="59">
      <c r="A59" s="6" t="s">
        <v>241</v>
      </c>
      <c r="B59" s="6" t="s">
        <v>245</v>
      </c>
      <c r="C59" s="6" t="s">
        <v>244</v>
      </c>
      <c r="D59" s="6" t="s">
        <v>54</v>
      </c>
    </row>
    <row r="60">
      <c r="A60" s="6" t="s">
        <v>252</v>
      </c>
      <c r="B60" s="6" t="s">
        <v>245</v>
      </c>
      <c r="C60" s="1" t="s">
        <v>104</v>
      </c>
    </row>
    <row r="61">
      <c r="A61" s="1" t="s">
        <v>241</v>
      </c>
      <c r="C61" s="1" t="s">
        <v>243</v>
      </c>
    </row>
    <row r="62">
      <c r="A62" s="6" t="s">
        <v>54</v>
      </c>
      <c r="B62" s="6" t="s">
        <v>241</v>
      </c>
      <c r="C62" s="1" t="s">
        <v>104</v>
      </c>
    </row>
    <row r="63">
      <c r="A63" s="6" t="s">
        <v>242</v>
      </c>
      <c r="B63" s="6" t="s">
        <v>245</v>
      </c>
      <c r="C63" s="1" t="s">
        <v>54</v>
      </c>
    </row>
    <row r="64">
      <c r="A64" s="6" t="s">
        <v>241</v>
      </c>
      <c r="B64" s="6" t="s">
        <v>245</v>
      </c>
      <c r="C64" s="6" t="s">
        <v>54</v>
      </c>
      <c r="D64" s="6" t="s">
        <v>244</v>
      </c>
    </row>
    <row r="65">
      <c r="A65" s="1" t="s">
        <v>245</v>
      </c>
      <c r="C65" s="6" t="s">
        <v>244</v>
      </c>
      <c r="D65" s="6" t="s">
        <v>243</v>
      </c>
      <c r="E65" s="6" t="s">
        <v>248</v>
      </c>
      <c r="F65" s="6" t="s">
        <v>249</v>
      </c>
    </row>
    <row r="66">
      <c r="A66" s="1" t="s">
        <v>251</v>
      </c>
      <c r="C66" s="1" t="s">
        <v>244</v>
      </c>
    </row>
    <row r="67">
      <c r="A67" s="6" t="s">
        <v>241</v>
      </c>
      <c r="B67" s="6" t="s">
        <v>245</v>
      </c>
      <c r="C67" s="6" t="s">
        <v>244</v>
      </c>
      <c r="D67" s="6" t="s">
        <v>248</v>
      </c>
    </row>
    <row r="68">
      <c r="A68" s="6" t="s">
        <v>245</v>
      </c>
      <c r="B68" s="6" t="s">
        <v>247</v>
      </c>
      <c r="C68" s="6" t="s">
        <v>248</v>
      </c>
      <c r="D68" s="6" t="s">
        <v>54</v>
      </c>
    </row>
    <row r="69">
      <c r="A69" s="6" t="s">
        <v>245</v>
      </c>
      <c r="B69" s="6" t="s">
        <v>255</v>
      </c>
      <c r="C69" s="6" t="s">
        <v>243</v>
      </c>
      <c r="D69" s="6" t="s">
        <v>244</v>
      </c>
      <c r="E69" s="6" t="s">
        <v>248</v>
      </c>
      <c r="F69" s="6" t="s">
        <v>249</v>
      </c>
    </row>
    <row r="70">
      <c r="A70" s="6" t="s">
        <v>54</v>
      </c>
      <c r="B70" s="6" t="s">
        <v>245</v>
      </c>
      <c r="C70" s="6" t="s">
        <v>243</v>
      </c>
      <c r="D70" s="6" t="s">
        <v>244</v>
      </c>
      <c r="E70" s="6" t="s">
        <v>248</v>
      </c>
      <c r="F70" s="6" t="s">
        <v>249</v>
      </c>
    </row>
    <row r="71">
      <c r="A71" s="6" t="s">
        <v>245</v>
      </c>
      <c r="B71" s="6" t="s">
        <v>241</v>
      </c>
      <c r="C71" s="6" t="s">
        <v>243</v>
      </c>
      <c r="D71" s="6" t="s">
        <v>244</v>
      </c>
      <c r="E71" s="6" t="s">
        <v>248</v>
      </c>
    </row>
    <row r="72">
      <c r="A72" s="1" t="s">
        <v>241</v>
      </c>
      <c r="C72" s="1" t="s">
        <v>104</v>
      </c>
    </row>
    <row r="73">
      <c r="A73" s="6" t="s">
        <v>245</v>
      </c>
      <c r="B73" s="6" t="s">
        <v>241</v>
      </c>
      <c r="C73" s="1" t="s">
        <v>244</v>
      </c>
    </row>
    <row r="74">
      <c r="A74" s="6" t="s">
        <v>245</v>
      </c>
      <c r="B74" s="6" t="s">
        <v>258</v>
      </c>
      <c r="C74" s="1" t="s">
        <v>243</v>
      </c>
    </row>
    <row r="75">
      <c r="A75" s="6" t="s">
        <v>245</v>
      </c>
      <c r="B75" s="6" t="s">
        <v>242</v>
      </c>
      <c r="C75" s="1" t="s">
        <v>244</v>
      </c>
    </row>
    <row r="76">
      <c r="A76" s="6" t="s">
        <v>245</v>
      </c>
      <c r="B76" s="6" t="s">
        <v>241</v>
      </c>
      <c r="C76" s="1" t="s">
        <v>104</v>
      </c>
    </row>
    <row r="77">
      <c r="A77" s="1" t="s">
        <v>245</v>
      </c>
      <c r="C77" s="1" t="s">
        <v>244</v>
      </c>
    </row>
    <row r="78">
      <c r="A78" s="6" t="s">
        <v>241</v>
      </c>
      <c r="B78" s="6" t="s">
        <v>245</v>
      </c>
      <c r="C78" s="6" t="s">
        <v>244</v>
      </c>
      <c r="D78" s="6" t="s">
        <v>243</v>
      </c>
    </row>
    <row r="79">
      <c r="A79" s="1" t="s">
        <v>245</v>
      </c>
      <c r="C79" s="1" t="s">
        <v>243</v>
      </c>
    </row>
    <row r="80">
      <c r="A80" s="1" t="s">
        <v>242</v>
      </c>
      <c r="C80" s="1" t="s">
        <v>243</v>
      </c>
    </row>
    <row r="81">
      <c r="A81" s="6" t="s">
        <v>245</v>
      </c>
      <c r="B81" s="6" t="s">
        <v>255</v>
      </c>
      <c r="C81" s="1" t="s">
        <v>243</v>
      </c>
    </row>
    <row r="82">
      <c r="A82" s="1" t="s">
        <v>104</v>
      </c>
      <c r="B82" s="1" t="s">
        <v>104</v>
      </c>
      <c r="C82" s="1" t="s">
        <v>243</v>
      </c>
    </row>
    <row r="83">
      <c r="A83" s="1" t="s">
        <v>251</v>
      </c>
      <c r="C83" s="1" t="s">
        <v>244</v>
      </c>
    </row>
    <row r="84">
      <c r="A84" s="1" t="s">
        <v>241</v>
      </c>
      <c r="C84" s="1" t="s">
        <v>243</v>
      </c>
    </row>
    <row r="85">
      <c r="A85" s="1" t="s">
        <v>241</v>
      </c>
      <c r="C85" s="1" t="s">
        <v>54</v>
      </c>
    </row>
    <row r="86">
      <c r="A86" s="1" t="s">
        <v>241</v>
      </c>
      <c r="C86" s="6" t="s">
        <v>244</v>
      </c>
      <c r="D86" s="6" t="s">
        <v>243</v>
      </c>
      <c r="E86" s="6" t="s">
        <v>248</v>
      </c>
      <c r="F86" s="6" t="s">
        <v>249</v>
      </c>
    </row>
    <row r="87">
      <c r="A87" s="6" t="s">
        <v>245</v>
      </c>
      <c r="B87" s="6" t="s">
        <v>252</v>
      </c>
      <c r="C87" s="6" t="s">
        <v>243</v>
      </c>
      <c r="D87" s="6" t="s">
        <v>244</v>
      </c>
      <c r="E87" s="6" t="s">
        <v>248</v>
      </c>
    </row>
    <row r="88">
      <c r="A88" s="6" t="s">
        <v>241</v>
      </c>
      <c r="B88" s="6" t="s">
        <v>54</v>
      </c>
      <c r="C88" s="6" t="s">
        <v>243</v>
      </c>
      <c r="D88" s="6" t="s">
        <v>54</v>
      </c>
    </row>
    <row r="89">
      <c r="A89" s="6" t="s">
        <v>245</v>
      </c>
      <c r="B89" s="6" t="s">
        <v>252</v>
      </c>
      <c r="C89" s="1" t="s">
        <v>243</v>
      </c>
    </row>
    <row r="90">
      <c r="A90" s="6" t="s">
        <v>245</v>
      </c>
      <c r="B90" s="6" t="s">
        <v>242</v>
      </c>
      <c r="C90" s="6" t="s">
        <v>244</v>
      </c>
      <c r="D90" s="6" t="s">
        <v>243</v>
      </c>
    </row>
    <row r="91">
      <c r="A91" s="6" t="s">
        <v>245</v>
      </c>
      <c r="B91" s="6" t="s">
        <v>250</v>
      </c>
      <c r="C91" s="1" t="s">
        <v>243</v>
      </c>
    </row>
    <row r="92">
      <c r="A92" s="6" t="s">
        <v>241</v>
      </c>
      <c r="B92" s="6" t="s">
        <v>255</v>
      </c>
      <c r="C92" s="1" t="s">
        <v>104</v>
      </c>
    </row>
    <row r="93">
      <c r="A93" s="1" t="s">
        <v>242</v>
      </c>
      <c r="C93" s="1" t="s">
        <v>244</v>
      </c>
    </row>
    <row r="94">
      <c r="A94" s="6" t="s">
        <v>245</v>
      </c>
      <c r="B94" s="6" t="s">
        <v>241</v>
      </c>
      <c r="C94" s="6" t="s">
        <v>244</v>
      </c>
      <c r="D94" s="6" t="s">
        <v>248</v>
      </c>
      <c r="E94" s="6" t="s">
        <v>243</v>
      </c>
    </row>
    <row r="95">
      <c r="A95" s="6" t="s">
        <v>245</v>
      </c>
      <c r="B95" s="6" t="s">
        <v>241</v>
      </c>
      <c r="C95" s="6" t="s">
        <v>243</v>
      </c>
      <c r="D95" s="6" t="s">
        <v>244</v>
      </c>
    </row>
    <row r="96">
      <c r="A96" s="6" t="s">
        <v>258</v>
      </c>
      <c r="B96" s="6" t="s">
        <v>245</v>
      </c>
      <c r="C96" s="1" t="s">
        <v>243</v>
      </c>
    </row>
    <row r="97">
      <c r="A97" s="6" t="s">
        <v>54</v>
      </c>
      <c r="B97" s="6" t="s">
        <v>245</v>
      </c>
      <c r="C97" s="6" t="s">
        <v>244</v>
      </c>
      <c r="D97" s="6" t="s">
        <v>248</v>
      </c>
    </row>
    <row r="98">
      <c r="A98" s="6" t="s">
        <v>241</v>
      </c>
      <c r="B98" s="6" t="s">
        <v>258</v>
      </c>
      <c r="C98" s="1" t="s">
        <v>244</v>
      </c>
    </row>
    <row r="99">
      <c r="A99" s="6" t="s">
        <v>245</v>
      </c>
      <c r="B99" s="6" t="s">
        <v>255</v>
      </c>
      <c r="C99" s="6" t="s">
        <v>243</v>
      </c>
      <c r="D99" s="6" t="s">
        <v>54</v>
      </c>
    </row>
    <row r="100">
      <c r="A100" s="1" t="s">
        <v>245</v>
      </c>
      <c r="C100" s="6" t="s">
        <v>244</v>
      </c>
      <c r="D100" s="6" t="s">
        <v>243</v>
      </c>
      <c r="E100" s="6" t="s">
        <v>248</v>
      </c>
    </row>
    <row r="101">
      <c r="A101" s="1" t="s">
        <v>54</v>
      </c>
      <c r="C101" s="1" t="s">
        <v>248</v>
      </c>
    </row>
    <row r="102">
      <c r="A102" s="6" t="s">
        <v>252</v>
      </c>
      <c r="B102" s="6" t="s">
        <v>245</v>
      </c>
      <c r="C102" s="6" t="s">
        <v>248</v>
      </c>
      <c r="D102" s="6" t="s">
        <v>244</v>
      </c>
      <c r="E102" s="6" t="s">
        <v>243</v>
      </c>
    </row>
    <row r="103">
      <c r="A103" s="1" t="s">
        <v>245</v>
      </c>
      <c r="C103" s="6" t="s">
        <v>244</v>
      </c>
      <c r="D103" s="6" t="s">
        <v>248</v>
      </c>
    </row>
    <row r="104">
      <c r="A104" s="1" t="s">
        <v>241</v>
      </c>
      <c r="C104" s="1" t="s">
        <v>244</v>
      </c>
    </row>
    <row r="105">
      <c r="A105" s="6" t="s">
        <v>241</v>
      </c>
      <c r="B105" s="6" t="s">
        <v>245</v>
      </c>
      <c r="C105" s="6" t="s">
        <v>244</v>
      </c>
      <c r="D105" s="6" t="s">
        <v>248</v>
      </c>
    </row>
    <row r="106">
      <c r="A106" s="6" t="s">
        <v>245</v>
      </c>
      <c r="B106" s="6" t="s">
        <v>242</v>
      </c>
      <c r="C106" s="6" t="s">
        <v>244</v>
      </c>
      <c r="D106" s="6" t="s">
        <v>243</v>
      </c>
      <c r="E106" s="6" t="s">
        <v>248</v>
      </c>
    </row>
    <row r="107">
      <c r="A107" s="6" t="s">
        <v>241</v>
      </c>
      <c r="B107" s="6" t="s">
        <v>252</v>
      </c>
      <c r="C107" s="1" t="s">
        <v>244</v>
      </c>
    </row>
    <row r="108">
      <c r="A108" s="1" t="s">
        <v>245</v>
      </c>
      <c r="C108" s="6" t="s">
        <v>244</v>
      </c>
      <c r="D108" s="6" t="s">
        <v>248</v>
      </c>
    </row>
    <row r="109">
      <c r="A109" s="1" t="s">
        <v>54</v>
      </c>
      <c r="C109" s="1" t="s">
        <v>104</v>
      </c>
    </row>
    <row r="110">
      <c r="A110" s="1" t="s">
        <v>245</v>
      </c>
      <c r="C110" s="1" t="s">
        <v>244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262</v>
      </c>
      <c r="B1" s="6" t="s">
        <v>263</v>
      </c>
    </row>
    <row r="2">
      <c r="A2" s="6" t="s">
        <v>264</v>
      </c>
      <c r="B2" s="6" t="str">
        <f t="shared" ref="B2:B6" si="1">CONCATENATE(LEFT(A2,FIND("〜",A2) - 1),"-",MID(A2,FIND("〜",A2) + 1,5 - (FIND("〜",A2))))</f>
        <v>18-25</v>
      </c>
    </row>
    <row r="3">
      <c r="A3" s="6" t="s">
        <v>265</v>
      </c>
      <c r="B3" s="6" t="str">
        <f t="shared" si="1"/>
        <v>26-35</v>
      </c>
    </row>
    <row r="4">
      <c r="A4" s="6" t="s">
        <v>266</v>
      </c>
      <c r="B4" s="1" t="str">
        <f t="shared" si="1"/>
        <v>36-45</v>
      </c>
    </row>
    <row r="5">
      <c r="A5" s="6" t="s">
        <v>267</v>
      </c>
      <c r="B5" s="1" t="str">
        <f t="shared" si="1"/>
        <v>46-55</v>
      </c>
    </row>
    <row r="6">
      <c r="A6" s="6" t="s">
        <v>268</v>
      </c>
      <c r="B6" s="1" t="str">
        <f t="shared" si="1"/>
        <v>56-65</v>
      </c>
    </row>
    <row r="7">
      <c r="A7" s="6" t="s">
        <v>269</v>
      </c>
      <c r="B7" s="6" t="s">
        <v>85</v>
      </c>
    </row>
    <row r="8">
      <c r="A8" s="6" t="s">
        <v>270</v>
      </c>
      <c r="B8" s="6" t="s">
        <v>52</v>
      </c>
    </row>
    <row r="9">
      <c r="A9" s="1" t="s">
        <v>271</v>
      </c>
      <c r="B9" s="6" t="s">
        <v>42</v>
      </c>
    </row>
    <row r="10">
      <c r="A10" s="1" t="s">
        <v>272</v>
      </c>
      <c r="B10" s="6" t="s">
        <v>28</v>
      </c>
    </row>
    <row r="11">
      <c r="A11" s="6" t="s">
        <v>273</v>
      </c>
      <c r="B11" s="6" t="s">
        <v>274</v>
      </c>
    </row>
    <row r="12">
      <c r="A12" s="1" t="s">
        <v>270</v>
      </c>
      <c r="B12" s="6" t="s">
        <v>52</v>
      </c>
    </row>
    <row r="13">
      <c r="A13" s="6" t="s">
        <v>275</v>
      </c>
      <c r="B13" s="6" t="s">
        <v>29</v>
      </c>
    </row>
    <row r="14">
      <c r="A14" s="6" t="s">
        <v>276</v>
      </c>
      <c r="B14" s="6" t="s">
        <v>64</v>
      </c>
    </row>
    <row r="15">
      <c r="A15" s="6" t="s">
        <v>277</v>
      </c>
      <c r="B15" s="6" t="s">
        <v>43</v>
      </c>
    </row>
    <row r="16">
      <c r="A16" s="6" t="s">
        <v>278</v>
      </c>
      <c r="B16" s="6" t="s">
        <v>121</v>
      </c>
    </row>
    <row r="17">
      <c r="A17" s="6" t="s">
        <v>279</v>
      </c>
      <c r="B17" s="6" t="s">
        <v>89</v>
      </c>
    </row>
    <row r="18">
      <c r="A18" s="6" t="s">
        <v>270</v>
      </c>
      <c r="B18" s="6" t="s">
        <v>52</v>
      </c>
    </row>
    <row r="19">
      <c r="A19" s="6" t="s">
        <v>280</v>
      </c>
      <c r="B19" s="6" t="s">
        <v>147</v>
      </c>
    </row>
    <row r="20">
      <c r="A20" s="6" t="s">
        <v>281</v>
      </c>
      <c r="B20" s="6" t="s">
        <v>156</v>
      </c>
    </row>
    <row r="21">
      <c r="A21" s="6" t="s">
        <v>282</v>
      </c>
      <c r="B21" s="6" t="s">
        <v>30</v>
      </c>
    </row>
    <row r="22">
      <c r="A22" s="6" t="s">
        <v>283</v>
      </c>
      <c r="B22" s="6" t="s">
        <v>78</v>
      </c>
    </row>
    <row r="23">
      <c r="A23" s="6" t="s">
        <v>284</v>
      </c>
      <c r="B23" s="6" t="s">
        <v>90</v>
      </c>
    </row>
    <row r="24">
      <c r="A24" s="6" t="s">
        <v>285</v>
      </c>
      <c r="B24" s="6" t="s">
        <v>286</v>
      </c>
    </row>
    <row r="25">
      <c r="A25" s="6" t="s">
        <v>287</v>
      </c>
      <c r="B25" s="6" t="s">
        <v>288</v>
      </c>
    </row>
    <row r="26">
      <c r="A26" s="6" t="s">
        <v>289</v>
      </c>
      <c r="B26" s="6" t="s">
        <v>110</v>
      </c>
    </row>
    <row r="27">
      <c r="A27" s="6" t="s">
        <v>290</v>
      </c>
      <c r="B27" s="6" t="s">
        <v>291</v>
      </c>
    </row>
    <row r="28">
      <c r="A28" s="6" t="s">
        <v>292</v>
      </c>
      <c r="B28" s="6" t="s">
        <v>175</v>
      </c>
    </row>
    <row r="29">
      <c r="A29" s="6" t="s">
        <v>293</v>
      </c>
      <c r="B29" s="6" t="s">
        <v>44</v>
      </c>
    </row>
    <row r="30">
      <c r="A30" s="6" t="s">
        <v>294</v>
      </c>
      <c r="B30" s="6" t="s">
        <v>31</v>
      </c>
    </row>
    <row r="31">
      <c r="A31" s="6" t="s">
        <v>295</v>
      </c>
      <c r="B31" s="6" t="s">
        <v>69</v>
      </c>
    </row>
    <row r="32">
      <c r="A32" s="6" t="s">
        <v>296</v>
      </c>
      <c r="B32" s="6" t="s">
        <v>74</v>
      </c>
    </row>
    <row r="33">
      <c r="A33" s="6" t="s">
        <v>297</v>
      </c>
      <c r="B33" s="6" t="s">
        <v>103</v>
      </c>
    </row>
    <row r="34">
      <c r="A34" s="6" t="s">
        <v>298</v>
      </c>
      <c r="B34" s="6" t="s">
        <v>53</v>
      </c>
    </row>
    <row r="35">
      <c r="A35" s="6" t="s">
        <v>299</v>
      </c>
      <c r="B35" s="6" t="s">
        <v>32</v>
      </c>
    </row>
    <row r="36">
      <c r="A36" s="6" t="s">
        <v>300</v>
      </c>
      <c r="B36" s="6" t="s">
        <v>301</v>
      </c>
    </row>
    <row r="37">
      <c r="A37" s="6" t="s">
        <v>302</v>
      </c>
      <c r="B37" s="6" t="s">
        <v>65</v>
      </c>
    </row>
    <row r="38">
      <c r="A38" s="6" t="s">
        <v>303</v>
      </c>
      <c r="B38" s="6" t="s">
        <v>128</v>
      </c>
    </row>
    <row r="39">
      <c r="A39" s="6" t="s">
        <v>304</v>
      </c>
      <c r="B39" s="6" t="s">
        <v>305</v>
      </c>
    </row>
    <row r="40">
      <c r="A40" s="6" t="s">
        <v>306</v>
      </c>
      <c r="B40" s="6" t="s">
        <v>113</v>
      </c>
    </row>
    <row r="41">
      <c r="A41" s="6" t="s">
        <v>307</v>
      </c>
      <c r="B41" s="6" t="s">
        <v>172</v>
      </c>
    </row>
    <row r="42">
      <c r="A42" s="6" t="s">
        <v>308</v>
      </c>
      <c r="B42" s="6" t="s">
        <v>54</v>
      </c>
    </row>
    <row r="43">
      <c r="A43" s="6" t="s">
        <v>293</v>
      </c>
      <c r="B43" s="6" t="s">
        <v>309</v>
      </c>
    </row>
    <row r="44">
      <c r="A44" s="6" t="s">
        <v>294</v>
      </c>
      <c r="B44" s="6" t="s">
        <v>31</v>
      </c>
    </row>
    <row r="45">
      <c r="A45" s="6" t="s">
        <v>295</v>
      </c>
      <c r="B45" s="6" t="s">
        <v>69</v>
      </c>
    </row>
    <row r="46">
      <c r="A46" s="6" t="s">
        <v>296</v>
      </c>
      <c r="B46" s="6" t="s">
        <v>74</v>
      </c>
    </row>
    <row r="47">
      <c r="A47" s="6" t="s">
        <v>297</v>
      </c>
      <c r="B47" s="6" t="s">
        <v>103</v>
      </c>
    </row>
    <row r="48">
      <c r="A48" s="6" t="s">
        <v>310</v>
      </c>
      <c r="B48" s="6" t="s">
        <v>33</v>
      </c>
    </row>
    <row r="49">
      <c r="A49" s="6" t="s">
        <v>311</v>
      </c>
      <c r="B49" s="6" t="s">
        <v>45</v>
      </c>
    </row>
    <row r="50">
      <c r="A50" s="6" t="s">
        <v>312</v>
      </c>
      <c r="B50" s="6" t="s">
        <v>59</v>
      </c>
    </row>
    <row r="51">
      <c r="A51" s="6" t="s">
        <v>313</v>
      </c>
      <c r="B51" s="1" t="s">
        <v>91</v>
      </c>
    </row>
    <row r="52">
      <c r="A52" s="6" t="s">
        <v>314</v>
      </c>
      <c r="B52" s="6" t="s">
        <v>54</v>
      </c>
    </row>
    <row r="53">
      <c r="A53" s="6" t="s">
        <v>315</v>
      </c>
      <c r="B53" s="6" t="s">
        <v>245</v>
      </c>
    </row>
    <row r="54">
      <c r="A54" s="6" t="s">
        <v>316</v>
      </c>
      <c r="B54" s="6" t="s">
        <v>255</v>
      </c>
    </row>
    <row r="55">
      <c r="A55" s="6" t="s">
        <v>317</v>
      </c>
      <c r="B55" s="6" t="s">
        <v>252</v>
      </c>
    </row>
    <row r="56">
      <c r="A56" s="6" t="s">
        <v>318</v>
      </c>
      <c r="B56" s="6" t="s">
        <v>251</v>
      </c>
    </row>
    <row r="57">
      <c r="A57" s="6" t="s">
        <v>319</v>
      </c>
      <c r="B57" s="6" t="s">
        <v>242</v>
      </c>
    </row>
    <row r="58">
      <c r="A58" s="6" t="s">
        <v>320</v>
      </c>
      <c r="B58" s="6" t="s">
        <v>241</v>
      </c>
    </row>
    <row r="59">
      <c r="A59" s="6" t="s">
        <v>321</v>
      </c>
      <c r="B59" s="6" t="s">
        <v>258</v>
      </c>
    </row>
    <row r="60">
      <c r="A60" s="6" t="s">
        <v>322</v>
      </c>
      <c r="B60" s="6" t="s">
        <v>250</v>
      </c>
    </row>
    <row r="61">
      <c r="A61" s="6" t="s">
        <v>323</v>
      </c>
      <c r="B61" s="6" t="s">
        <v>247</v>
      </c>
    </row>
    <row r="62">
      <c r="A62" s="6" t="s">
        <v>314</v>
      </c>
      <c r="B62" s="6" t="s">
        <v>54</v>
      </c>
    </row>
    <row r="63">
      <c r="A63" s="6" t="s">
        <v>324</v>
      </c>
      <c r="B63" s="6" t="s">
        <v>243</v>
      </c>
    </row>
    <row r="64">
      <c r="A64" s="6" t="s">
        <v>325</v>
      </c>
      <c r="B64" s="6" t="s">
        <v>244</v>
      </c>
    </row>
    <row r="65">
      <c r="A65" s="6" t="s">
        <v>326</v>
      </c>
      <c r="B65" s="6" t="s">
        <v>248</v>
      </c>
    </row>
    <row r="66">
      <c r="A66" s="6" t="s">
        <v>327</v>
      </c>
      <c r="B66" s="6" t="s">
        <v>249</v>
      </c>
    </row>
    <row r="67">
      <c r="A67" s="6" t="s">
        <v>314</v>
      </c>
      <c r="B67" s="6" t="s">
        <v>54</v>
      </c>
    </row>
    <row r="68">
      <c r="A68" s="9" t="s">
        <v>328</v>
      </c>
      <c r="B68" s="6" t="s">
        <v>60</v>
      </c>
    </row>
    <row r="69">
      <c r="A69" s="9" t="s">
        <v>329</v>
      </c>
      <c r="B69" s="6" t="s">
        <v>74</v>
      </c>
    </row>
    <row r="70">
      <c r="A70" s="6">
        <v>1.0</v>
      </c>
      <c r="B70" s="6">
        <v>1.0</v>
      </c>
    </row>
    <row r="71">
      <c r="A71" s="6">
        <v>2.0</v>
      </c>
      <c r="B71" s="6">
        <v>2.0</v>
      </c>
    </row>
    <row r="72">
      <c r="A72" s="6">
        <v>3.0</v>
      </c>
      <c r="B72" s="6">
        <v>3.0</v>
      </c>
    </row>
    <row r="73">
      <c r="A73" s="6">
        <v>4.0</v>
      </c>
      <c r="B73" s="6">
        <v>4.0</v>
      </c>
    </row>
    <row r="74">
      <c r="A74" s="6">
        <v>5.0</v>
      </c>
      <c r="B74" s="6">
        <v>5.0</v>
      </c>
    </row>
    <row r="75">
      <c r="A75" s="6">
        <v>6.0</v>
      </c>
      <c r="B75" s="6">
        <v>6.0</v>
      </c>
    </row>
    <row r="76">
      <c r="A76" s="6">
        <v>7.0</v>
      </c>
      <c r="B76" s="6">
        <v>7.0</v>
      </c>
    </row>
    <row r="77">
      <c r="A77" s="9" t="s">
        <v>330</v>
      </c>
      <c r="B77" s="6" t="s">
        <v>38</v>
      </c>
    </row>
    <row r="78">
      <c r="A78" s="9" t="s">
        <v>331</v>
      </c>
      <c r="B78" s="6" t="s">
        <v>71</v>
      </c>
    </row>
    <row r="79">
      <c r="A79" s="9" t="s">
        <v>332</v>
      </c>
      <c r="B79" s="6" t="s">
        <v>36</v>
      </c>
    </row>
    <row r="80">
      <c r="A80" s="9" t="s">
        <v>333</v>
      </c>
      <c r="B80" s="6" t="s">
        <v>48</v>
      </c>
    </row>
    <row r="81">
      <c r="A81" s="9" t="s">
        <v>334</v>
      </c>
      <c r="B81" s="6" t="s">
        <v>37</v>
      </c>
    </row>
    <row r="82">
      <c r="A82" s="9" t="s">
        <v>335</v>
      </c>
      <c r="B82" s="6" t="s">
        <v>66</v>
      </c>
    </row>
    <row r="83">
      <c r="A83" s="9" t="s">
        <v>336</v>
      </c>
      <c r="B83" s="6" t="s">
        <v>61</v>
      </c>
    </row>
    <row r="84">
      <c r="A84" s="9" t="s">
        <v>337</v>
      </c>
      <c r="B84" s="6" t="s">
        <v>34</v>
      </c>
    </row>
    <row r="85">
      <c r="A85" s="9" t="s">
        <v>338</v>
      </c>
      <c r="B85" s="6" t="s">
        <v>75</v>
      </c>
    </row>
    <row r="86">
      <c r="A86" s="9" t="s">
        <v>339</v>
      </c>
      <c r="B86" s="6" t="s">
        <v>46</v>
      </c>
    </row>
    <row r="87">
      <c r="A87" s="9" t="s">
        <v>340</v>
      </c>
      <c r="B87" s="6" t="s">
        <v>82</v>
      </c>
    </row>
    <row r="88">
      <c r="A88" s="9" t="s">
        <v>341</v>
      </c>
      <c r="B88" s="6" t="s">
        <v>47</v>
      </c>
    </row>
    <row r="89">
      <c r="A89" s="9" t="s">
        <v>342</v>
      </c>
      <c r="B89" s="6" t="s">
        <v>35</v>
      </c>
    </row>
    <row r="90">
      <c r="A90" s="9" t="s">
        <v>343</v>
      </c>
      <c r="B90" s="6" t="s">
        <v>70</v>
      </c>
    </row>
    <row r="91">
      <c r="B91" s="6" t="s">
        <v>344</v>
      </c>
    </row>
    <row r="92">
      <c r="A92" s="6">
        <v>0.0</v>
      </c>
      <c r="B92" s="6">
        <v>0.0</v>
      </c>
    </row>
    <row r="93">
      <c r="A93" s="1" t="s">
        <v>293</v>
      </c>
      <c r="B93" s="6" t="s">
        <v>345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346</v>
      </c>
      <c r="B1" s="6" t="s">
        <v>347</v>
      </c>
      <c r="C1" s="6" t="s">
        <v>348</v>
      </c>
      <c r="D1" s="6" t="s">
        <v>349</v>
      </c>
      <c r="E1" s="6" t="s">
        <v>350</v>
      </c>
      <c r="F1" s="6" t="s">
        <v>351</v>
      </c>
      <c r="G1" s="6" t="s">
        <v>352</v>
      </c>
      <c r="H1" s="6" t="s">
        <v>353</v>
      </c>
      <c r="I1" s="6" t="s">
        <v>354</v>
      </c>
      <c r="J1" s="6" t="s">
        <v>355</v>
      </c>
      <c r="K1" s="6" t="s">
        <v>356</v>
      </c>
      <c r="L1" s="6" t="s">
        <v>357</v>
      </c>
      <c r="M1" s="6" t="s">
        <v>358</v>
      </c>
      <c r="N1" s="6" t="s">
        <v>359</v>
      </c>
      <c r="O1" s="6" t="s">
        <v>360</v>
      </c>
      <c r="P1" s="6" t="s">
        <v>361</v>
      </c>
      <c r="Q1" s="6" t="s">
        <v>362</v>
      </c>
      <c r="R1" s="6" t="s">
        <v>363</v>
      </c>
      <c r="S1" s="6" t="s">
        <v>364</v>
      </c>
      <c r="T1" s="6" t="s">
        <v>365</v>
      </c>
      <c r="U1" s="6" t="s">
        <v>366</v>
      </c>
      <c r="V1" s="6" t="s">
        <v>367</v>
      </c>
      <c r="W1" s="6" t="s">
        <v>368</v>
      </c>
      <c r="X1" s="6" t="s">
        <v>369</v>
      </c>
    </row>
    <row r="2">
      <c r="A2" s="6">
        <v>1.0</v>
      </c>
      <c r="B2" s="6">
        <v>1.0</v>
      </c>
      <c r="C2" s="1">
        <f>IF('Master English Sheet'!D2="18-25", 1,
IF('Master English Sheet'!D2="26-35", 2,
IF('Master English Sheet'!D2="36-45", 3,
IF('Master English Sheet'!D2="46-55", 4,
IF('Master English Sheet'!D2="56-65", 5,
IF('Master English Sheet'!D2="65+", 6, ""))))))</f>
        <v>4</v>
      </c>
      <c r="D2" s="1">
        <f>IF('Master English Sheet'!E2="Male", 1,
IF('Master English Sheet'!E2="Female", 2,
IF('Master English Sheet'!E2="Nonbinary", 3,
IF('Master English Sheet'!E2="Prefer not to say", 4, ""))))</f>
        <v>1</v>
      </c>
      <c r="E2" s="1">
        <f>IF('Master English Sheet'!F2="Under ¥3,000,000", 1,
IF('Master English Sheet'!F2="¥3,000,000 – ¥5,999,999", 2,
IF('Master English Sheet'!F2="¥6,000,000 – ¥8,999,999", 3,
IF('Master English Sheet'!F2="¥9,000,000 – ¥11,999,999", 4,
IF('Master English Sheet'!F2 = "¥12,000,000 or more", 5,
IF('Master English Sheet'!F2 = "Prefer not to say", 6, ""))))))</f>
        <v>5</v>
      </c>
      <c r="F2" s="1">
        <f>IF('Master English Sheet'!G2="Hokkaido", 1,
IF('Master English Sheet'!G2="Tohoku", 2,
IF('Master English Sheet'!G2="Kanto", 3,
IF('Master English Sheet'!G2="Chubu", 4,
IF('Master English Sheet'!G2 = "Kansai", 5,
IF('Master English Sheet'!G2 = "Chugoku", 6,
IF('Master English Sheet'!G2 = "Shikoku", 7,
IF('Master English Sheet'!G2 = "Kyushu", 8,
IF('Master English Sheet'!G2 = "Okinawa", 9, 
IF('Master English Sheet'!G2 = "I do not live in Japan", 10, ""))))))))))</f>
        <v>3</v>
      </c>
      <c r="G2" s="1">
        <f>IF('Master English Sheet'!H2="Daily", 1,
IF('Master English Sheet'!H2="Several times a week", 2,
IF('Master English Sheet'!H2="Once a week", 3,
IF('Master English Sheet'!H2 = "Rarely", 4,
IF('Master English Sheet'!H2 = "Never", 5, "")))))</f>
        <v>1</v>
      </c>
      <c r="H2" s="1">
        <f>IF('Master English Sheet'!I2="Pour Over", 1,
IF('Master English Sheet'!I2="Drip", 2,
IF('Master English Sheet'!I2="Latte", 3,
IF('Master English Sheet'!I2="Americano", 4,
IF('Master English Sheet'!I2 = "Cappuccino", 5,
IF('Master English Sheet'!I2 = "Flavored coffee (mocha, vanilla, caramel, etc.)", 6,
IF('Master English Sheet'!I2 = "Cold brew", 7,
IF('Master English Sheet'!I2 = "I don't drink coffee", 8,
IF('Master English Sheet'!I2 = "Other:", 9,
IF('Master English Sheet'!I2 ="", 10, ""))))))))))</f>
        <v>3</v>
      </c>
      <c r="I2" s="1">
        <f>IF('Master English Sheet'!K2="Daily", 1,
IF('Master English Sheet'!K2="Several times a week", 2,
IF('Master English Sheet'!K2="Once a week", 3,
IF('Master English Sheet'!K2 = "Rarely", 4,
IF('Master English Sheet'!K2 = "Never", 5, "")))))</f>
        <v>4</v>
      </c>
      <c r="J2" s="1">
        <f>IF('Master English Sheet'!L2="Usucha", 1,
IF('Master English Sheet'!L2="Koicha", 2,
IF('Master English Sheet'!L2="Matcha Latte", 3,
IF('Master English Sheet'!L2="I don’t drink matcha", 4,
IF('Master English Sheet'!L2 = "Other:", 5,
IF('Master English Sheet'!L2 ="", 6, ""))))))</f>
        <v>5</v>
      </c>
      <c r="K2" s="1">
        <f>IF('Parse of Qs'!A2="Taste/Flavor", 1,
IF('Parse of Qs'!A2="Price", 2,
IF('Parse of Qs'!A2="Energy boost/Caffeine", 3,
IF('Parse of Qs'!A2="Health benefits", 4,
IF('Parse of Qs'!A2 = "Social atmosphere", 5,
IF('Parse of Qs'!A2 ="Routine/Ritual", 6, 
IF('Parse of Qs'!A2 = "Branding/Imagery", 7,
IF('Parse of Qs'!A2 = "Social norms / influence (what people around me usually drink)", 8, 
IF('Parse of Qs'!A2 = "To try new things", 9,
IF('Parse of Qs'!A2 = "Other:", 10, 
IF('Parse of Qs'!A2 = "", 11, "")))))))))))</f>
        <v>6</v>
      </c>
      <c r="L2" s="1">
        <f>IF('Parse of Qs'!B2="Taste/Flavor", 1,
IF('Parse of Qs'!B2="Price", 2,
IF('Parse of Qs'!B2="Energy boost/Caffeine", 3,
IF('Parse of Qs'!B2="Health benefits", 4,
IF('Parse of Qs'!B2 = "Social atmosphere", 5,
IF('Parse of Qs'!B2 ="Routine/Ritual", 6, 
IF('Parse of Qs'!B2 = "Branding/Imagery", 7,
IF('Parse of Qs'!B2 = "Social norms / influence (what people around me usually drink)", 8, 
IF('Parse of Qs'!B2 = "To try new things", 9,
IF('Parse of Qs'!B2 = "Other:", 10, 
IF('Parse of Qs'!B2 = "", 11, "")))))))))))</f>
        <v>5</v>
      </c>
      <c r="M2" s="1">
        <f>IF('Parse of Qs'!C2="At cafés", 1,
IF('Parse of Qs'!C2="At home", 2,
IF('Parse of Qs'!C2="From convenience stores (7-Eleven, Lawson, etc.)", 3,
IF('Parse of Qs'!C2="From vending machines", 4,
IF('Parse of Qs'!C2 = "Other:", 5,
IF('Parse of Qs'!C2 = "", 6, ""))))))</f>
        <v>1</v>
      </c>
      <c r="N2" s="1">
        <f>IF('Parse of Qs'!D2="At cafés", 1,
IF('Parse of Qs'!D2="At home", 2,
IF('Parse of Qs'!D2="From convenience stores (7-Eleven, Lawson, etc.)", 3,
IF('Parse of Qs'!D2="From vending machines", 4,
IF('Parse of Qs'!D2 = "Other:", 5,
IF('Parse of Qs'!D2 = "", 6, ""))))))</f>
        <v>2</v>
      </c>
      <c r="O2" s="1">
        <f>IF('Parse of Qs'!E2="At cafés", 1,
IF('Parse of Qs'!E2="At home", 2,
IF('Parse of Qs'!E2="From convenience stores (7-Eleven, Lawson, etc.)", 3,
IF('Parse of Qs'!E2="From vending machines", 4,
IF('Parse of Qs'!E2 = "Other:", 5,
IF('Parse of Qs'!E2 = "", 6, ""))))))</f>
        <v>6</v>
      </c>
      <c r="P2" s="1">
        <f>IF('Parse of Qs'!F2="At cafés", 1,
IF('Parse of Qs'!F2="At home", 2,
IF('Parse of Qs'!F2="From convenience stores (7-Eleven, Lawson, etc.)", 3,
IF('Parse of Qs'!F2="From vending machines", 4,
IF('Parse of Qs'!F2 = "Other:", 5,
IF('Parse of Qs'!F2 = "", 6, ""))))))</f>
        <v>6</v>
      </c>
      <c r="Q2" s="1">
        <f>IF(OR('Master English Sheet'!R2="Every Day",'Master English Sheet'!R2="Daily"), 1,
IF('Master English Sheet'!R2="Several times a week", 2,
IF('Master English Sheet'!R2="Once a week", 3,
IF('Master English Sheet'!R2="A few times a month", 4,
IF('Master English Sheet'!R2="Rarely", 5,
IF('Master English Sheet'!R2="Never", 6, 
IF('Master English Sheet'!R2 = "", 7, "")))))))</f>
        <v>2</v>
      </c>
      <c r="R2" s="1">
        <f>IF('Master English Sheet'!S2="To relax or take a break", 1,
IF('Master English Sheet'!S2="To meet friends", 2,
IF('Master English Sheet'!S2="To study/work", 3,
IF('Master English Sheet'!S2="To try a new drink", 4,
IF('Master English Sheet'!S2="Out of habit", 5,
IF('Master English Sheet'!S2="Other:", 6, 
IF('Master English Sheet'!S2 = "", 7, "")))))))</f>
        <v>1</v>
      </c>
      <c r="S2" s="1">
        <f>IF('Master English Sheet'!U2="Quality of drinks", 1,
IF('Master English Sheet'!U2="Atmosphere", 2,
IF('Master English Sheet'!U2="Service", 3,
IF('Master English Sheet'!U2="Brand image", 4,
IF('Master English Sheet'!U2="Other:", 5, 
IF('Master English Sheet'!U2 = "", 6, ""))))))</f>
        <v>1</v>
      </c>
      <c r="T2" s="1">
        <f>IF('Master English Sheet'!W2="Yes, Western", 1,
IF('Master English Sheet'!W2="Yes, Global", 2,
IF('Master English Sheet'!W2="Yes,  Japanese", 3,
IF('Master English Sheet'!W2="No", 4,
IF('Master English Sheet'!W2="Unsure", 5, 
IF('Master English Sheet'!W2 = "", 6, ""))))))</f>
        <v>1</v>
      </c>
      <c r="U2" s="1">
        <f>IF('Master English Sheet'!X2="Yes, Western", 1,
IF('Master English Sheet'!X2="Yes, Global", 2,
IF('Master English Sheet'!X2="Yes,  Japanese", 3,
IF('Master English Sheet'!X2="No", 4,
IF('Master English Sheet'!X2="Unsure", 5, 
IF('Master English Sheet'!X2 = "", 6, ""))))))</f>
        <v>3</v>
      </c>
      <c r="V2" s="1">
        <f>'Master English Sheet'!Y2</f>
        <v>5</v>
      </c>
      <c r="W2" s="1">
        <f>'Master English Sheet'!Z2</f>
        <v>7</v>
      </c>
      <c r="X2" s="1">
        <f>'Master English Sheet'!AA2</f>
        <v>7</v>
      </c>
    </row>
    <row r="3">
      <c r="A3" s="6">
        <v>2.0</v>
      </c>
      <c r="B3" s="6">
        <v>1.0</v>
      </c>
      <c r="C3" s="1">
        <f>IF('Master English Sheet'!D3="18-25", 1,
IF('Master English Sheet'!D3="26-35", 2,
IF('Master English Sheet'!D3="36-45", 3,
IF('Master English Sheet'!D3="46-55", 4,
IF('Master English Sheet'!D3="56-65", 5,
IF('Master English Sheet'!D3="65+", 6, ""))))))</f>
        <v>2</v>
      </c>
      <c r="D3" s="1">
        <f>IF('Master English Sheet'!E3="Male", 1,
IF('Master English Sheet'!E3="Female", 2,
IF('Master English Sheet'!E3="Nonbinary", 3,
IF('Master English Sheet'!E3="Prefer not to say", 4, ""))))</f>
        <v>1</v>
      </c>
      <c r="E3" s="1">
        <f>IF('Master English Sheet'!F3="Under ¥3,000,000", 1,
IF('Master English Sheet'!F3="¥3,000,000 – ¥5,999,999", 2,
IF('Master English Sheet'!F3="¥6,000,000 – ¥8,999,999", 3,
IF('Master English Sheet'!F3="¥9,000,000 – ¥11,999,999", 4,
IF('Master English Sheet'!F3 = "¥12,000,000 or more", 5,
IF('Master English Sheet'!F3 = "Prefer not to say", 6, ""))))))</f>
        <v>2</v>
      </c>
      <c r="F3" s="1">
        <f>IF('Master English Sheet'!G3="Hokkaido", 1,
IF('Master English Sheet'!G3="Tohoku", 2,
IF('Master English Sheet'!G3="Kanto", 3,
IF('Master English Sheet'!G3="Chubu", 4,
IF('Master English Sheet'!G3 = "Kansai", 5,
IF('Master English Sheet'!G3 = "Chugoku", 6,
IF('Master English Sheet'!G3 = "Shikoku", 7,
IF('Master English Sheet'!G3 = "Kyushu", 8,
IF('Master English Sheet'!G3 = "Okinawa", 9, 
IF('Master English Sheet'!G3 = "I do not live in Japan", 10, ""))))))))))</f>
        <v>3</v>
      </c>
      <c r="G3" s="1">
        <f>IF('Master English Sheet'!H3="Daily", 1,
IF('Master English Sheet'!H3="Several times a week", 2,
IF('Master English Sheet'!H3="Once a week", 3,
IF('Master English Sheet'!H3 = "Rarely", 4,
IF('Master English Sheet'!H3 = "Never", 5, "")))))</f>
        <v>1</v>
      </c>
      <c r="H3" s="1">
        <f>IF('Master English Sheet'!I3="Pour Over", 1,
IF('Master English Sheet'!I3="Drip", 2,
IF('Master English Sheet'!I3="Latte", 3,
IF('Master English Sheet'!I3="Americano", 4,
IF('Master English Sheet'!I3 = "Cappuccino", 5,
IF('Master English Sheet'!I3 = "Flavored coffee (mocha, vanilla, caramel, etc.)", 6,
IF('Master English Sheet'!I3 = "Cold brew", 7,
IF('Master English Sheet'!I3 = "I don't drink coffee", 8,
IF('Master English Sheet'!I3 = "Other:", 9,
IF('Master English Sheet'!I3 ="", 10, ""))))))))))</f>
        <v>1</v>
      </c>
      <c r="I3" s="1">
        <f>IF('Master English Sheet'!K3="Daily", 1,
IF('Master English Sheet'!K3="Several times a week", 2,
IF('Master English Sheet'!K3="Once a week", 3,
IF('Master English Sheet'!K3 = "Rarely", 4,
IF('Master English Sheet'!K3 = "Never", 5, "")))))</f>
        <v>4</v>
      </c>
      <c r="J3" s="1">
        <f>IF('Master English Sheet'!L3="Usucha", 1,
IF('Master English Sheet'!L3="Koicha", 2,
IF('Master English Sheet'!L3="Matcha Latte", 3,
IF('Master English Sheet'!L3="I don’t drink matcha", 4,
IF('Master English Sheet'!L3 = "Other:", 5,
IF('Master English Sheet'!L3 ="", 6, ""))))))</f>
        <v>4</v>
      </c>
      <c r="K3" s="1">
        <f>IF('Parse of Qs'!A3="Taste/Flavor", 1,
IF('Parse of Qs'!A3="Price", 2,
IF('Parse of Qs'!A3="Energy boost/Caffeine", 3,
IF('Parse of Qs'!A3="Health benefits", 4,
IF('Parse of Qs'!A3 = "Social atmosphere", 5,
IF('Parse of Qs'!A3 ="Routine/Ritual", 6, 
IF('Parse of Qs'!A3 = "Branding/Imagery", 7,
IF('Parse of Qs'!A3 = "Social norms / influence (what people around me usually drink)", 8, 
IF('Parse of Qs'!A3 = "To try new things", 9,
IF('Parse of Qs'!A3 = "Other:", 10, 
IF('Parse of Qs'!A3 = "", 11, "")))))))))))</f>
        <v>1</v>
      </c>
      <c r="L3" s="1">
        <f>IF('Parse of Qs'!B3="Taste/Flavor", 1,
IF('Parse of Qs'!B3="Price", 2,
IF('Parse of Qs'!B3="Energy boost/Caffeine", 3,
IF('Parse of Qs'!B3="Health benefits", 4,
IF('Parse of Qs'!B3 = "Social atmosphere", 5,
IF('Parse of Qs'!B3 ="Routine/Ritual", 6, 
IF('Parse of Qs'!B3 = "Branding/Imagery", 7,
IF('Parse of Qs'!B3 = "Social norms / influence (what people around me usually drink)", 8, 
IF('Parse of Qs'!B3 = "To try new things", 9,
IF('Parse of Qs'!B3 = "Other:", 10, 
IF('Parse of Qs'!B3 = "", 11, "")))))))))))</f>
        <v>11</v>
      </c>
      <c r="M3" s="1">
        <f>IF('Parse of Qs'!C3="At cafés", 1,
IF('Parse of Qs'!C3="At home", 2,
IF('Parse of Qs'!C3="From convenience stores (7-Eleven, Lawson, etc.)", 3,
IF('Parse of Qs'!C3="From vending machines", 4,
IF('Parse of Qs'!C3 = "Other:", 5,
IF('Parse of Qs'!C3 = "", 6, ""))))))</f>
        <v>2</v>
      </c>
      <c r="N3" s="1">
        <f>IF('Parse of Qs'!D3="At cafés", 1,
IF('Parse of Qs'!D3="At home", 2,
IF('Parse of Qs'!D3="From convenience stores (7-Eleven, Lawson, etc.)", 3,
IF('Parse of Qs'!D3="From vending machines", 4,
IF('Parse of Qs'!D3 = "Other:", 5,
IF('Parse of Qs'!D3 = "", 6, ""))))))</f>
        <v>6</v>
      </c>
      <c r="O3" s="1">
        <f>IF('Parse of Qs'!E3="At cafés", 1,
IF('Parse of Qs'!E3="At home", 2,
IF('Parse of Qs'!E3="From convenience stores (7-Eleven, Lawson, etc.)", 3,
IF('Parse of Qs'!E3="From vending machines", 4,
IF('Parse of Qs'!E3 = "Other:", 5,
IF('Parse of Qs'!E3 = "", 6, ""))))))</f>
        <v>6</v>
      </c>
      <c r="P3" s="1">
        <f>IF('Parse of Qs'!F3="At cafés", 1,
IF('Parse of Qs'!F3="At home", 2,
IF('Parse of Qs'!F3="From convenience stores (7-Eleven, Lawson, etc.)", 3,
IF('Parse of Qs'!F3="From vending machines", 4,
IF('Parse of Qs'!F3 = "Other:", 5,
IF('Parse of Qs'!F3 = "", 6, ""))))))</f>
        <v>6</v>
      </c>
      <c r="Q3" s="1">
        <f>IF(OR('Master English Sheet'!R3="Every Day",'Master English Sheet'!R3="Daily"), 1,
IF('Master English Sheet'!R3="Several times a week", 2,
IF('Master English Sheet'!R3="Once a week", 3,
IF('Master English Sheet'!R3="A few times a month", 4,
IF('Master English Sheet'!R3="Rarely", 5,
IF('Master English Sheet'!R3="Never", 6, 
IF('Master English Sheet'!R3 = "", 7, "")))))))</f>
        <v>1</v>
      </c>
      <c r="R3" s="1">
        <f>IF('Master English Sheet'!S3="To relax or take a break", 1,
IF('Master English Sheet'!S3="To meet friends", 2,
IF('Master English Sheet'!S3="To study/work", 3,
IF('Master English Sheet'!S3="To try a new drink", 4,
IF('Master English Sheet'!S3="Out of habit", 5,
IF('Master English Sheet'!S3="Other:", 6, 
IF('Master English Sheet'!S3 = "", 7, "")))))))</f>
        <v>1</v>
      </c>
      <c r="S3" s="1">
        <f>IF('Master English Sheet'!U3="Quality of drinks", 1,
IF('Master English Sheet'!U3="Atmosphere", 2,
IF('Master English Sheet'!U3="Service", 3,
IF('Master English Sheet'!U3="Brand image", 4,
IF('Master English Sheet'!U3="Other:", 5, 
IF('Master English Sheet'!U3 = "", 6, ""))))))</f>
        <v>1</v>
      </c>
      <c r="T3" s="1">
        <f>IF('Master English Sheet'!W3="Yes, Western", 1,
IF('Master English Sheet'!W3="Yes, Global", 2,
IF('Master English Sheet'!W3="Yes,  Japanese", 3,
IF('Master English Sheet'!W3="No", 4,
IF('Master English Sheet'!W3="Unsure", 5, 
IF('Master English Sheet'!W3 = "", 6, ""))))))</f>
        <v>2</v>
      </c>
      <c r="U3" s="1">
        <f>IF('Master English Sheet'!X3="Yes, Western", 1,
IF('Master English Sheet'!X3="Yes, Global", 2,
IF('Master English Sheet'!X3="Yes,  Japanese", 3,
IF('Master English Sheet'!X3="No", 4,
IF('Master English Sheet'!X3="Unsure", 5, 
IF('Master English Sheet'!X3 = "", 6, ""))))))</f>
        <v>1</v>
      </c>
      <c r="V3" s="1">
        <f>'Master English Sheet'!Y3</f>
        <v>6</v>
      </c>
      <c r="W3" s="1">
        <f>'Master English Sheet'!Z3</f>
        <v>4</v>
      </c>
      <c r="X3" s="1">
        <f>'Master English Sheet'!AA3</f>
        <v>6</v>
      </c>
    </row>
    <row r="4">
      <c r="A4" s="6">
        <v>3.0</v>
      </c>
      <c r="B4" s="6">
        <v>1.0</v>
      </c>
      <c r="C4" s="1">
        <f>IF('Master English Sheet'!D4="18-25", 1,
IF('Master English Sheet'!D4="26-35", 2,
IF('Master English Sheet'!D4="36-45", 3,
IF('Master English Sheet'!D4="46-55", 4,
IF('Master English Sheet'!D4="56-65", 5,
IF('Master English Sheet'!D4="65+", 6, ""))))))</f>
        <v>3</v>
      </c>
      <c r="D4" s="1">
        <f>IF('Master English Sheet'!E4="Male", 1,
IF('Master English Sheet'!E4="Female", 2,
IF('Master English Sheet'!E4="Nonbinary", 3,
IF('Master English Sheet'!E4="Prefer not to say", 4, ""))))</f>
        <v>1</v>
      </c>
      <c r="E4" s="1">
        <f>IF('Master English Sheet'!F4="Under ¥3,000,000", 1,
IF('Master English Sheet'!F4="¥3,000,000 – ¥5,999,999", 2,
IF('Master English Sheet'!F4="¥6,000,000 – ¥8,999,999", 3,
IF('Master English Sheet'!F4="¥9,000,000 – ¥11,999,999", 4,
IF('Master English Sheet'!F4 = "¥12,000,000 or more", 5,
IF('Master English Sheet'!F4 = "Prefer not to say", 6, ""))))))</f>
        <v>2</v>
      </c>
      <c r="F4" s="1">
        <f>IF('Master English Sheet'!G4="Hokkaido", 1,
IF('Master English Sheet'!G4="Tohoku", 2,
IF('Master English Sheet'!G4="Kanto", 3,
IF('Master English Sheet'!G4="Chubu", 4,
IF('Master English Sheet'!G4 = "Kansai", 5,
IF('Master English Sheet'!G4 = "Chugoku", 6,
IF('Master English Sheet'!G4 = "Shikoku", 7,
IF('Master English Sheet'!G4 = "Kyushu", 8,
IF('Master English Sheet'!G4 = "Okinawa", 9, 
IF('Master English Sheet'!G4 = "I do not live in Japan", 10, ""))))))))))</f>
        <v>3</v>
      </c>
      <c r="G4" s="1">
        <f>IF('Master English Sheet'!H4="Daily", 1,
IF('Master English Sheet'!H4="Several times a week", 2,
IF('Master English Sheet'!H4="Once a week", 3,
IF('Master English Sheet'!H4 = "Rarely", 4,
IF('Master English Sheet'!H4 = "Never", 5, "")))))</f>
        <v>1</v>
      </c>
      <c r="H4" s="1">
        <f>IF('Master English Sheet'!I4="Pour Over", 1,
IF('Master English Sheet'!I4="Drip", 2,
IF('Master English Sheet'!I4="Latte", 3,
IF('Master English Sheet'!I4="Americano", 4,
IF('Master English Sheet'!I4 = "Cappuccino", 5,
IF('Master English Sheet'!I4 = "Flavored coffee (mocha, vanilla, caramel, etc.)", 6,
IF('Master English Sheet'!I4 = "Cold brew", 7,
IF('Master English Sheet'!I4 = "I don't drink coffee", 8,
IF('Master English Sheet'!I4 = "Other:", 9,
IF('Master English Sheet'!I4 ="", 10, ""))))))))))</f>
        <v>3</v>
      </c>
      <c r="I4" s="1">
        <f>IF('Master English Sheet'!K4="Daily", 1,
IF('Master English Sheet'!K4="Several times a week", 2,
IF('Master English Sheet'!K4="Once a week", 3,
IF('Master English Sheet'!K4 = "Rarely", 4,
IF('Master English Sheet'!K4 = "Never", 5, "")))))</f>
        <v>3</v>
      </c>
      <c r="J4" s="1">
        <f>IF('Master English Sheet'!L4="Usucha", 1,
IF('Master English Sheet'!L4="Koicha", 2,
IF('Master English Sheet'!L4="Matcha Latte", 3,
IF('Master English Sheet'!L4="I don’t drink matcha", 4,
IF('Master English Sheet'!L4 = "Other:", 5,
IF('Master English Sheet'!L4 ="", 6, ""))))))</f>
        <v>3</v>
      </c>
      <c r="K4" s="1">
        <f>IF('Parse of Qs'!A4="Taste/Flavor", 1,
IF('Parse of Qs'!A4="Price", 2,
IF('Parse of Qs'!A4="Energy boost/Caffeine", 3,
IF('Parse of Qs'!A4="Health benefits", 4,
IF('Parse of Qs'!A4 = "Social atmosphere", 5,
IF('Parse of Qs'!A4 ="Routine/Ritual", 6, 
IF('Parse of Qs'!A4 = "Branding/Imagery", 7,
IF('Parse of Qs'!A4 = "Social norms / influence (what people around me usually drink)", 8, 
IF('Parse of Qs'!A4 = "To try new things", 9,
IF('Parse of Qs'!A4 = "Other:", 10, 
IF('Parse of Qs'!A4 = "", 11, "")))))))))))</f>
        <v>1</v>
      </c>
      <c r="L4" s="1">
        <f>IF('Parse of Qs'!B4="Taste/Flavor", 1,
IF('Parse of Qs'!B4="Price", 2,
IF('Parse of Qs'!B4="Energy boost/Caffeine", 3,
IF('Parse of Qs'!B4="Health benefits", 4,
IF('Parse of Qs'!B4 = "Social atmosphere", 5,
IF('Parse of Qs'!B4 ="Routine/Ritual", 6, 
IF('Parse of Qs'!B4 = "Branding/Imagery", 7,
IF('Parse of Qs'!B4 = "Social norms / influence (what people around me usually drink)", 8, 
IF('Parse of Qs'!B4 = "To try new things", 9,
IF('Parse of Qs'!B4 = "Other:", 10, 
IF('Parse of Qs'!B4 = "", 11, "")))))))))))</f>
        <v>11</v>
      </c>
      <c r="M4" s="1">
        <f>IF('Parse of Qs'!C4="At cafés", 1,
IF('Parse of Qs'!C4="At home", 2,
IF('Parse of Qs'!C4="From convenience stores (7-Eleven, Lawson, etc.)", 3,
IF('Parse of Qs'!C4="From vending machines", 4,
IF('Parse of Qs'!C4 = "Other:", 5,
IF('Parse of Qs'!C4 = "", 6, ""))))))</f>
        <v>1</v>
      </c>
      <c r="N4" s="1">
        <f>IF('Parse of Qs'!D4="At cafés", 1,
IF('Parse of Qs'!D4="At home", 2,
IF('Parse of Qs'!D4="From convenience stores (7-Eleven, Lawson, etc.)", 3,
IF('Parse of Qs'!D4="From vending machines", 4,
IF('Parse of Qs'!D4 = "Other:", 5,
IF('Parse of Qs'!D4 = "", 6, ""))))))</f>
        <v>6</v>
      </c>
      <c r="O4" s="1">
        <f>IF('Parse of Qs'!E4="At cafés", 1,
IF('Parse of Qs'!E4="At home", 2,
IF('Parse of Qs'!E4="From convenience stores (7-Eleven, Lawson, etc.)", 3,
IF('Parse of Qs'!E4="From vending machines", 4,
IF('Parse of Qs'!E4 = "Other:", 5,
IF('Parse of Qs'!E4 = "", 6, ""))))))</f>
        <v>6</v>
      </c>
      <c r="P4" s="1">
        <f>IF('Parse of Qs'!F4="At cafés", 1,
IF('Parse of Qs'!F4="At home", 2,
IF('Parse of Qs'!F4="From convenience stores (7-Eleven, Lawson, etc.)", 3,
IF('Parse of Qs'!F4="From vending machines", 4,
IF('Parse of Qs'!F4 = "Other:", 5,
IF('Parse of Qs'!F4 = "", 6, ""))))))</f>
        <v>6</v>
      </c>
      <c r="Q4" s="1">
        <f>IF(OR('Master English Sheet'!R4="Every Day",'Master English Sheet'!R4="Daily"), 1,
IF('Master English Sheet'!R4="Several times a week", 2,
IF('Master English Sheet'!R4="Once a week", 3,
IF('Master English Sheet'!R4="A few times a month", 4,
IF('Master English Sheet'!R4="Rarely", 5,
IF('Master English Sheet'!R4="Never", 6, 
IF('Master English Sheet'!R4 = "", 7, "")))))))</f>
        <v>3</v>
      </c>
      <c r="R4" s="1">
        <f>IF('Master English Sheet'!S4="To relax or take a break", 1,
IF('Master English Sheet'!S4="To meet friends", 2,
IF('Master English Sheet'!S4="To study/work", 3,
IF('Master English Sheet'!S4="To try a new drink", 4,
IF('Master English Sheet'!S4="Out of habit", 5,
IF('Master English Sheet'!S4="Other:", 6, 
IF('Master English Sheet'!S4 = "", 7, "")))))))</f>
        <v>1</v>
      </c>
      <c r="S4" s="1">
        <f>IF('Master English Sheet'!U4="Quality of drinks", 1,
IF('Master English Sheet'!U4="Atmosphere", 2,
IF('Master English Sheet'!U4="Service", 3,
IF('Master English Sheet'!U4="Brand image", 4,
IF('Master English Sheet'!U4="Other:", 5, 
IF('Master English Sheet'!U4 = "", 6, ""))))))</f>
        <v>1</v>
      </c>
      <c r="T4" s="1">
        <f>IF('Master English Sheet'!W4="Yes, Western", 1,
IF('Master English Sheet'!W4="Yes, Global", 2,
IF('Master English Sheet'!W4="Yes,  Japanese", 3,
IF('Master English Sheet'!W4="No", 4,
IF('Master English Sheet'!W4="Unsure", 5, 
IF('Master English Sheet'!W4 = "", 6, ""))))))</f>
        <v>2</v>
      </c>
      <c r="U4" s="1">
        <f>IF('Master English Sheet'!X4="Yes, Western", 1,
IF('Master English Sheet'!X4="Yes, Global", 2,
IF('Master English Sheet'!X4="Yes,  Japanese", 3,
IF('Master English Sheet'!X4="No", 4,
IF('Master English Sheet'!X4="Unsure", 5, 
IF('Master English Sheet'!X4 = "", 6, ""))))))</f>
        <v>1</v>
      </c>
      <c r="V4" s="1">
        <f>'Master English Sheet'!Y4</f>
        <v>7</v>
      </c>
      <c r="W4" s="1">
        <f>'Master English Sheet'!Z4</f>
        <v>7</v>
      </c>
      <c r="X4" s="1">
        <f>'Master English Sheet'!AA4</f>
        <v>7</v>
      </c>
    </row>
    <row r="5">
      <c r="A5" s="6">
        <v>4.0</v>
      </c>
      <c r="B5" s="6">
        <v>1.0</v>
      </c>
      <c r="C5" s="1">
        <f>IF('Master English Sheet'!D5="18-25", 1,
IF('Master English Sheet'!D5="26-35", 2,
IF('Master English Sheet'!D5="36-45", 3,
IF('Master English Sheet'!D5="46-55", 4,
IF('Master English Sheet'!D5="56-65", 5,
IF('Master English Sheet'!D5="65+", 6, ""))))))</f>
        <v>4</v>
      </c>
      <c r="D5" s="1">
        <f>IF('Master English Sheet'!E5="Male", 1,
IF('Master English Sheet'!E5="Female", 2,
IF('Master English Sheet'!E5="Nonbinary", 3,
IF('Master English Sheet'!E5="Prefer not to say", 4, ""))))</f>
        <v>2</v>
      </c>
      <c r="E5" s="1">
        <f>IF('Master English Sheet'!F5="Under ¥3,000,000", 1,
IF('Master English Sheet'!F5="¥3,000,000 – ¥5,999,999", 2,
IF('Master English Sheet'!F5="¥6,000,000 – ¥8,999,999", 3,
IF('Master English Sheet'!F5="¥9,000,000 – ¥11,999,999", 4,
IF('Master English Sheet'!F5 = "¥12,000,000 or more", 5,
IF('Master English Sheet'!F5 = "Prefer not to say", 6, ""))))))</f>
        <v>5</v>
      </c>
      <c r="F5" s="1">
        <f>IF('Master English Sheet'!G5="Hokkaido", 1,
IF('Master English Sheet'!G5="Tohoku", 2,
IF('Master English Sheet'!G5="Kanto", 3,
IF('Master English Sheet'!G5="Chubu", 4,
IF('Master English Sheet'!G5 = "Kansai", 5,
IF('Master English Sheet'!G5 = "Chugoku", 6,
IF('Master English Sheet'!G5 = "Shikoku", 7,
IF('Master English Sheet'!G5 = "Kyushu", 8,
IF('Master English Sheet'!G5 = "Okinawa", 9, 
IF('Master English Sheet'!G5 = "I do not live in Japan", 10, ""))))))))))</f>
        <v>3</v>
      </c>
      <c r="G5" s="1">
        <f>IF('Master English Sheet'!H5="Daily", 1,
IF('Master English Sheet'!H5="Several times a week", 2,
IF('Master English Sheet'!H5="Once a week", 3,
IF('Master English Sheet'!H5 = "Rarely", 4,
IF('Master English Sheet'!H5 = "Never", 5, "")))))</f>
        <v>1</v>
      </c>
      <c r="H5" s="1">
        <f>IF('Master English Sheet'!I5="Pour Over", 1,
IF('Master English Sheet'!I5="Drip", 2,
IF('Master English Sheet'!I5="Latte", 3,
IF('Master English Sheet'!I5="Americano", 4,
IF('Master English Sheet'!I5 = "Cappuccino", 5,
IF('Master English Sheet'!I5 = "Flavored coffee (mocha, vanilla, caramel, etc.)", 6,
IF('Master English Sheet'!I5 = "Cold brew", 7,
IF('Master English Sheet'!I5 = "I don't drink coffee", 8,
IF('Master English Sheet'!I5 = "Other:", 9,
IF('Master English Sheet'!I5 ="", 10, ""))))))))))</f>
        <v>1</v>
      </c>
      <c r="I5" s="1">
        <f>IF('Master English Sheet'!K5="Daily", 1,
IF('Master English Sheet'!K5="Several times a week", 2,
IF('Master English Sheet'!K5="Once a week", 3,
IF('Master English Sheet'!K5 = "Rarely", 4,
IF('Master English Sheet'!K5 = "Never", 5, "")))))</f>
        <v>4</v>
      </c>
      <c r="J5" s="1">
        <f>IF('Master English Sheet'!L5="Usucha", 1,
IF('Master English Sheet'!L5="Koicha", 2,
IF('Master English Sheet'!L5="Matcha Latte", 3,
IF('Master English Sheet'!L5="I don’t drink matcha", 4,
IF('Master English Sheet'!L5 = "Other:", 5,
IF('Master English Sheet'!L5 ="", 6, ""))))))</f>
        <v>3</v>
      </c>
      <c r="K5" s="1">
        <f>IF('Parse of Qs'!A5="Taste/Flavor", 1,
IF('Parse of Qs'!A5="Price", 2,
IF('Parse of Qs'!A5="Energy boost/Caffeine", 3,
IF('Parse of Qs'!A5="Health benefits", 4,
IF('Parse of Qs'!A5 = "Social atmosphere", 5,
IF('Parse of Qs'!A5 ="Routine/Ritual", 6, 
IF('Parse of Qs'!A5 = "Branding/Imagery", 7,
IF('Parse of Qs'!A5 = "Social norms / influence (what people around me usually drink)", 8, 
IF('Parse of Qs'!A5 = "To try new things", 9,
IF('Parse of Qs'!A5 = "Other:", 10, 
IF('Parse of Qs'!A5 = "", 11, "")))))))))))</f>
        <v>1</v>
      </c>
      <c r="L5" s="1">
        <f>IF('Parse of Qs'!B5="Taste/Flavor", 1,
IF('Parse of Qs'!B5="Price", 2,
IF('Parse of Qs'!B5="Energy boost/Caffeine", 3,
IF('Parse of Qs'!B5="Health benefits", 4,
IF('Parse of Qs'!B5 = "Social atmosphere", 5,
IF('Parse of Qs'!B5 ="Routine/Ritual", 6, 
IF('Parse of Qs'!B5 = "Branding/Imagery", 7,
IF('Parse of Qs'!B5 = "Social norms / influence (what people around me usually drink)", 8, 
IF('Parse of Qs'!B5 = "To try new things", 9,
IF('Parse of Qs'!B5 = "Other:", 10, 
IF('Parse of Qs'!B5 = "", 11, "")))))))))))</f>
        <v>11</v>
      </c>
      <c r="M5" s="1">
        <f>IF('Parse of Qs'!C5="At cafés", 1,
IF('Parse of Qs'!C5="At home", 2,
IF('Parse of Qs'!C5="From convenience stores (7-Eleven, Lawson, etc.)", 3,
IF('Parse of Qs'!C5="From vending machines", 4,
IF('Parse of Qs'!C5 = "Other:", 5,
IF('Parse of Qs'!C5 = "", 6, ""))))))</f>
        <v>2</v>
      </c>
      <c r="N5" s="1">
        <f>IF('Parse of Qs'!D5="At cafés", 1,
IF('Parse of Qs'!D5="At home", 2,
IF('Parse of Qs'!D5="From convenience stores (7-Eleven, Lawson, etc.)", 3,
IF('Parse of Qs'!D5="From vending machines", 4,
IF('Parse of Qs'!D5 = "Other:", 5,
IF('Parse of Qs'!D5 = "", 6, ""))))))</f>
        <v>6</v>
      </c>
      <c r="O5" s="1">
        <f>IF('Parse of Qs'!E5="At cafés", 1,
IF('Parse of Qs'!E5="At home", 2,
IF('Parse of Qs'!E5="From convenience stores (7-Eleven, Lawson, etc.)", 3,
IF('Parse of Qs'!E5="From vending machines", 4,
IF('Parse of Qs'!E5 = "Other:", 5,
IF('Parse of Qs'!E5 = "", 6, ""))))))</f>
        <v>6</v>
      </c>
      <c r="P5" s="1">
        <f>IF('Parse of Qs'!F5="At cafés", 1,
IF('Parse of Qs'!F5="At home", 2,
IF('Parse of Qs'!F5="From convenience stores (7-Eleven, Lawson, etc.)", 3,
IF('Parse of Qs'!F5="From vending machines", 4,
IF('Parse of Qs'!F5 = "Other:", 5,
IF('Parse of Qs'!F5 = "", 6, ""))))))</f>
        <v>6</v>
      </c>
      <c r="Q5" s="1">
        <f>IF(OR('Master English Sheet'!R5="Every Day",'Master English Sheet'!R5="Daily"), 1,
IF('Master English Sheet'!R5="Several times a week", 2,
IF('Master English Sheet'!R5="Once a week", 3,
IF('Master English Sheet'!R5="A few times a month", 4,
IF('Master English Sheet'!R5="Rarely", 5,
IF('Master English Sheet'!R5="Never", 6, 
IF('Master English Sheet'!R5 = "", 7, "")))))))</f>
        <v>4</v>
      </c>
      <c r="R5" s="1">
        <f>IF('Master English Sheet'!S5="To relax or take a break", 1,
IF('Master English Sheet'!S5="To meet friends", 2,
IF('Master English Sheet'!S5="To study/work", 3,
IF('Master English Sheet'!S5="To try a new drink", 4,
IF('Master English Sheet'!S5="Out of habit", 5,
IF('Master English Sheet'!S5="Other:", 6, 
IF('Master English Sheet'!S5 = "", 7, "")))))))</f>
        <v>2</v>
      </c>
      <c r="S5" s="1">
        <f>IF('Master English Sheet'!U5="Quality of drinks", 1,
IF('Master English Sheet'!U5="Atmosphere", 2,
IF('Master English Sheet'!U5="Service", 3,
IF('Master English Sheet'!U5="Brand image", 4,
IF('Master English Sheet'!U5="Other:", 5, 
IF('Master English Sheet'!U5 = "", 6, ""))))))</f>
        <v>2</v>
      </c>
      <c r="T5" s="1">
        <f>IF('Master English Sheet'!W5="Yes, Western", 1,
IF('Master English Sheet'!W5="Yes, Global", 2,
IF('Master English Sheet'!W5="Yes,  Japanese", 3,
IF('Master English Sheet'!W5="No", 4,
IF('Master English Sheet'!W5="Unsure", 5, 
IF('Master English Sheet'!W5 = "", 6, ""))))))</f>
        <v>2</v>
      </c>
      <c r="U5" s="1">
        <f>IF('Master English Sheet'!X5="Yes, Western", 1,
IF('Master English Sheet'!X5="Yes, Global", 2,
IF('Master English Sheet'!X5="Yes,  Japanese", 3,
IF('Master English Sheet'!X5="No", 4,
IF('Master English Sheet'!X5="Unsure", 5, 
IF('Master English Sheet'!X5 = "", 6, ""))))))</f>
        <v>3</v>
      </c>
      <c r="V5" s="1">
        <f>'Master English Sheet'!Y5</f>
        <v>7</v>
      </c>
      <c r="W5" s="1">
        <f>'Master English Sheet'!Z5</f>
        <v>7</v>
      </c>
      <c r="X5" s="1">
        <f>'Master English Sheet'!AA5</f>
        <v>7</v>
      </c>
    </row>
    <row r="6">
      <c r="A6" s="6">
        <v>5.0</v>
      </c>
      <c r="B6" s="6">
        <v>1.0</v>
      </c>
      <c r="C6" s="1">
        <f>IF('Master English Sheet'!D6="18-25", 1,
IF('Master English Sheet'!D6="26-35", 2,
IF('Master English Sheet'!D6="36-45", 3,
IF('Master English Sheet'!D6="46-55", 4,
IF('Master English Sheet'!D6="56-65", 5,
IF('Master English Sheet'!D6="65+", 6, ""))))))</f>
        <v>5</v>
      </c>
      <c r="D6" s="1">
        <f>IF('Master English Sheet'!E6="Male", 1,
IF('Master English Sheet'!E6="Female", 2,
IF('Master English Sheet'!E6="Nonbinary", 3,
IF('Master English Sheet'!E6="Prefer not to say", 4, ""))))</f>
        <v>1</v>
      </c>
      <c r="E6" s="1">
        <f>IF('Master English Sheet'!F6="Under ¥3,000,000", 1,
IF('Master English Sheet'!F6="¥3,000,000 – ¥5,999,999", 2,
IF('Master English Sheet'!F6="¥6,000,000 – ¥8,999,999", 3,
IF('Master English Sheet'!F6="¥9,000,000 – ¥11,999,999", 4,
IF('Master English Sheet'!F6 = "¥12,000,000 or more", 5,
IF('Master English Sheet'!F6 = "Prefer not to say", 6, ""))))))</f>
        <v>6</v>
      </c>
      <c r="F6" s="1">
        <f>IF('Master English Sheet'!G6="Hokkaido", 1,
IF('Master English Sheet'!G6="Tohoku", 2,
IF('Master English Sheet'!G6="Kanto", 3,
IF('Master English Sheet'!G6="Chubu", 4,
IF('Master English Sheet'!G6 = "Kansai", 5,
IF('Master English Sheet'!G6 = "Chugoku", 6,
IF('Master English Sheet'!G6 = "Shikoku", 7,
IF('Master English Sheet'!G6 = "Kyushu", 8,
IF('Master English Sheet'!G6 = "Okinawa", 9, 
IF('Master English Sheet'!G6 = "I do not live in Japan", 10, ""))))))))))</f>
        <v>3</v>
      </c>
      <c r="G6" s="1">
        <f>IF('Master English Sheet'!H6="Daily", 1,
IF('Master English Sheet'!H6="Several times a week", 2,
IF('Master English Sheet'!H6="Once a week", 3,
IF('Master English Sheet'!H6 = "Rarely", 4,
IF('Master English Sheet'!H6 = "Never", 5, "")))))</f>
        <v>1</v>
      </c>
      <c r="H6" s="1">
        <f>IF('Master English Sheet'!I6="Pour Over", 1,
IF('Master English Sheet'!I6="Drip", 2,
IF('Master English Sheet'!I6="Latte", 3,
IF('Master English Sheet'!I6="Americano", 4,
IF('Master English Sheet'!I6 = "Cappuccino", 5,
IF('Master English Sheet'!I6 = "Flavored coffee (mocha, vanilla, caramel, etc.)", 6,
IF('Master English Sheet'!I6 = "Cold brew", 7,
IF('Master English Sheet'!I6 = "I don't drink coffee", 8,
IF('Master English Sheet'!I6 = "Other:", 9,
IF('Master English Sheet'!I6 ="", 10, ""))))))))))</f>
        <v>2</v>
      </c>
      <c r="I6" s="1">
        <f>IF('Master English Sheet'!K6="Daily", 1,
IF('Master English Sheet'!K6="Several times a week", 2,
IF('Master English Sheet'!K6="Once a week", 3,
IF('Master English Sheet'!K6 = "Rarely", 4,
IF('Master English Sheet'!K6 = "Never", 5, "")))))</f>
        <v>4</v>
      </c>
      <c r="J6" s="1">
        <f>IF('Master English Sheet'!L6="Usucha", 1,
IF('Master English Sheet'!L6="Koicha", 2,
IF('Master English Sheet'!L6="Matcha Latte", 3,
IF('Master English Sheet'!L6="I don’t drink matcha", 4,
IF('Master English Sheet'!L6 = "Other:", 5,
IF('Master English Sheet'!L6 ="", 6, ""))))))</f>
        <v>6</v>
      </c>
      <c r="K6" s="6">
        <v>12.0</v>
      </c>
      <c r="L6" s="1">
        <f>IF('Parse of Qs'!B6="Taste/Flavor", 1,
IF('Parse of Qs'!B6="Price", 2,
IF('Parse of Qs'!B6="Energy boost/Caffeine", 3,
IF('Parse of Qs'!B6="Health benefits", 4,
IF('Parse of Qs'!B6 = "Social atmosphere", 5,
IF('Parse of Qs'!B6 ="Routine/Ritual", 6, 
IF('Parse of Qs'!B6 = "Branding/Imagery", 7,
IF('Parse of Qs'!B6 = "Social norms / influence (what people around me usually drink)", 8, 
IF('Parse of Qs'!B6 = "To try new things", 9,
IF('Parse of Qs'!B6 = "Other:", 10, 
IF('Parse of Qs'!B6 = "", 11, "")))))))))))</f>
        <v>11</v>
      </c>
      <c r="M6" s="1">
        <f>IF('Parse of Qs'!C6="At cafés", 1,
IF('Parse of Qs'!C6="At home", 2,
IF('Parse of Qs'!C6="From convenience stores (7-Eleven, Lawson, etc.)", 3,
IF('Parse of Qs'!C6="From vending machines", 4,
IF('Parse of Qs'!C6 = "Other:", 5,
IF('Parse of Qs'!C6 = "", 6, ""))))))</f>
        <v>2</v>
      </c>
      <c r="N6" s="1">
        <f>IF('Parse of Qs'!D6="At cafés", 1,
IF('Parse of Qs'!D6="At home", 2,
IF('Parse of Qs'!D6="From convenience stores (7-Eleven, Lawson, etc.)", 3,
IF('Parse of Qs'!D6="From vending machines", 4,
IF('Parse of Qs'!D6 = "Other:", 5,
IF('Parse of Qs'!D6 = "", 6, ""))))))</f>
        <v>6</v>
      </c>
      <c r="O6" s="1">
        <f>IF('Parse of Qs'!E6="At cafés", 1,
IF('Parse of Qs'!E6="At home", 2,
IF('Parse of Qs'!E6="From convenience stores (7-Eleven, Lawson, etc.)", 3,
IF('Parse of Qs'!E6="From vending machines", 4,
IF('Parse of Qs'!E6 = "Other:", 5,
IF('Parse of Qs'!E6 = "", 6, ""))))))</f>
        <v>6</v>
      </c>
      <c r="P6" s="1">
        <f>IF('Parse of Qs'!F6="At cafés", 1,
IF('Parse of Qs'!F6="At home", 2,
IF('Parse of Qs'!F6="From convenience stores (7-Eleven, Lawson, etc.)", 3,
IF('Parse of Qs'!F6="From vending machines", 4,
IF('Parse of Qs'!F6 = "Other:", 5,
IF('Parse of Qs'!F6 = "", 6, ""))))))</f>
        <v>6</v>
      </c>
      <c r="Q6" s="1">
        <f>IF(OR('Master English Sheet'!R6="Every Day",'Master English Sheet'!R6="Daily"), 1,
IF('Master English Sheet'!R6="Several times a week", 2,
IF('Master English Sheet'!R6="Once a week", 3,
IF('Master English Sheet'!R6="A few times a month", 4,
IF('Master English Sheet'!R6="Rarely", 5,
IF('Master English Sheet'!R6="Never", 6, 
IF('Master English Sheet'!R6 = "", 7, "")))))))</f>
        <v>4</v>
      </c>
      <c r="R6" s="1">
        <f>IF('Master English Sheet'!S6="To relax or take a break", 1,
IF('Master English Sheet'!S6="To meet friends", 2,
IF('Master English Sheet'!S6="To study/work", 3,
IF('Master English Sheet'!S6="To try a new drink", 4,
IF('Master English Sheet'!S6="Out of habit", 5,
IF('Master English Sheet'!S6="Other:", 6, 
IF('Master English Sheet'!S6 = "", 7, "")))))))</f>
        <v>6</v>
      </c>
      <c r="S6" s="1">
        <f>IF('Master English Sheet'!U6="Quality of drinks", 1,
IF('Master English Sheet'!U6="Atmosphere", 2,
IF('Master English Sheet'!U6="Service", 3,
IF('Master English Sheet'!U6="Brand image", 4,
IF('Master English Sheet'!U6="Other:", 5, 
IF('Master English Sheet'!U6 = "", 6, ""))))))</f>
        <v>2</v>
      </c>
      <c r="T6" s="1">
        <f>IF('Master English Sheet'!W6="Yes, Western", 1,
IF('Master English Sheet'!W6="Yes, Global", 2,
IF('Master English Sheet'!W6="Yes,  Japanese", 3,
IF('Master English Sheet'!W6="No", 4,
IF('Master English Sheet'!W6="Unsure", 5, 
IF('Master English Sheet'!W6 = "", 6, ""))))))</f>
        <v>4</v>
      </c>
      <c r="U6" s="1">
        <f>IF('Master English Sheet'!X6="Yes, Western", 1,
IF('Master English Sheet'!X6="Yes, Global", 2,
IF('Master English Sheet'!X6="Yes,  Japanese", 3,
IF('Master English Sheet'!X6="No", 4,
IF('Master English Sheet'!X6="Unsure", 5, 
IF('Master English Sheet'!X6 = "", 6, ""))))))</f>
        <v>3</v>
      </c>
      <c r="V6" s="1">
        <f>'Master English Sheet'!Y6</f>
        <v>5</v>
      </c>
      <c r="W6" s="1">
        <f>'Master English Sheet'!Z6</f>
        <v>7</v>
      </c>
      <c r="X6" s="1">
        <f>'Master English Sheet'!AA6</f>
        <v>6</v>
      </c>
    </row>
    <row r="7">
      <c r="A7" s="6">
        <v>6.0</v>
      </c>
      <c r="B7" s="6">
        <v>1.0</v>
      </c>
      <c r="C7" s="1">
        <f>IF('Master English Sheet'!D7="18-25", 1,
IF('Master English Sheet'!D7="26-35", 2,
IF('Master English Sheet'!D7="36-45", 3,
IF('Master English Sheet'!D7="46-55", 4,
IF('Master English Sheet'!D7="56-65", 5,
IF('Master English Sheet'!D7="65+", 6, ""))))))</f>
        <v>3</v>
      </c>
      <c r="D7" s="1">
        <f>IF('Master English Sheet'!E7="Male", 1,
IF('Master English Sheet'!E7="Female", 2,
IF('Master English Sheet'!E7="Nonbinary", 3,
IF('Master English Sheet'!E7="Prefer not to say", 4, ""))))</f>
        <v>2</v>
      </c>
      <c r="E7" s="1">
        <f>IF('Master English Sheet'!F7="Under ¥3,000,000", 1,
IF('Master English Sheet'!F7="¥3,000,000 – ¥5,999,999", 2,
IF('Master English Sheet'!F7="¥6,000,000 – ¥8,999,999", 3,
IF('Master English Sheet'!F7="¥9,000,000 – ¥11,999,999", 4,
IF('Master English Sheet'!F7 = "¥12,000,000 or more", 5,
IF('Master English Sheet'!F7 = "Prefer not to say", 6, ""))))))</f>
        <v>5</v>
      </c>
      <c r="F7" s="1">
        <f>IF('Master English Sheet'!G7="Hokkaido", 1,
IF('Master English Sheet'!G7="Tohoku", 2,
IF('Master English Sheet'!G7="Kanto", 3,
IF('Master English Sheet'!G7="Chubu", 4,
IF('Master English Sheet'!G7 = "Kansai", 5,
IF('Master English Sheet'!G7 = "Chugoku", 6,
IF('Master English Sheet'!G7 = "Shikoku", 7,
IF('Master English Sheet'!G7 = "Kyushu", 8,
IF('Master English Sheet'!G7 = "Okinawa", 9, 
IF('Master English Sheet'!G7 = "I do not live in Japan", 10, ""))))))))))</f>
        <v>3</v>
      </c>
      <c r="G7" s="1">
        <f>IF('Master English Sheet'!H7="Daily", 1,
IF('Master English Sheet'!H7="Several times a week", 2,
IF('Master English Sheet'!H7="Once a week", 3,
IF('Master English Sheet'!H7 = "Rarely", 4,
IF('Master English Sheet'!H7 = "Never", 5, "")))))</f>
        <v>4</v>
      </c>
      <c r="H7" s="1">
        <f>IF('Master English Sheet'!I7="Pour Over", 1,
IF('Master English Sheet'!I7="Drip", 2,
IF('Master English Sheet'!I7="Latte", 3,
IF('Master English Sheet'!I7="Americano", 4,
IF('Master English Sheet'!I7 = "Cappuccino", 5,
IF('Master English Sheet'!I7 = "Flavored coffee (mocha, vanilla, caramel, etc.)", 6,
IF('Master English Sheet'!I7 = "Cold brew", 7,
IF('Master English Sheet'!I7 = "I don't drink coffee", 8,
IF('Master English Sheet'!I7 = "Other:", 9,
IF('Master English Sheet'!I7 ="", 10, ""))))))))))</f>
        <v>5</v>
      </c>
      <c r="I7" s="1">
        <f>IF('Master English Sheet'!K7="Daily", 1,
IF('Master English Sheet'!K7="Several times a week", 2,
IF('Master English Sheet'!K7="Once a week", 3,
IF('Master English Sheet'!K7 = "Rarely", 4,
IF('Master English Sheet'!K7 = "Never", 5, "")))))</f>
        <v>4</v>
      </c>
      <c r="J7" s="1">
        <f>IF('Master English Sheet'!L7="Usucha", 1,
IF('Master English Sheet'!L7="Koicha", 2,
IF('Master English Sheet'!L7="Matcha Latte", 3,
IF('Master English Sheet'!L7="I don’t drink matcha", 4,
IF('Master English Sheet'!L7 = "Other:", 5,
IF('Master English Sheet'!L7 ="", 6, ""))))))</f>
        <v>1</v>
      </c>
      <c r="K7" s="1">
        <f>IF('Parse of Qs'!A7="Taste/Flavor", 1,
IF('Parse of Qs'!A7="Price", 2,
IF('Parse of Qs'!A7="Energy boost/Caffeine", 3,
IF('Parse of Qs'!A7="Health benefits", 4,
IF('Parse of Qs'!A7 = "Social atmosphere", 5,
IF('Parse of Qs'!A7 ="Routine/Ritual", 6, 
IF('Parse of Qs'!A7 = "Branding/Imagery", 7,
IF('Parse of Qs'!A7 = "Social norms / influence (what people around me usually drink)", 8, 
IF('Parse of Qs'!A7 = "To try new things", 9,
IF('Parse of Qs'!A7 = "Other:", 10, 
IF('Parse of Qs'!A7 = "", 11, "")))))))))))</f>
        <v>8</v>
      </c>
      <c r="L7" s="1">
        <f>IF('Parse of Qs'!B7="Taste/Flavor", 1,
IF('Parse of Qs'!B7="Price", 2,
IF('Parse of Qs'!B7="Energy boost/Caffeine", 3,
IF('Parse of Qs'!B7="Health benefits", 4,
IF('Parse of Qs'!B7 = "Social atmosphere", 5,
IF('Parse of Qs'!B7 ="Routine/Ritual", 6, 
IF('Parse of Qs'!B7 = "Branding/Imagery", 7,
IF('Parse of Qs'!B7 = "Social norms / influence (what people around me usually drink)", 8, 
IF('Parse of Qs'!B7 = "To try new things", 9,
IF('Parse of Qs'!B7 = "Other:", 10, 
IF('Parse of Qs'!B7 = "", 11, "")))))))))))</f>
        <v>6</v>
      </c>
      <c r="M7" s="1">
        <f>IF('Parse of Qs'!C7="At cafés", 1,
IF('Parse of Qs'!C7="At home", 2,
IF('Parse of Qs'!C7="From convenience stores (7-Eleven, Lawson, etc.)", 3,
IF('Parse of Qs'!C7="From vending machines", 4,
IF('Parse of Qs'!C7 = "Other:", 5,
IF('Parse of Qs'!C7 = "", 6, ""))))))</f>
        <v>1</v>
      </c>
      <c r="N7" s="1">
        <f>IF('Parse of Qs'!D7="At cafés", 1,
IF('Parse of Qs'!D7="At home", 2,
IF('Parse of Qs'!D7="From convenience stores (7-Eleven, Lawson, etc.)", 3,
IF('Parse of Qs'!D7="From vending machines", 4,
IF('Parse of Qs'!D7 = "Other:", 5,
IF('Parse of Qs'!D7 = "", 6, ""))))))</f>
        <v>6</v>
      </c>
      <c r="O7" s="1">
        <f>IF('Parse of Qs'!E7="At cafés", 1,
IF('Parse of Qs'!E7="At home", 2,
IF('Parse of Qs'!E7="From convenience stores (7-Eleven, Lawson, etc.)", 3,
IF('Parse of Qs'!E7="From vending machines", 4,
IF('Parse of Qs'!E7 = "Other:", 5,
IF('Parse of Qs'!E7 = "", 6, ""))))))</f>
        <v>6</v>
      </c>
      <c r="P7" s="1">
        <f>IF('Parse of Qs'!F7="At cafés", 1,
IF('Parse of Qs'!F7="At home", 2,
IF('Parse of Qs'!F7="From convenience stores (7-Eleven, Lawson, etc.)", 3,
IF('Parse of Qs'!F7="From vending machines", 4,
IF('Parse of Qs'!F7 = "Other:", 5,
IF('Parse of Qs'!F7 = "", 6, ""))))))</f>
        <v>6</v>
      </c>
      <c r="Q7" s="1">
        <f>IF(OR('Master English Sheet'!R7="Every Day",'Master English Sheet'!R7="Daily"), 1,
IF('Master English Sheet'!R7="Several times a week", 2,
IF('Master English Sheet'!R7="Once a week", 3,
IF('Master English Sheet'!R7="A few times a month", 4,
IF('Master English Sheet'!R7="Rarely", 5,
IF('Master English Sheet'!R7="Never", 6, 
IF('Master English Sheet'!R7 = "", 7, "")))))))</f>
        <v>4</v>
      </c>
      <c r="R7" s="1">
        <f>IF('Master English Sheet'!S7="To relax or take a break", 1,
IF('Master English Sheet'!S7="To meet friends", 2,
IF('Master English Sheet'!S7="To study/work", 3,
IF('Master English Sheet'!S7="To try a new drink", 4,
IF('Master English Sheet'!S7="Out of habit", 5,
IF('Master English Sheet'!S7="Other:", 6, 
IF('Master English Sheet'!S7 = "", 7, "")))))))</f>
        <v>2</v>
      </c>
      <c r="S7" s="1">
        <f>IF('Master English Sheet'!U7="Quality of drinks", 1,
IF('Master English Sheet'!U7="Atmosphere", 2,
IF('Master English Sheet'!U7="Service", 3,
IF('Master English Sheet'!U7="Brand image", 4,
IF('Master English Sheet'!U7="Other:", 5, 
IF('Master English Sheet'!U7 = "", 6, ""))))))</f>
        <v>2</v>
      </c>
      <c r="T7" s="1">
        <f>IF('Master English Sheet'!W7="Yes, Western", 1,
IF('Master English Sheet'!W7="Yes, Global", 2,
IF('Master English Sheet'!W7="Yes,  Japanese", 3,
IF('Master English Sheet'!W7="No", 4,
IF('Master English Sheet'!W7="Unsure", 5, 
IF('Master English Sheet'!W7 = "", 6, ""))))))</f>
        <v>2</v>
      </c>
      <c r="U7" s="1">
        <f>IF('Master English Sheet'!X7="Yes, Western", 1,
IF('Master English Sheet'!X7="Yes, Global", 2,
IF('Master English Sheet'!X7="Yes,  Japanese", 3,
IF('Master English Sheet'!X7="No", 4,
IF('Master English Sheet'!X7="Unsure", 5, 
IF('Master English Sheet'!X7 = "", 6, ""))))))</f>
        <v>3</v>
      </c>
      <c r="V7" s="1">
        <f>'Master English Sheet'!Y7</f>
        <v>6</v>
      </c>
      <c r="W7" s="1">
        <f>'Master English Sheet'!Z7</f>
        <v>7</v>
      </c>
      <c r="X7" s="1">
        <f>'Master English Sheet'!AA7</f>
        <v>5</v>
      </c>
    </row>
    <row r="8">
      <c r="A8" s="6">
        <v>7.0</v>
      </c>
      <c r="B8" s="6">
        <v>1.0</v>
      </c>
      <c r="C8" s="1">
        <f>IF('Master English Sheet'!D8="18-25", 1,
IF('Master English Sheet'!D8="26-35", 2,
IF('Master English Sheet'!D8="36-45", 3,
IF('Master English Sheet'!D8="46-55", 4,
IF('Master English Sheet'!D8="56-65", 5,
IF('Master English Sheet'!D8="65+", 6, ""))))))</f>
        <v>2</v>
      </c>
      <c r="D8" s="1">
        <f>IF('Master English Sheet'!E8="Male", 1,
IF('Master English Sheet'!E8="Female", 2,
IF('Master English Sheet'!E8="Nonbinary", 3,
IF('Master English Sheet'!E8="Prefer not to say", 4, ""))))</f>
        <v>2</v>
      </c>
      <c r="E8" s="1">
        <f>IF('Master English Sheet'!F8="Under ¥3,000,000", 1,
IF('Master English Sheet'!F8="¥3,000,000 – ¥5,999,999", 2,
IF('Master English Sheet'!F8="¥6,000,000 – ¥8,999,999", 3,
IF('Master English Sheet'!F8="¥9,000,000 – ¥11,999,999", 4,
IF('Master English Sheet'!F8 = "¥12,000,000 or more", 5,
IF('Master English Sheet'!F8 = "Prefer not to say", 6, ""))))))</f>
        <v>2</v>
      </c>
      <c r="F8" s="1">
        <f>IF('Master English Sheet'!G8="Hokkaido", 1,
IF('Master English Sheet'!G8="Tohoku", 2,
IF('Master English Sheet'!G8="Kanto", 3,
IF('Master English Sheet'!G8="Chubu", 4,
IF('Master English Sheet'!G8 = "Kansai", 5,
IF('Master English Sheet'!G8 = "Chugoku", 6,
IF('Master English Sheet'!G8 = "Shikoku", 7,
IF('Master English Sheet'!G8 = "Kyushu", 8,
IF('Master English Sheet'!G8 = "Okinawa", 9, 
IF('Master English Sheet'!G8 = "I do not live in Japan", 10, ""))))))))))</f>
        <v>3</v>
      </c>
      <c r="G8" s="1">
        <f>IF('Master English Sheet'!H8="Daily", 1,
IF('Master English Sheet'!H8="Several times a week", 2,
IF('Master English Sheet'!H8="Once a week", 3,
IF('Master English Sheet'!H8 = "Rarely", 4,
IF('Master English Sheet'!H8 = "Never", 5, "")))))</f>
        <v>1</v>
      </c>
      <c r="H8" s="1">
        <f>IF('Master English Sheet'!I8="Pour Over", 1,
IF('Master English Sheet'!I8="Drip", 2,
IF('Master English Sheet'!I8="Latte", 3,
IF('Master English Sheet'!I8="Americano", 4,
IF('Master English Sheet'!I8 = "Cappuccino", 5,
IF('Master English Sheet'!I8 = "Flavored coffee (mocha, vanilla, caramel, etc.)", 6,
IF('Master English Sheet'!I8 = "Cold brew", 7,
IF('Master English Sheet'!I8 = "I don't drink coffee", 8,
IF('Master English Sheet'!I8 = "Other:", 9,
IF('Master English Sheet'!I8 ="", 10, ""))))))))))</f>
        <v>2</v>
      </c>
      <c r="I8" s="1">
        <f>IF('Master English Sheet'!K8="Daily", 1,
IF('Master English Sheet'!K8="Several times a week", 2,
IF('Master English Sheet'!K8="Once a week", 3,
IF('Master English Sheet'!K8 = "Rarely", 4,
IF('Master English Sheet'!K8 = "Never", 5, "")))))</f>
        <v>4</v>
      </c>
      <c r="J8" s="1">
        <f>IF('Master English Sheet'!L8="Usucha", 1,
IF('Master English Sheet'!L8="Koicha", 2,
IF('Master English Sheet'!L8="Matcha Latte", 3,
IF('Master English Sheet'!L8="I don’t drink matcha", 4,
IF('Master English Sheet'!L8 = "Other:", 5,
IF('Master English Sheet'!L8 ="", 6, ""))))))</f>
        <v>5</v>
      </c>
      <c r="K8" s="1">
        <f>IF('Parse of Qs'!A8="Taste/Flavor", 1,
IF('Parse of Qs'!A8="Price", 2,
IF('Parse of Qs'!A8="Energy boost/Caffeine", 3,
IF('Parse of Qs'!A8="Health benefits", 4,
IF('Parse of Qs'!A8 = "Social atmosphere", 5,
IF('Parse of Qs'!A8 ="Routine/Ritual", 6, 
IF('Parse of Qs'!A8 = "Branding/Imagery", 7,
IF('Parse of Qs'!A8 = "Social norms / influence (what people around me usually drink)", 8, 
IF('Parse of Qs'!A8 = "To try new things", 9,
IF('Parse of Qs'!A8 = "Other:", 10, 
IF('Parse of Qs'!A8 = "", 11, "")))))))))))</f>
        <v>6</v>
      </c>
      <c r="L8" s="1">
        <f>IF('Parse of Qs'!B8="Taste/Flavor", 1,
IF('Parse of Qs'!B8="Price", 2,
IF('Parse of Qs'!B8="Energy boost/Caffeine", 3,
IF('Parse of Qs'!B8="Health benefits", 4,
IF('Parse of Qs'!B8 = "Social atmosphere", 5,
IF('Parse of Qs'!B8 ="Routine/Ritual", 6, 
IF('Parse of Qs'!B8 = "Branding/Imagery", 7,
IF('Parse of Qs'!B8 = "Social norms / influence (what people around me usually drink)", 8, 
IF('Parse of Qs'!B8 = "To try new things", 9,
IF('Parse of Qs'!B8 = "Other:", 10, 
IF('Parse of Qs'!B8 = "", 11, "")))))))))))</f>
        <v>11</v>
      </c>
      <c r="M8" s="1">
        <f>IF('Parse of Qs'!C8="At cafés", 1,
IF('Parse of Qs'!C8="At home", 2,
IF('Parse of Qs'!C8="From convenience stores (7-Eleven, Lawson, etc.)", 3,
IF('Parse of Qs'!C8="From vending machines", 4,
IF('Parse of Qs'!C8 = "Other:", 5,
IF('Parse of Qs'!C8 = "", 6, ""))))))</f>
        <v>2</v>
      </c>
      <c r="N8" s="1">
        <f>IF('Parse of Qs'!D8="At cafés", 1,
IF('Parse of Qs'!D8="At home", 2,
IF('Parse of Qs'!D8="From convenience stores (7-Eleven, Lawson, etc.)", 3,
IF('Parse of Qs'!D8="From vending machines", 4,
IF('Parse of Qs'!D8 = "Other:", 5,
IF('Parse of Qs'!D8 = "", 6, ""))))))</f>
        <v>1</v>
      </c>
      <c r="O8" s="1">
        <f>IF('Parse of Qs'!E8="At cafés", 1,
IF('Parse of Qs'!E8="At home", 2,
IF('Parse of Qs'!E8="From convenience stores (7-Eleven, Lawson, etc.)", 3,
IF('Parse of Qs'!E8="From vending machines", 4,
IF('Parse of Qs'!E8 = "Other:", 5,
IF('Parse of Qs'!E8 = "", 6, ""))))))</f>
        <v>3</v>
      </c>
      <c r="P8" s="1">
        <f>IF('Parse of Qs'!F8="At cafés", 1,
IF('Parse of Qs'!F8="At home", 2,
IF('Parse of Qs'!F8="From convenience stores (7-Eleven, Lawson, etc.)", 3,
IF('Parse of Qs'!F8="From vending machines", 4,
IF('Parse of Qs'!F8 = "Other:", 5,
IF('Parse of Qs'!F8 = "", 6, ""))))))</f>
        <v>4</v>
      </c>
      <c r="Q8" s="1">
        <f>IF(OR('Master English Sheet'!R8="Every Day",'Master English Sheet'!R8="Daily"), 1,
IF('Master English Sheet'!R8="Several times a week", 2,
IF('Master English Sheet'!R8="Once a week", 3,
IF('Master English Sheet'!R8="A few times a month", 4,
IF('Master English Sheet'!R8="Rarely", 5,
IF('Master English Sheet'!R8="Never", 6, 
IF('Master English Sheet'!R8 = "", 7, "")))))))</f>
        <v>2</v>
      </c>
      <c r="R8" s="1">
        <f>IF('Master English Sheet'!S8="To relax or take a break", 1,
IF('Master English Sheet'!S8="To meet friends", 2,
IF('Master English Sheet'!S8="To study/work", 3,
IF('Master English Sheet'!S8="To try a new drink", 4,
IF('Master English Sheet'!S8="Out of habit", 5,
IF('Master English Sheet'!S8="Other:", 6, 
IF('Master English Sheet'!S8 = "", 7, "")))))))</f>
        <v>1</v>
      </c>
      <c r="S8" s="1">
        <f>IF('Master English Sheet'!U8="Quality of drinks", 1,
IF('Master English Sheet'!U8="Atmosphere", 2,
IF('Master English Sheet'!U8="Service", 3,
IF('Master English Sheet'!U8="Brand image", 4,
IF('Master English Sheet'!U8="Other:", 5, 
IF('Master English Sheet'!U8 = "", 6, ""))))))</f>
        <v>2</v>
      </c>
      <c r="T8" s="1">
        <f>IF('Master English Sheet'!W8="Yes, Western", 1,
IF('Master English Sheet'!W8="Yes, Global", 2,
IF('Master English Sheet'!W8="Yes,  Japanese", 3,
IF('Master English Sheet'!W8="No", 4,
IF('Master English Sheet'!W8="Unsure", 5, 
IF('Master English Sheet'!W8 = "", 6, ""))))))</f>
        <v>2</v>
      </c>
      <c r="U8" s="1">
        <f>IF('Master English Sheet'!X8="Yes, Western", 1,
IF('Master English Sheet'!X8="Yes, Global", 2,
IF('Master English Sheet'!X8="Yes,  Japanese", 3,
IF('Master English Sheet'!X8="No", 4,
IF('Master English Sheet'!X8="Unsure", 5, 
IF('Master English Sheet'!X8 = "", 6, ""))))))</f>
        <v>1</v>
      </c>
      <c r="V8" s="1">
        <f>'Master English Sheet'!Y8</f>
        <v>7</v>
      </c>
      <c r="W8" s="1">
        <f>'Master English Sheet'!Z8</f>
        <v>6</v>
      </c>
      <c r="X8" s="1">
        <f>'Master English Sheet'!AA8</f>
        <v>7</v>
      </c>
    </row>
    <row r="9">
      <c r="A9" s="6">
        <v>8.0</v>
      </c>
      <c r="B9" s="6">
        <v>1.0</v>
      </c>
      <c r="C9" s="1">
        <f>IF('Master English Sheet'!D9="18-25", 1,
IF('Master English Sheet'!D9="26-35", 2,
IF('Master English Sheet'!D9="36-45", 3,
IF('Master English Sheet'!D9="46-55", 4,
IF('Master English Sheet'!D9="56-65", 5,
IF('Master English Sheet'!D9="65+", 6, ""))))))</f>
        <v>3</v>
      </c>
      <c r="D9" s="1">
        <f>IF('Master English Sheet'!E9="Male", 1,
IF('Master English Sheet'!E9="Female", 2,
IF('Master English Sheet'!E9="Nonbinary", 3,
IF('Master English Sheet'!E9="Prefer not to say", 4, ""))))</f>
        <v>2</v>
      </c>
      <c r="E9" s="1">
        <f>IF('Master English Sheet'!F9="Under ¥3,000,000", 1,
IF('Master English Sheet'!F9="¥3,000,000 – ¥5,999,999", 2,
IF('Master English Sheet'!F9="¥6,000,000 – ¥8,999,999", 3,
IF('Master English Sheet'!F9="¥9,000,000 – ¥11,999,999", 4,
IF('Master English Sheet'!F9 = "¥12,000,000 or more", 5,
IF('Master English Sheet'!F9 = "Prefer not to say", 6, ""))))))</f>
        <v>3</v>
      </c>
      <c r="F9" s="1">
        <f>IF('Master English Sheet'!G9="Hokkaido", 1,
IF('Master English Sheet'!G9="Tohoku", 2,
IF('Master English Sheet'!G9="Kanto", 3,
IF('Master English Sheet'!G9="Chubu", 4,
IF('Master English Sheet'!G9 = "Kansai", 5,
IF('Master English Sheet'!G9 = "Chugoku", 6,
IF('Master English Sheet'!G9 = "Shikoku", 7,
IF('Master English Sheet'!G9 = "Kyushu", 8,
IF('Master English Sheet'!G9 = "Okinawa", 9, 
IF('Master English Sheet'!G9 = "I do not live in Japan", 10, ""))))))))))</f>
        <v>3</v>
      </c>
      <c r="G9" s="1">
        <f>IF('Master English Sheet'!H9="Daily", 1,
IF('Master English Sheet'!H9="Several times a week", 2,
IF('Master English Sheet'!H9="Once a week", 3,
IF('Master English Sheet'!H9 = "Rarely", 4,
IF('Master English Sheet'!H9 = "Never", 5, "")))))</f>
        <v>2</v>
      </c>
      <c r="H9" s="1">
        <f>IF('Master English Sheet'!I9="Pour Over", 1,
IF('Master English Sheet'!I9="Drip", 2,
IF('Master English Sheet'!I9="Latte", 3,
IF('Master English Sheet'!I9="Americano", 4,
IF('Master English Sheet'!I9 = "Cappuccino", 5,
IF('Master English Sheet'!I9 = "Flavored coffee (mocha, vanilla, caramel, etc.)", 6,
IF('Master English Sheet'!I9 = "Cold brew", 7,
IF('Master English Sheet'!I9 = "I don't drink coffee", 8,
IF('Master English Sheet'!I9 = "Other:", 9,
IF('Master English Sheet'!I9 ="", 10, ""))))))))))</f>
        <v>5</v>
      </c>
      <c r="I9" s="1">
        <f>IF('Master English Sheet'!K9="Daily", 1,
IF('Master English Sheet'!K9="Several times a week", 2,
IF('Master English Sheet'!K9="Once a week", 3,
IF('Master English Sheet'!K9 = "Rarely", 4,
IF('Master English Sheet'!K9 = "Never", 5, "")))))</f>
        <v>4</v>
      </c>
      <c r="J9" s="1">
        <f>IF('Master English Sheet'!L9="Usucha", 1,
IF('Master English Sheet'!L9="Koicha", 2,
IF('Master English Sheet'!L9="Matcha Latte", 3,
IF('Master English Sheet'!L9="I don’t drink matcha", 4,
IF('Master English Sheet'!L9 = "Other:", 5,
IF('Master English Sheet'!L9 ="", 6, ""))))))</f>
        <v>4</v>
      </c>
      <c r="K9" s="1">
        <f>IF('Parse of Qs'!A9="Taste/Flavor", 1,
IF('Parse of Qs'!A9="Price", 2,
IF('Parse of Qs'!A9="Energy boost/Caffeine", 3,
IF('Parse of Qs'!A9="Health benefits", 4,
IF('Parse of Qs'!A9 = "Social atmosphere", 5,
IF('Parse of Qs'!A9 ="Routine/Ritual", 6, 
IF('Parse of Qs'!A9 = "Branding/Imagery", 7,
IF('Parse of Qs'!A9 = "Social norms / influence (what people around me usually drink)", 8, 
IF('Parse of Qs'!A9 = "To try new things", 9,
IF('Parse of Qs'!A9 = "Other:", 10, 
IF('Parse of Qs'!A9 = "", 11, "")))))))))))</f>
        <v>9</v>
      </c>
      <c r="L9" s="1">
        <f>IF('Parse of Qs'!B9="Taste/Flavor", 1,
IF('Parse of Qs'!B9="Price", 2,
IF('Parse of Qs'!B9="Energy boost/Caffeine", 3,
IF('Parse of Qs'!B9="Health benefits", 4,
IF('Parse of Qs'!B9 = "Social atmosphere", 5,
IF('Parse of Qs'!B9 ="Routine/Ritual", 6, 
IF('Parse of Qs'!B9 = "Branding/Imagery", 7,
IF('Parse of Qs'!B9 = "Social norms / influence (what people around me usually drink)", 8, 
IF('Parse of Qs'!B9 = "To try new things", 9,
IF('Parse of Qs'!B9 = "Other:", 10, 
IF('Parse of Qs'!B9 = "", 11, "")))))))))))</f>
        <v>11</v>
      </c>
      <c r="M9" s="1">
        <f>IF('Parse of Qs'!C9="At cafés", 1,
IF('Parse of Qs'!C9="At home", 2,
IF('Parse of Qs'!C9="From convenience stores (7-Eleven, Lawson, etc.)", 3,
IF('Parse of Qs'!C9="From vending machines", 4,
IF('Parse of Qs'!C9 = "Other:", 5,
IF('Parse of Qs'!C9 = "", 6, ""))))))</f>
        <v>1</v>
      </c>
      <c r="N9" s="1">
        <f>IF('Parse of Qs'!D9="At cafés", 1,
IF('Parse of Qs'!D9="At home", 2,
IF('Parse of Qs'!D9="From convenience stores (7-Eleven, Lawson, etc.)", 3,
IF('Parse of Qs'!D9="From vending machines", 4,
IF('Parse of Qs'!D9 = "Other:", 5,
IF('Parse of Qs'!D9 = "", 6, ""))))))</f>
        <v>6</v>
      </c>
      <c r="O9" s="1">
        <f>IF('Parse of Qs'!E9="At cafés", 1,
IF('Parse of Qs'!E9="At home", 2,
IF('Parse of Qs'!E9="From convenience stores (7-Eleven, Lawson, etc.)", 3,
IF('Parse of Qs'!E9="From vending machines", 4,
IF('Parse of Qs'!E9 = "Other:", 5,
IF('Parse of Qs'!E9 = "", 6, ""))))))</f>
        <v>6</v>
      </c>
      <c r="P9" s="1">
        <f>IF('Parse of Qs'!F9="At cafés", 1,
IF('Parse of Qs'!F9="At home", 2,
IF('Parse of Qs'!F9="From convenience stores (7-Eleven, Lawson, etc.)", 3,
IF('Parse of Qs'!F9="From vending machines", 4,
IF('Parse of Qs'!F9 = "Other:", 5,
IF('Parse of Qs'!F9 = "", 6, ""))))))</f>
        <v>6</v>
      </c>
      <c r="Q9" s="1">
        <f>IF(OR('Master English Sheet'!R9="Every Day",'Master English Sheet'!R9="Daily"), 1,
IF('Master English Sheet'!R9="Several times a week", 2,
IF('Master English Sheet'!R9="Once a week", 3,
IF('Master English Sheet'!R9="A few times a month", 4,
IF('Master English Sheet'!R9="Rarely", 5,
IF('Master English Sheet'!R9="Never", 6, 
IF('Master English Sheet'!R9 = "", 7, "")))))))</f>
        <v>3</v>
      </c>
      <c r="R9" s="1">
        <f>IF('Master English Sheet'!S9="To relax or take a break", 1,
IF('Master English Sheet'!S9="To meet friends", 2,
IF('Master English Sheet'!S9="To study/work", 3,
IF('Master English Sheet'!S9="To try a new drink", 4,
IF('Master English Sheet'!S9="Out of habit", 5,
IF('Master English Sheet'!S9="Other:", 6, 
IF('Master English Sheet'!S9 = "", 7, "")))))))</f>
        <v>3</v>
      </c>
      <c r="S9" s="1">
        <f>IF('Master English Sheet'!U9="Quality of drinks", 1,
IF('Master English Sheet'!U9="Atmosphere", 2,
IF('Master English Sheet'!U9="Service", 3,
IF('Master English Sheet'!U9="Brand image", 4,
IF('Master English Sheet'!U9="Other:", 5, 
IF('Master English Sheet'!U9 = "", 6, ""))))))</f>
        <v>1</v>
      </c>
      <c r="T9" s="1">
        <f>IF('Master English Sheet'!W9="Yes, Western", 1,
IF('Master English Sheet'!W9="Yes, Global", 2,
IF('Master English Sheet'!W9="Yes,  Japanese", 3,
IF('Master English Sheet'!W9="No", 4,
IF('Master English Sheet'!W9="Unsure", 5, 
IF('Master English Sheet'!W9 = "", 6, ""))))))</f>
        <v>4</v>
      </c>
      <c r="U9" s="1">
        <f>IF('Master English Sheet'!X9="Yes, Western", 1,
IF('Master English Sheet'!X9="Yes, Global", 2,
IF('Master English Sheet'!X9="Yes,  Japanese", 3,
IF('Master English Sheet'!X9="No", 4,
IF('Master English Sheet'!X9="Unsure", 5, 
IF('Master English Sheet'!X9 = "", 6, ""))))))</f>
        <v>3</v>
      </c>
      <c r="V9" s="1">
        <f>'Master English Sheet'!Y9</f>
        <v>6</v>
      </c>
      <c r="W9" s="1">
        <f>'Master English Sheet'!Z9</f>
        <v>4</v>
      </c>
      <c r="X9" s="1">
        <f>'Master English Sheet'!AA9</f>
        <v>6</v>
      </c>
    </row>
    <row r="10">
      <c r="A10" s="6">
        <v>9.0</v>
      </c>
      <c r="B10" s="6">
        <v>1.0</v>
      </c>
      <c r="C10" s="1">
        <f>IF('Master English Sheet'!D10="18-25", 1,
IF('Master English Sheet'!D10="26-35", 2,
IF('Master English Sheet'!D10="36-45", 3,
IF('Master English Sheet'!D10="46-55", 4,
IF('Master English Sheet'!D10="56-65", 5,
IF('Master English Sheet'!D10="65+", 6, ""))))))</f>
        <v>4</v>
      </c>
      <c r="D10" s="1">
        <f>IF('Master English Sheet'!E10="Male", 1,
IF('Master English Sheet'!E10="Female", 2,
IF('Master English Sheet'!E10="Nonbinary", 3,
IF('Master English Sheet'!E10="Prefer not to say", 4, ""))))</f>
        <v>2</v>
      </c>
      <c r="E10" s="1">
        <f>IF('Master English Sheet'!F10="Under ¥3,000,000", 1,
IF('Master English Sheet'!F10="¥3,000,000 – ¥5,999,999", 2,
IF('Master English Sheet'!F10="¥6,000,000 – ¥8,999,999", 3,
IF('Master English Sheet'!F10="¥9,000,000 – ¥11,999,999", 4,
IF('Master English Sheet'!F10 = "¥12,000,000 or more", 5,
IF('Master English Sheet'!F10 = "Prefer not to say", 6, ""))))))</f>
        <v>5</v>
      </c>
      <c r="F10" s="1">
        <f>IF('Master English Sheet'!G10="Hokkaido", 1,
IF('Master English Sheet'!G10="Tohoku", 2,
IF('Master English Sheet'!G10="Kanto", 3,
IF('Master English Sheet'!G10="Chubu", 4,
IF('Master English Sheet'!G10 = "Kansai", 5,
IF('Master English Sheet'!G10 = "Chugoku", 6,
IF('Master English Sheet'!G10 = "Shikoku", 7,
IF('Master English Sheet'!G10 = "Kyushu", 8,
IF('Master English Sheet'!G10 = "Okinawa", 9, 
IF('Master English Sheet'!G10 = "I do not live in Japan", 10, ""))))))))))</f>
        <v>3</v>
      </c>
      <c r="G10" s="1">
        <f>IF('Master English Sheet'!H10="Daily", 1,
IF('Master English Sheet'!H10="Several times a week", 2,
IF('Master English Sheet'!H10="Once a week", 3,
IF('Master English Sheet'!H10 = "Rarely", 4,
IF('Master English Sheet'!H10 = "Never", 5, "")))))</f>
        <v>3</v>
      </c>
      <c r="H10" s="1">
        <f>IF('Master English Sheet'!I10="Pour Over", 1,
IF('Master English Sheet'!I10="Drip", 2,
IF('Master English Sheet'!I10="Latte", 3,
IF('Master English Sheet'!I10="Americano", 4,
IF('Master English Sheet'!I10 = "Cappuccino", 5,
IF('Master English Sheet'!I10 = "Flavored coffee (mocha, vanilla, caramel, etc.)", 6,
IF('Master English Sheet'!I10 = "Cold brew", 7,
IF('Master English Sheet'!I10 = "I don't drink coffee", 8,
IF('Master English Sheet'!I10 = "Other:", 9,
IF('Master English Sheet'!I10 ="", 10, ""))))))))))</f>
        <v>3</v>
      </c>
      <c r="I10" s="1">
        <f>IF('Master English Sheet'!K10="Daily", 1,
IF('Master English Sheet'!K10="Several times a week", 2,
IF('Master English Sheet'!K10="Once a week", 3,
IF('Master English Sheet'!K10 = "Rarely", 4,
IF('Master English Sheet'!K10 = "Never", 5, "")))))</f>
        <v>4</v>
      </c>
      <c r="J10" s="1">
        <f>IF('Master English Sheet'!L10="Usucha", 1,
IF('Master English Sheet'!L10="Koicha", 2,
IF('Master English Sheet'!L10="Matcha Latte", 3,
IF('Master English Sheet'!L10="I don’t drink matcha", 4,
IF('Master English Sheet'!L10 = "Other:", 5,
IF('Master English Sheet'!L10 ="", 6, ""))))))</f>
        <v>2</v>
      </c>
      <c r="K10" s="1">
        <f>IF('Parse of Qs'!A10="Taste/Flavor", 1,
IF('Parse of Qs'!A10="Price", 2,
IF('Parse of Qs'!A10="Energy boost/Caffeine", 3,
IF('Parse of Qs'!A10="Health benefits", 4,
IF('Parse of Qs'!A10 = "Social atmosphere", 5,
IF('Parse of Qs'!A10 ="Routine/Ritual", 6, 
IF('Parse of Qs'!A10 = "Branding/Imagery", 7,
IF('Parse of Qs'!A10 = "Social norms / influence (what people around me usually drink)", 8, 
IF('Parse of Qs'!A10 = "To try new things", 9,
IF('Parse of Qs'!A10 = "Other:", 10, 
IF('Parse of Qs'!A10 = "", 11, "")))))))))))</f>
        <v>1</v>
      </c>
      <c r="L10" s="1">
        <f>IF('Parse of Qs'!B10="Taste/Flavor", 1,
IF('Parse of Qs'!B10="Price", 2,
IF('Parse of Qs'!B10="Energy boost/Caffeine", 3,
IF('Parse of Qs'!B10="Health benefits", 4,
IF('Parse of Qs'!B10 = "Social atmosphere", 5,
IF('Parse of Qs'!B10 ="Routine/Ritual", 6, 
IF('Parse of Qs'!B10 = "Branding/Imagery", 7,
IF('Parse of Qs'!B10 = "Social norms / influence (what people around me usually drink)", 8, 
IF('Parse of Qs'!B10 = "To try new things", 9,
IF('Parse of Qs'!B10 = "Other:", 10, 
IF('Parse of Qs'!B10 = "", 11, "")))))))))))</f>
        <v>4</v>
      </c>
      <c r="M10" s="1">
        <f>IF('Parse of Qs'!C10="At cafés", 1,
IF('Parse of Qs'!C10="At home", 2,
IF('Parse of Qs'!C10="From convenience stores (7-Eleven, Lawson, etc.)", 3,
IF('Parse of Qs'!C10="From vending machines", 4,
IF('Parse of Qs'!C10 = "Other:", 5,
IF('Parse of Qs'!C10 = "", 6, ""))))))</f>
        <v>1</v>
      </c>
      <c r="N10" s="1">
        <f>IF('Parse of Qs'!D10="At cafés", 1,
IF('Parse of Qs'!D10="At home", 2,
IF('Parse of Qs'!D10="From convenience stores (7-Eleven, Lawson, etc.)", 3,
IF('Parse of Qs'!D10="From vending machines", 4,
IF('Parse of Qs'!D10 = "Other:", 5,
IF('Parse of Qs'!D10 = "", 6, ""))))))</f>
        <v>2</v>
      </c>
      <c r="O10" s="1">
        <f>IF('Parse of Qs'!E10="At cafés", 1,
IF('Parse of Qs'!E10="At home", 2,
IF('Parse of Qs'!E10="From convenience stores (7-Eleven, Lawson, etc.)", 3,
IF('Parse of Qs'!E10="From vending machines", 4,
IF('Parse of Qs'!E10 = "Other:", 5,
IF('Parse of Qs'!E10 = "", 6, ""))))))</f>
        <v>6</v>
      </c>
      <c r="P10" s="1">
        <f>IF('Parse of Qs'!F10="At cafés", 1,
IF('Parse of Qs'!F10="At home", 2,
IF('Parse of Qs'!F10="From convenience stores (7-Eleven, Lawson, etc.)", 3,
IF('Parse of Qs'!F10="From vending machines", 4,
IF('Parse of Qs'!F10 = "Other:", 5,
IF('Parse of Qs'!F10 = "", 6, ""))))))</f>
        <v>6</v>
      </c>
      <c r="Q10" s="1">
        <f>IF(OR('Master English Sheet'!R10="Every Day",'Master English Sheet'!R10="Daily"), 1,
IF('Master English Sheet'!R10="Several times a week", 2,
IF('Master English Sheet'!R10="Once a week", 3,
IF('Master English Sheet'!R10="A few times a month", 4,
IF('Master English Sheet'!R10="Rarely", 5,
IF('Master English Sheet'!R10="Never", 6, 
IF('Master English Sheet'!R10 = "", 7, "")))))))</f>
        <v>3</v>
      </c>
      <c r="R10" s="1">
        <f>IF('Master English Sheet'!S10="To relax or take a break", 1,
IF('Master English Sheet'!S10="To meet friends", 2,
IF('Master English Sheet'!S10="To study/work", 3,
IF('Master English Sheet'!S10="To try a new drink", 4,
IF('Master English Sheet'!S10="Out of habit", 5,
IF('Master English Sheet'!S10="Other:", 6, 
IF('Master English Sheet'!S10 = "", 7, "")))))))</f>
        <v>4</v>
      </c>
      <c r="S10" s="1">
        <f>IF('Master English Sheet'!U10="Quality of drinks", 1,
IF('Master English Sheet'!U10="Atmosphere", 2,
IF('Master English Sheet'!U10="Service", 3,
IF('Master English Sheet'!U10="Brand image", 4,
IF('Master English Sheet'!U10="Other:", 5, 
IF('Master English Sheet'!U10 = "", 6, ""))))))</f>
        <v>1</v>
      </c>
      <c r="T10" s="1">
        <f>IF('Master English Sheet'!W10="Yes, Western", 1,
IF('Master English Sheet'!W10="Yes, Global", 2,
IF('Master English Sheet'!W10="Yes,  Japanese", 3,
IF('Master English Sheet'!W10="No", 4,
IF('Master English Sheet'!W10="Unsure", 5, 
IF('Master English Sheet'!W10 = "", 6, ""))))))</f>
        <v>2</v>
      </c>
      <c r="U10" s="1">
        <f>IF('Master English Sheet'!X10="Yes, Western", 1,
IF('Master English Sheet'!X10="Yes, Global", 2,
IF('Master English Sheet'!X10="Yes,  Japanese", 3,
IF('Master English Sheet'!X10="No", 4,
IF('Master English Sheet'!X10="Unsure", 5, 
IF('Master English Sheet'!X10 = "", 6, ""))))))</f>
        <v>3</v>
      </c>
      <c r="V10" s="1">
        <f>'Master English Sheet'!Y10</f>
        <v>4</v>
      </c>
      <c r="W10" s="1">
        <f>'Master English Sheet'!Z10</f>
        <v>7</v>
      </c>
      <c r="X10" s="1">
        <f>'Master English Sheet'!AA10</f>
        <v>6</v>
      </c>
    </row>
    <row r="11">
      <c r="A11" s="6">
        <v>10.0</v>
      </c>
      <c r="B11" s="6">
        <v>1.0</v>
      </c>
      <c r="C11" s="1">
        <f>IF('Master English Sheet'!D11="18-25", 1,
IF('Master English Sheet'!D11="26-35", 2,
IF('Master English Sheet'!D11="36-45", 3,
IF('Master English Sheet'!D11="46-55", 4,
IF('Master English Sheet'!D11="56-65", 5,
IF('Master English Sheet'!D11="65+", 6, ""))))))</f>
        <v>2</v>
      </c>
      <c r="D11" s="1">
        <f>IF('Master English Sheet'!E11="Male", 1,
IF('Master English Sheet'!E11="Female", 2,
IF('Master English Sheet'!E11="Nonbinary", 3,
IF('Master English Sheet'!E11="Prefer not to say", 4, ""))))</f>
        <v>2</v>
      </c>
      <c r="E11" s="1">
        <f>IF('Master English Sheet'!F11="Under ¥3,000,000", 1,
IF('Master English Sheet'!F11="¥3,000,000 – ¥5,999,999", 2,
IF('Master English Sheet'!F11="¥6,000,000 – ¥8,999,999", 3,
IF('Master English Sheet'!F11="¥9,000,000 – ¥11,999,999", 4,
IF('Master English Sheet'!F11 = "¥12,000,000 or more", 5,
IF('Master English Sheet'!F11 = "Prefer not to say", 6, ""))))))</f>
        <v>2</v>
      </c>
      <c r="F11" s="1">
        <f>IF('Master English Sheet'!G11="Hokkaido", 1,
IF('Master English Sheet'!G11="Tohoku", 2,
IF('Master English Sheet'!G11="Kanto", 3,
IF('Master English Sheet'!G11="Chubu", 4,
IF('Master English Sheet'!G11 = "Kansai", 5,
IF('Master English Sheet'!G11 = "Chugoku", 6,
IF('Master English Sheet'!G11 = "Shikoku", 7,
IF('Master English Sheet'!G11 = "Kyushu", 8,
IF('Master English Sheet'!G11 = "Okinawa", 9, 
IF('Master English Sheet'!G11 = "I do not live in Japan", 10, ""))))))))))</f>
        <v>3</v>
      </c>
      <c r="G11" s="1">
        <f>IF('Master English Sheet'!H11="Daily", 1,
IF('Master English Sheet'!H11="Several times a week", 2,
IF('Master English Sheet'!H11="Once a week", 3,
IF('Master English Sheet'!H11 = "Rarely", 4,
IF('Master English Sheet'!H11 = "Never", 5, "")))))</f>
        <v>4</v>
      </c>
      <c r="H11" s="1">
        <f>IF('Master English Sheet'!I11="Pour Over", 1,
IF('Master English Sheet'!I11="Drip", 2,
IF('Master English Sheet'!I11="Latte", 3,
IF('Master English Sheet'!I11="Americano", 4,
IF('Master English Sheet'!I11 = "Cappuccino", 5,
IF('Master English Sheet'!I11 = "Flavored coffee (mocha, vanilla, caramel, etc.)", 6,
IF('Master English Sheet'!I11 = "Cold brew", 7,
IF('Master English Sheet'!I11 = "I don't drink coffee", 8,
IF('Master English Sheet'!I11 = "Other:", 9,
IF('Master English Sheet'!I11 ="", 10, ""))))))))))</f>
        <v>3</v>
      </c>
      <c r="I11" s="1">
        <f>IF('Master English Sheet'!K11="Daily", 1,
IF('Master English Sheet'!K11="Several times a week", 2,
IF('Master English Sheet'!K11="Once a week", 3,
IF('Master English Sheet'!K11 = "Rarely", 4,
IF('Master English Sheet'!K11 = "Never", 5, "")))))</f>
        <v>3</v>
      </c>
      <c r="J11" s="1">
        <f>IF('Master English Sheet'!L11="Usucha", 1,
IF('Master English Sheet'!L11="Koicha", 2,
IF('Master English Sheet'!L11="Matcha Latte", 3,
IF('Master English Sheet'!L11="I don’t drink matcha", 4,
IF('Master English Sheet'!L11 = "Other:", 5,
IF('Master English Sheet'!L11 ="", 6, ""))))))</f>
        <v>3</v>
      </c>
      <c r="K11" s="1">
        <f>IF('Parse of Qs'!A11="Taste/Flavor", 1,
IF('Parse of Qs'!A11="Price", 2,
IF('Parse of Qs'!A11="Energy boost/Caffeine", 3,
IF('Parse of Qs'!A11="Health benefits", 4,
IF('Parse of Qs'!A11 = "Social atmosphere", 5,
IF('Parse of Qs'!A11 ="Routine/Ritual", 6, 
IF('Parse of Qs'!A11 = "Branding/Imagery", 7,
IF('Parse of Qs'!A11 = "Social norms / influence (what people around me usually drink)", 8, 
IF('Parse of Qs'!A11 = "To try new things", 9,
IF('Parse of Qs'!A11 = "Other:", 10, 
IF('Parse of Qs'!A11 = "", 11, "")))))))))))</f>
        <v>3</v>
      </c>
      <c r="L11" s="1">
        <f>IF('Parse of Qs'!B11="Taste/Flavor", 1,
IF('Parse of Qs'!B11="Price", 2,
IF('Parse of Qs'!B11="Energy boost/Caffeine", 3,
IF('Parse of Qs'!B11="Health benefits", 4,
IF('Parse of Qs'!B11 = "Social atmosphere", 5,
IF('Parse of Qs'!B11 ="Routine/Ritual", 6, 
IF('Parse of Qs'!B11 = "Branding/Imagery", 7,
IF('Parse of Qs'!B11 = "Social norms / influence (what people around me usually drink)", 8, 
IF('Parse of Qs'!B11 = "To try new things", 9,
IF('Parse of Qs'!B11 = "Other:", 10, 
IF('Parse of Qs'!B11 = "", 11, "")))))))))))</f>
        <v>6</v>
      </c>
      <c r="M11" s="1">
        <f>IF('Parse of Qs'!C11="At cafés", 1,
IF('Parse of Qs'!C11="At home", 2,
IF('Parse of Qs'!C11="From convenience stores (7-Eleven, Lawson, etc.)", 3,
IF('Parse of Qs'!C11="From vending machines", 4,
IF('Parse of Qs'!C11 = "Other:", 5,
IF('Parse of Qs'!C11 = "", 6, ""))))))</f>
        <v>1</v>
      </c>
      <c r="N11" s="1">
        <f>IF('Parse of Qs'!D11="At cafés", 1,
IF('Parse of Qs'!D11="At home", 2,
IF('Parse of Qs'!D11="From convenience stores (7-Eleven, Lawson, etc.)", 3,
IF('Parse of Qs'!D11="From vending machines", 4,
IF('Parse of Qs'!D11 = "Other:", 5,
IF('Parse of Qs'!D11 = "", 6, ""))))))</f>
        <v>6</v>
      </c>
      <c r="O11" s="1">
        <f>IF('Parse of Qs'!E11="At cafés", 1,
IF('Parse of Qs'!E11="At home", 2,
IF('Parse of Qs'!E11="From convenience stores (7-Eleven, Lawson, etc.)", 3,
IF('Parse of Qs'!E11="From vending machines", 4,
IF('Parse of Qs'!E11 = "Other:", 5,
IF('Parse of Qs'!E11 = "", 6, ""))))))</f>
        <v>6</v>
      </c>
      <c r="P11" s="1">
        <f>IF('Parse of Qs'!F11="At cafés", 1,
IF('Parse of Qs'!F11="At home", 2,
IF('Parse of Qs'!F11="From convenience stores (7-Eleven, Lawson, etc.)", 3,
IF('Parse of Qs'!F11="From vending machines", 4,
IF('Parse of Qs'!F11 = "Other:", 5,
IF('Parse of Qs'!F11 = "", 6, ""))))))</f>
        <v>6</v>
      </c>
      <c r="Q11" s="1">
        <f>IF(OR('Master English Sheet'!R11="Every Day",'Master English Sheet'!R11="Daily"), 1,
IF('Master English Sheet'!R11="Several times a week", 2,
IF('Master English Sheet'!R11="Once a week", 3,
IF('Master English Sheet'!R11="A few times a month", 4,
IF('Master English Sheet'!R11="Rarely", 5,
IF('Master English Sheet'!R11="Never", 6, 
IF('Master English Sheet'!R11 = "", 7, "")))))))</f>
        <v>3</v>
      </c>
      <c r="R11" s="1">
        <f>IF('Master English Sheet'!S11="To relax or take a break", 1,
IF('Master English Sheet'!S11="To meet friends", 2,
IF('Master English Sheet'!S11="To study/work", 3,
IF('Master English Sheet'!S11="To try a new drink", 4,
IF('Master English Sheet'!S11="Out of habit", 5,
IF('Master English Sheet'!S11="Other:", 6, 
IF('Master English Sheet'!S11 = "", 7, "")))))))</f>
        <v>3</v>
      </c>
      <c r="S11" s="1">
        <f>IF('Master English Sheet'!U11="Quality of drinks", 1,
IF('Master English Sheet'!U11="Atmosphere", 2,
IF('Master English Sheet'!U11="Service", 3,
IF('Master English Sheet'!U11="Brand image", 4,
IF('Master English Sheet'!U11="Other:", 5, 
IF('Master English Sheet'!U11 = "", 6, ""))))))</f>
        <v>2</v>
      </c>
      <c r="T11" s="1">
        <f>IF('Master English Sheet'!W11="Yes, Western", 1,
IF('Master English Sheet'!W11="Yes, Global", 2,
IF('Master English Sheet'!W11="Yes,  Japanese", 3,
IF('Master English Sheet'!W11="No", 4,
IF('Master English Sheet'!W11="Unsure", 5, 
IF('Master English Sheet'!W11 = "", 6, ""))))))</f>
        <v>2</v>
      </c>
      <c r="U11" s="1">
        <f>IF('Master English Sheet'!X11="Yes, Western", 1,
IF('Master English Sheet'!X11="Yes, Global", 2,
IF('Master English Sheet'!X11="Yes,  Japanese", 3,
IF('Master English Sheet'!X11="No", 4,
IF('Master English Sheet'!X11="Unsure", 5, 
IF('Master English Sheet'!X11 = "", 6, ""))))))</f>
        <v>3</v>
      </c>
      <c r="V11" s="1">
        <f>'Master English Sheet'!Y11</f>
        <v>1</v>
      </c>
      <c r="W11" s="1">
        <f>'Master English Sheet'!Z11</f>
        <v>6</v>
      </c>
      <c r="X11" s="1">
        <f>'Master English Sheet'!AA11</f>
        <v>6</v>
      </c>
    </row>
    <row r="12">
      <c r="A12" s="6">
        <v>11.0</v>
      </c>
      <c r="B12" s="6">
        <v>1.0</v>
      </c>
      <c r="C12" s="1">
        <f>IF('Master English Sheet'!D12="18-25", 1,
IF('Master English Sheet'!D12="26-35", 2,
IF('Master English Sheet'!D12="36-45", 3,
IF('Master English Sheet'!D12="46-55", 4,
IF('Master English Sheet'!D12="56-65", 5,
IF('Master English Sheet'!D12="65+", 6, ""))))))</f>
        <v>4</v>
      </c>
      <c r="D12" s="1">
        <f>IF('Master English Sheet'!E12="Male", 1,
IF('Master English Sheet'!E12="Female", 2,
IF('Master English Sheet'!E12="Nonbinary", 3,
IF('Master English Sheet'!E12="Prefer not to say", 4, ""))))</f>
        <v>1</v>
      </c>
      <c r="E12" s="1">
        <f>IF('Master English Sheet'!F12="Under ¥3,000,000", 1,
IF('Master English Sheet'!F12="¥3,000,000 – ¥5,999,999", 2,
IF('Master English Sheet'!F12="¥6,000,000 – ¥8,999,999", 3,
IF('Master English Sheet'!F12="¥9,000,000 – ¥11,999,999", 4,
IF('Master English Sheet'!F12 = "¥12,000,000 or more", 5,
IF('Master English Sheet'!F12 = "Prefer not to say", 6, ""))))))</f>
        <v>5</v>
      </c>
      <c r="F12" s="1">
        <f>IF('Master English Sheet'!G12="Hokkaido", 1,
IF('Master English Sheet'!G12="Tohoku", 2,
IF('Master English Sheet'!G12="Kanto", 3,
IF('Master English Sheet'!G12="Chubu", 4,
IF('Master English Sheet'!G12 = "Kansai", 5,
IF('Master English Sheet'!G12 = "Chugoku", 6,
IF('Master English Sheet'!G12 = "Shikoku", 7,
IF('Master English Sheet'!G12 = "Kyushu", 8,
IF('Master English Sheet'!G12 = "Okinawa", 9, 
IF('Master English Sheet'!G12 = "I do not live in Japan", 10, ""))))))))))</f>
        <v>3</v>
      </c>
      <c r="G12" s="1">
        <f>IF('Master English Sheet'!H12="Daily", 1,
IF('Master English Sheet'!H12="Several times a week", 2,
IF('Master English Sheet'!H12="Once a week", 3,
IF('Master English Sheet'!H12 = "Rarely", 4,
IF('Master English Sheet'!H12 = "Never", 5, "")))))</f>
        <v>1</v>
      </c>
      <c r="H12" s="1">
        <f>IF('Master English Sheet'!I12="Pour Over", 1,
IF('Master English Sheet'!I12="Drip", 2,
IF('Master English Sheet'!I12="Latte", 3,
IF('Master English Sheet'!I12="Americano", 4,
IF('Master English Sheet'!I12 = "Cappuccino", 5,
IF('Master English Sheet'!I12 = "Flavored coffee (mocha, vanilla, caramel, etc.)", 6,
IF('Master English Sheet'!I12 = "Cold brew", 7,
IF('Master English Sheet'!I12 = "I don't drink coffee", 8,
IF('Master English Sheet'!I12 = "Other:", 9,
IF('Master English Sheet'!I12 ="", 10, ""))))))))))</f>
        <v>9</v>
      </c>
      <c r="I12" s="1">
        <f>IF('Master English Sheet'!K12="Daily", 1,
IF('Master English Sheet'!K12="Several times a week", 2,
IF('Master English Sheet'!K12="Once a week", 3,
IF('Master English Sheet'!K12 = "Rarely", 4,
IF('Master English Sheet'!K12 = "Never", 5, "")))))</f>
        <v>5</v>
      </c>
      <c r="J12" s="1">
        <f>IF('Master English Sheet'!L12="Usucha", 1,
IF('Master English Sheet'!L12="Koicha", 2,
IF('Master English Sheet'!L12="Matcha Latte", 3,
IF('Master English Sheet'!L12="I don’t drink matcha", 4,
IF('Master English Sheet'!L12 = "Other:", 5,
IF('Master English Sheet'!L12 ="", 6, ""))))))</f>
        <v>6</v>
      </c>
      <c r="K12" s="1">
        <f>IF('Parse of Qs'!A12="Taste/Flavor", 1,
IF('Parse of Qs'!A12="Price", 2,
IF('Parse of Qs'!A12="Energy boost/Caffeine", 3,
IF('Parse of Qs'!A12="Health benefits", 4,
IF('Parse of Qs'!A12 = "Social atmosphere", 5,
IF('Parse of Qs'!A12 ="Routine/Ritual", 6, 
IF('Parse of Qs'!A12 = "Branding/Imagery", 7,
IF('Parse of Qs'!A12 = "Social norms / influence (what people around me usually drink)", 8, 
IF('Parse of Qs'!A12 = "To try new things", 9,
IF('Parse of Qs'!A12 = "Other:", 10, 
IF('Parse of Qs'!A12 = "", 11, "")))))))))))</f>
        <v>1</v>
      </c>
      <c r="L12" s="1">
        <f>IF('Parse of Qs'!B12="Taste/Flavor", 1,
IF('Parse of Qs'!B12="Price", 2,
IF('Parse of Qs'!B12="Energy boost/Caffeine", 3,
IF('Parse of Qs'!B12="Health benefits", 4,
IF('Parse of Qs'!B12 = "Social atmosphere", 5,
IF('Parse of Qs'!B12 ="Routine/Ritual", 6, 
IF('Parse of Qs'!B12 = "Branding/Imagery", 7,
IF('Parse of Qs'!B12 = "Social norms / influence (what people around me usually drink)", 8, 
IF('Parse of Qs'!B12 = "To try new things", 9,
IF('Parse of Qs'!B12 = "Other:", 10, 
IF('Parse of Qs'!B12 = "", 11, "")))))))))))</f>
        <v>11</v>
      </c>
      <c r="M12" s="1">
        <f>IF('Parse of Qs'!C12="At cafés", 1,
IF('Parse of Qs'!C12="At home", 2,
IF('Parse of Qs'!C12="From convenience stores (7-Eleven, Lawson, etc.)", 3,
IF('Parse of Qs'!C12="From vending machines", 4,
IF('Parse of Qs'!C12 = "Other:", 5,
IF('Parse of Qs'!C12 = "", 6, ""))))))</f>
        <v>2</v>
      </c>
      <c r="N12" s="1">
        <f>IF('Parse of Qs'!D12="At cafés", 1,
IF('Parse of Qs'!D12="At home", 2,
IF('Parse of Qs'!D12="From convenience stores (7-Eleven, Lawson, etc.)", 3,
IF('Parse of Qs'!D12="From vending machines", 4,
IF('Parse of Qs'!D12 = "Other:", 5,
IF('Parse of Qs'!D12 = "", 6, ""))))))</f>
        <v>1</v>
      </c>
      <c r="O12" s="1">
        <f>IF('Parse of Qs'!E12="At cafés", 1,
IF('Parse of Qs'!E12="At home", 2,
IF('Parse of Qs'!E12="From convenience stores (7-Eleven, Lawson, etc.)", 3,
IF('Parse of Qs'!E12="From vending machines", 4,
IF('Parse of Qs'!E12 = "Other:", 5,
IF('Parse of Qs'!E12 = "", 6, ""))))))</f>
        <v>6</v>
      </c>
      <c r="P12" s="1">
        <f>IF('Parse of Qs'!F12="At cafés", 1,
IF('Parse of Qs'!F12="At home", 2,
IF('Parse of Qs'!F12="From convenience stores (7-Eleven, Lawson, etc.)", 3,
IF('Parse of Qs'!F12="From vending machines", 4,
IF('Parse of Qs'!F12 = "Other:", 5,
IF('Parse of Qs'!F12 = "", 6, ""))))))</f>
        <v>6</v>
      </c>
      <c r="Q12" s="1">
        <f>IF(OR('Master English Sheet'!R12="Every Day",'Master English Sheet'!R12="Daily"), 1,
IF('Master English Sheet'!R12="Several times a week", 2,
IF('Master English Sheet'!R12="Once a week", 3,
IF('Master English Sheet'!R12="A few times a month", 4,
IF('Master English Sheet'!R12="Rarely", 5,
IF('Master English Sheet'!R12="Never", 6, 
IF('Master English Sheet'!R12 = "", 7, "")))))))</f>
        <v>2</v>
      </c>
      <c r="R12" s="1">
        <f>IF('Master English Sheet'!S12="To relax or take a break", 1,
IF('Master English Sheet'!S12="To meet friends", 2,
IF('Master English Sheet'!S12="To study/work", 3,
IF('Master English Sheet'!S12="To try a new drink", 4,
IF('Master English Sheet'!S12="Out of habit", 5,
IF('Master English Sheet'!S12="Other:", 6, 
IF('Master English Sheet'!S12 = "", 7, "")))))))</f>
        <v>2</v>
      </c>
      <c r="S12" s="1">
        <f>IF('Master English Sheet'!U12="Quality of drinks", 1,
IF('Master English Sheet'!U12="Atmosphere", 2,
IF('Master English Sheet'!U12="Service", 3,
IF('Master English Sheet'!U12="Brand image", 4,
IF('Master English Sheet'!U12="Other:", 5, 
IF('Master English Sheet'!U12 = "", 6, ""))))))</f>
        <v>2</v>
      </c>
      <c r="T12" s="1">
        <f>IF('Master English Sheet'!W12="Yes, Western", 1,
IF('Master English Sheet'!W12="Yes, Global", 2,
IF('Master English Sheet'!W12="Yes,  Japanese", 3,
IF('Master English Sheet'!W12="No", 4,
IF('Master English Sheet'!W12="Unsure", 5, 
IF('Master English Sheet'!W12 = "", 6, ""))))))</f>
        <v>4</v>
      </c>
      <c r="U12" s="1">
        <f>IF('Master English Sheet'!X12="Yes, Western", 1,
IF('Master English Sheet'!X12="Yes, Global", 2,
IF('Master English Sheet'!X12="Yes,  Japanese", 3,
IF('Master English Sheet'!X12="No", 4,
IF('Master English Sheet'!X12="Unsure", 5, 
IF('Master English Sheet'!X12 = "", 6, ""))))))</f>
        <v>4</v>
      </c>
      <c r="V12" s="1">
        <f>'Master English Sheet'!Y12</f>
        <v>7</v>
      </c>
      <c r="W12" s="1">
        <f>'Master English Sheet'!Z12</f>
        <v>3</v>
      </c>
      <c r="X12" s="1">
        <f>'Master English Sheet'!AA12</f>
        <v>7</v>
      </c>
    </row>
    <row r="13">
      <c r="A13" s="6">
        <v>12.0</v>
      </c>
      <c r="B13" s="6">
        <v>1.0</v>
      </c>
      <c r="C13" s="1">
        <f>IF('Master English Sheet'!D13="18-25", 1,
IF('Master English Sheet'!D13="26-35", 2,
IF('Master English Sheet'!D13="36-45", 3,
IF('Master English Sheet'!D13="46-55", 4,
IF('Master English Sheet'!D13="56-65", 5,
IF('Master English Sheet'!D13="65+", 6, ""))))))</f>
        <v>4</v>
      </c>
      <c r="D13" s="1">
        <f>IF('Master English Sheet'!E13="Male", 1,
IF('Master English Sheet'!E13="Female", 2,
IF('Master English Sheet'!E13="Nonbinary", 3,
IF('Master English Sheet'!E13="Prefer not to say", 4, ""))))</f>
        <v>2</v>
      </c>
      <c r="E13" s="1">
        <f>IF('Master English Sheet'!F13="Under ¥3,000,000", 1,
IF('Master English Sheet'!F13="¥3,000,000 – ¥5,999,999", 2,
IF('Master English Sheet'!F13="¥6,000,000 – ¥8,999,999", 3,
IF('Master English Sheet'!F13="¥9,000,000 – ¥11,999,999", 4,
IF('Master English Sheet'!F13 = "¥12,000,000 or more", 5,
IF('Master English Sheet'!F13 = "Prefer not to say", 6, ""))))))</f>
        <v>5</v>
      </c>
      <c r="F13" s="1">
        <f>IF('Master English Sheet'!G13="Hokkaido", 1,
IF('Master English Sheet'!G13="Tohoku", 2,
IF('Master English Sheet'!G13="Kanto", 3,
IF('Master English Sheet'!G13="Chubu", 4,
IF('Master English Sheet'!G13 = "Kansai", 5,
IF('Master English Sheet'!G13 = "Chugoku", 6,
IF('Master English Sheet'!G13 = "Shikoku", 7,
IF('Master English Sheet'!G13 = "Kyushu", 8,
IF('Master English Sheet'!G13 = "Okinawa", 9, 
IF('Master English Sheet'!G13 = "I do not live in Japan", 10, ""))))))))))</f>
        <v>3</v>
      </c>
      <c r="G13" s="1">
        <f>IF('Master English Sheet'!H13="Daily", 1,
IF('Master English Sheet'!H13="Several times a week", 2,
IF('Master English Sheet'!H13="Once a week", 3,
IF('Master English Sheet'!H13 = "Rarely", 4,
IF('Master English Sheet'!H13 = "Never", 5, "")))))</f>
        <v>1</v>
      </c>
      <c r="H13" s="1">
        <f>IF('Master English Sheet'!I13="Pour Over", 1,
IF('Master English Sheet'!I13="Drip", 2,
IF('Master English Sheet'!I13="Latte", 3,
IF('Master English Sheet'!I13="Americano", 4,
IF('Master English Sheet'!I13 = "Cappuccino", 5,
IF('Master English Sheet'!I13 = "Flavored coffee (mocha, vanilla, caramel, etc.)", 6,
IF('Master English Sheet'!I13 = "Cold brew", 7,
IF('Master English Sheet'!I13 = "I don't drink coffee", 8,
IF('Master English Sheet'!I13 = "Other:", 9,
IF('Master English Sheet'!I13 ="", 10, ""))))))))))</f>
        <v>2</v>
      </c>
      <c r="I13" s="1">
        <f>IF('Master English Sheet'!K13="Daily", 1,
IF('Master English Sheet'!K13="Several times a week", 2,
IF('Master English Sheet'!K13="Once a week", 3,
IF('Master English Sheet'!K13 = "Rarely", 4,
IF('Master English Sheet'!K13 = "Never", 5, "")))))</f>
        <v>4</v>
      </c>
      <c r="J13" s="1">
        <f>IF('Master English Sheet'!L13="Usucha", 1,
IF('Master English Sheet'!L13="Koicha", 2,
IF('Master English Sheet'!L13="Matcha Latte", 3,
IF('Master English Sheet'!L13="I don’t drink matcha", 4,
IF('Master English Sheet'!L13 = "Other:", 5,
IF('Master English Sheet'!L13 ="", 6, ""))))))</f>
        <v>3</v>
      </c>
      <c r="K13" s="1">
        <f>IF('Parse of Qs'!A13="Taste/Flavor", 1,
IF('Parse of Qs'!A13="Price", 2,
IF('Parse of Qs'!A13="Energy boost/Caffeine", 3,
IF('Parse of Qs'!A13="Health benefits", 4,
IF('Parse of Qs'!A13 = "Social atmosphere", 5,
IF('Parse of Qs'!A13 ="Routine/Ritual", 6, 
IF('Parse of Qs'!A13 = "Branding/Imagery", 7,
IF('Parse of Qs'!A13 = "Social norms / influence (what people around me usually drink)", 8, 
IF('Parse of Qs'!A13 = "To try new things", 9,
IF('Parse of Qs'!A13 = "Other:", 10, 
IF('Parse of Qs'!A13 = "", 11, "")))))))))))</f>
        <v>6</v>
      </c>
      <c r="L13" s="1">
        <f>IF('Parse of Qs'!B13="Taste/Flavor", 1,
IF('Parse of Qs'!B13="Price", 2,
IF('Parse of Qs'!B13="Energy boost/Caffeine", 3,
IF('Parse of Qs'!B13="Health benefits", 4,
IF('Parse of Qs'!B13 = "Social atmosphere", 5,
IF('Parse of Qs'!B13 ="Routine/Ritual", 6, 
IF('Parse of Qs'!B13 = "Branding/Imagery", 7,
IF('Parse of Qs'!B13 = "Social norms / influence (what people around me usually drink)", 8, 
IF('Parse of Qs'!B13 = "To try new things", 9,
IF('Parse of Qs'!B13 = "Other:", 10, 
IF('Parse of Qs'!B13 = "", 11, "")))))))))))</f>
        <v>1</v>
      </c>
      <c r="M13" s="1">
        <f>IF('Parse of Qs'!C13="At cafés", 1,
IF('Parse of Qs'!C13="At home", 2,
IF('Parse of Qs'!C13="From convenience stores (7-Eleven, Lawson, etc.)", 3,
IF('Parse of Qs'!C13="From vending machines", 4,
IF('Parse of Qs'!C13 = "Other:", 5,
IF('Parse of Qs'!C13 = "", 6, ""))))))</f>
        <v>2</v>
      </c>
      <c r="N13" s="1">
        <f>IF('Parse of Qs'!D13="At cafés", 1,
IF('Parse of Qs'!D13="At home", 2,
IF('Parse of Qs'!D13="From convenience stores (7-Eleven, Lawson, etc.)", 3,
IF('Parse of Qs'!D13="From vending machines", 4,
IF('Parse of Qs'!D13 = "Other:", 5,
IF('Parse of Qs'!D13 = "", 6, ""))))))</f>
        <v>1</v>
      </c>
      <c r="O13" s="1">
        <f>IF('Parse of Qs'!E13="At cafés", 1,
IF('Parse of Qs'!E13="At home", 2,
IF('Parse of Qs'!E13="From convenience stores (7-Eleven, Lawson, etc.)", 3,
IF('Parse of Qs'!E13="From vending machines", 4,
IF('Parse of Qs'!E13 = "Other:", 5,
IF('Parse of Qs'!E13 = "", 6, ""))))))</f>
        <v>6</v>
      </c>
      <c r="P13" s="1">
        <f>IF('Parse of Qs'!F13="At cafés", 1,
IF('Parse of Qs'!F13="At home", 2,
IF('Parse of Qs'!F13="From convenience stores (7-Eleven, Lawson, etc.)", 3,
IF('Parse of Qs'!F13="From vending machines", 4,
IF('Parse of Qs'!F13 = "Other:", 5,
IF('Parse of Qs'!F13 = "", 6, ""))))))</f>
        <v>6</v>
      </c>
      <c r="Q13" s="1">
        <f>IF(OR('Master English Sheet'!R13="Every Day",'Master English Sheet'!R13="Daily"), 1,
IF('Master English Sheet'!R13="Several times a week", 2,
IF('Master English Sheet'!R13="Once a week", 3,
IF('Master English Sheet'!R13="A few times a month", 4,
IF('Master English Sheet'!R13="Rarely", 5,
IF('Master English Sheet'!R13="Never", 6, 
IF('Master English Sheet'!R13 = "", 7, "")))))))</f>
        <v>4</v>
      </c>
      <c r="R13" s="1">
        <f>IF('Master English Sheet'!S13="To relax or take a break", 1,
IF('Master English Sheet'!S13="To meet friends", 2,
IF('Master English Sheet'!S13="To study/work", 3,
IF('Master English Sheet'!S13="To try a new drink", 4,
IF('Master English Sheet'!S13="Out of habit", 5,
IF('Master English Sheet'!S13="Other:", 6, 
IF('Master English Sheet'!S13 = "", 7, "")))))))</f>
        <v>1</v>
      </c>
      <c r="S13" s="1">
        <f>IF('Master English Sheet'!U13="Quality of drinks", 1,
IF('Master English Sheet'!U13="Atmosphere", 2,
IF('Master English Sheet'!U13="Service", 3,
IF('Master English Sheet'!U13="Brand image", 4,
IF('Master English Sheet'!U13="Other:", 5, 
IF('Master English Sheet'!U13 = "", 6, ""))))))</f>
        <v>2</v>
      </c>
      <c r="T13" s="1">
        <f>IF('Master English Sheet'!W13="Yes, Western", 1,
IF('Master English Sheet'!W13="Yes, Global", 2,
IF('Master English Sheet'!W13="Yes,  Japanese", 3,
IF('Master English Sheet'!W13="No", 4,
IF('Master English Sheet'!W13="Unsure", 5, 
IF('Master English Sheet'!W13 = "", 6, ""))))))</f>
        <v>1</v>
      </c>
      <c r="U13" s="1">
        <f>IF('Master English Sheet'!X13="Yes, Western", 1,
IF('Master English Sheet'!X13="Yes, Global", 2,
IF('Master English Sheet'!X13="Yes,  Japanese", 3,
IF('Master English Sheet'!X13="No", 4,
IF('Master English Sheet'!X13="Unsure", 5, 
IF('Master English Sheet'!X13 = "", 6, ""))))))</f>
        <v>3</v>
      </c>
      <c r="V13" s="1">
        <f>'Master English Sheet'!Y13</f>
        <v>7</v>
      </c>
      <c r="W13" s="1">
        <f>'Master English Sheet'!Z13</f>
        <v>7</v>
      </c>
      <c r="X13" s="1">
        <f>'Master English Sheet'!AA13</f>
        <v>7</v>
      </c>
    </row>
    <row r="14">
      <c r="A14" s="6">
        <v>13.0</v>
      </c>
      <c r="B14" s="6">
        <v>1.0</v>
      </c>
      <c r="C14" s="1">
        <f>IF('Master English Sheet'!D14="18-25", 1,
IF('Master English Sheet'!D14="26-35", 2,
IF('Master English Sheet'!D14="36-45", 3,
IF('Master English Sheet'!D14="46-55", 4,
IF('Master English Sheet'!D14="56-65", 5,
IF('Master English Sheet'!D14="65+", 6, ""))))))</f>
        <v>4</v>
      </c>
      <c r="D14" s="1">
        <f>IF('Master English Sheet'!E14="Male", 1,
IF('Master English Sheet'!E14="Female", 2,
IF('Master English Sheet'!E14="Nonbinary", 3,
IF('Master English Sheet'!E14="Prefer not to say", 4, ""))))</f>
        <v>1</v>
      </c>
      <c r="E14" s="1">
        <f>IF('Master English Sheet'!F14="Under ¥3,000,000", 1,
IF('Master English Sheet'!F14="¥3,000,000 – ¥5,999,999", 2,
IF('Master English Sheet'!F14="¥6,000,000 – ¥8,999,999", 3,
IF('Master English Sheet'!F14="¥9,000,000 – ¥11,999,999", 4,
IF('Master English Sheet'!F14 = "¥12,000,000 or more", 5,
IF('Master English Sheet'!F14 = "Prefer not to say", 6, ""))))))</f>
        <v>5</v>
      </c>
      <c r="F14" s="1">
        <f>IF('Master English Sheet'!G14="Hokkaido", 1,
IF('Master English Sheet'!G14="Tohoku", 2,
IF('Master English Sheet'!G14="Kanto", 3,
IF('Master English Sheet'!G14="Chubu", 4,
IF('Master English Sheet'!G14 = "Kansai", 5,
IF('Master English Sheet'!G14 = "Chugoku", 6,
IF('Master English Sheet'!G14 = "Shikoku", 7,
IF('Master English Sheet'!G14 = "Kyushu", 8,
IF('Master English Sheet'!G14 = "Okinawa", 9, 
IF('Master English Sheet'!G14 = "I do not live in Japan", 10, ""))))))))))</f>
        <v>3</v>
      </c>
      <c r="G14" s="1">
        <f>IF('Master English Sheet'!H14="Daily", 1,
IF('Master English Sheet'!H14="Several times a week", 2,
IF('Master English Sheet'!H14="Once a week", 3,
IF('Master English Sheet'!H14 = "Rarely", 4,
IF('Master English Sheet'!H14 = "Never", 5, "")))))</f>
        <v>1</v>
      </c>
      <c r="H14" s="1">
        <f>IF('Master English Sheet'!I14="Pour Over", 1,
IF('Master English Sheet'!I14="Drip", 2,
IF('Master English Sheet'!I14="Latte", 3,
IF('Master English Sheet'!I14="Americano", 4,
IF('Master English Sheet'!I14 = "Cappuccino", 5,
IF('Master English Sheet'!I14 = "Flavored coffee (mocha, vanilla, caramel, etc.)", 6,
IF('Master English Sheet'!I14 = "Cold brew", 7,
IF('Master English Sheet'!I14 = "I don't drink coffee", 8,
IF('Master English Sheet'!I14 = "Other:", 9,
IF('Master English Sheet'!I14 ="", 10, ""))))))))))</f>
        <v>1</v>
      </c>
      <c r="I14" s="1">
        <f>IF('Master English Sheet'!K14="Daily", 1,
IF('Master English Sheet'!K14="Several times a week", 2,
IF('Master English Sheet'!K14="Once a week", 3,
IF('Master English Sheet'!K14 = "Rarely", 4,
IF('Master English Sheet'!K14 = "Never", 5, "")))))</f>
        <v>4</v>
      </c>
      <c r="J14" s="1">
        <f>IF('Master English Sheet'!L14="Usucha", 1,
IF('Master English Sheet'!L14="Koicha", 2,
IF('Master English Sheet'!L14="Matcha Latte", 3,
IF('Master English Sheet'!L14="I don’t drink matcha", 4,
IF('Master English Sheet'!L14 = "Other:", 5,
IF('Master English Sheet'!L14 ="", 6, ""))))))</f>
        <v>3</v>
      </c>
      <c r="K14" s="1">
        <f>IF('Parse of Qs'!A14="Taste/Flavor", 1,
IF('Parse of Qs'!A14="Price", 2,
IF('Parse of Qs'!A14="Energy boost/Caffeine", 3,
IF('Parse of Qs'!A14="Health benefits", 4,
IF('Parse of Qs'!A14 = "Social atmosphere", 5,
IF('Parse of Qs'!A14 ="Routine/Ritual", 6, 
IF('Parse of Qs'!A14 = "Branding/Imagery", 7,
IF('Parse of Qs'!A14 = "Social norms / influence (what people around me usually drink)", 8, 
IF('Parse of Qs'!A14 = "To try new things", 9,
IF('Parse of Qs'!A14 = "Other:", 10, 
IF('Parse of Qs'!A14 = "", 11, "")))))))))))</f>
        <v>3</v>
      </c>
      <c r="L14" s="1">
        <f>IF('Parse of Qs'!B14="Taste/Flavor", 1,
IF('Parse of Qs'!B14="Price", 2,
IF('Parse of Qs'!B14="Energy boost/Caffeine", 3,
IF('Parse of Qs'!B14="Health benefits", 4,
IF('Parse of Qs'!B14 = "Social atmosphere", 5,
IF('Parse of Qs'!B14 ="Routine/Ritual", 6, 
IF('Parse of Qs'!B14 = "Branding/Imagery", 7,
IF('Parse of Qs'!B14 = "Social norms / influence (what people around me usually drink)", 8, 
IF('Parse of Qs'!B14 = "To try new things", 9,
IF('Parse of Qs'!B14 = "Other:", 10, 
IF('Parse of Qs'!B14 = "", 11, "")))))))))))</f>
        <v>11</v>
      </c>
      <c r="M14" s="1">
        <f>IF('Parse of Qs'!C14="At cafés", 1,
IF('Parse of Qs'!C14="At home", 2,
IF('Parse of Qs'!C14="From convenience stores (7-Eleven, Lawson, etc.)", 3,
IF('Parse of Qs'!C14="From vending machines", 4,
IF('Parse of Qs'!C14 = "Other:", 5,
IF('Parse of Qs'!C14 = "", 6, ""))))))</f>
        <v>2</v>
      </c>
      <c r="N14" s="1">
        <f>IF('Parse of Qs'!D14="At cafés", 1,
IF('Parse of Qs'!D14="At home", 2,
IF('Parse of Qs'!D14="From convenience stores (7-Eleven, Lawson, etc.)", 3,
IF('Parse of Qs'!D14="From vending machines", 4,
IF('Parse of Qs'!D14 = "Other:", 5,
IF('Parse of Qs'!D14 = "", 6, ""))))))</f>
        <v>5</v>
      </c>
      <c r="O14" s="1">
        <f>IF('Parse of Qs'!E14="At cafés", 1,
IF('Parse of Qs'!E14="At home", 2,
IF('Parse of Qs'!E14="From convenience stores (7-Eleven, Lawson, etc.)", 3,
IF('Parse of Qs'!E14="From vending machines", 4,
IF('Parse of Qs'!E14 = "Other:", 5,
IF('Parse of Qs'!E14 = "", 6, ""))))))</f>
        <v>6</v>
      </c>
      <c r="P14" s="1">
        <f>IF('Parse of Qs'!F14="At cafés", 1,
IF('Parse of Qs'!F14="At home", 2,
IF('Parse of Qs'!F14="From convenience stores (7-Eleven, Lawson, etc.)", 3,
IF('Parse of Qs'!F14="From vending machines", 4,
IF('Parse of Qs'!F14 = "Other:", 5,
IF('Parse of Qs'!F14 = "", 6, ""))))))</f>
        <v>6</v>
      </c>
      <c r="Q14" s="1">
        <f>IF(OR('Master English Sheet'!R14="Every Day",'Master English Sheet'!R14="Daily"), 1,
IF('Master English Sheet'!R14="Several times a week", 2,
IF('Master English Sheet'!R14="Once a week", 3,
IF('Master English Sheet'!R14="A few times a month", 4,
IF('Master English Sheet'!R14="Rarely", 5,
IF('Master English Sheet'!R14="Never", 6, 
IF('Master English Sheet'!R14 = "", 7, "")))))))</f>
        <v>4</v>
      </c>
      <c r="R14" s="1">
        <f>IF('Master English Sheet'!S14="To relax or take a break", 1,
IF('Master English Sheet'!S14="To meet friends", 2,
IF('Master English Sheet'!S14="To study/work", 3,
IF('Master English Sheet'!S14="To try a new drink", 4,
IF('Master English Sheet'!S14="Out of habit", 5,
IF('Master English Sheet'!S14="Other:", 6, 
IF('Master English Sheet'!S14 = "", 7, "")))))))</f>
        <v>1</v>
      </c>
      <c r="S14" s="1">
        <f>IF('Master English Sheet'!U14="Quality of drinks", 1,
IF('Master English Sheet'!U14="Atmosphere", 2,
IF('Master English Sheet'!U14="Service", 3,
IF('Master English Sheet'!U14="Brand image", 4,
IF('Master English Sheet'!U14="Other:", 5, 
IF('Master English Sheet'!U14 = "", 6, ""))))))</f>
        <v>3</v>
      </c>
      <c r="T14" s="1">
        <f>IF('Master English Sheet'!W14="Yes, Western", 1,
IF('Master English Sheet'!W14="Yes, Global", 2,
IF('Master English Sheet'!W14="Yes,  Japanese", 3,
IF('Master English Sheet'!W14="No", 4,
IF('Master English Sheet'!W14="Unsure", 5, 
IF('Master English Sheet'!W14 = "", 6, ""))))))</f>
        <v>1</v>
      </c>
      <c r="U14" s="1">
        <f>IF('Master English Sheet'!X14="Yes, Western", 1,
IF('Master English Sheet'!X14="Yes, Global", 2,
IF('Master English Sheet'!X14="Yes,  Japanese", 3,
IF('Master English Sheet'!X14="No", 4,
IF('Master English Sheet'!X14="Unsure", 5, 
IF('Master English Sheet'!X14 = "", 6, ""))))))</f>
        <v>3</v>
      </c>
      <c r="V14" s="1">
        <f>'Master English Sheet'!Y14</f>
        <v>5</v>
      </c>
      <c r="W14" s="1">
        <f>'Master English Sheet'!Z14</f>
        <v>7</v>
      </c>
      <c r="X14" s="1">
        <f>'Master English Sheet'!AA14</f>
        <v>5</v>
      </c>
    </row>
    <row r="15">
      <c r="A15" s="6">
        <v>14.0</v>
      </c>
      <c r="B15" s="6">
        <v>1.0</v>
      </c>
      <c r="C15" s="1">
        <f>IF('Master English Sheet'!D15="18-25", 1,
IF('Master English Sheet'!D15="26-35", 2,
IF('Master English Sheet'!D15="36-45", 3,
IF('Master English Sheet'!D15="46-55", 4,
IF('Master English Sheet'!D15="56-65", 5,
IF('Master English Sheet'!D15="65+", 6, ""))))))</f>
        <v>2</v>
      </c>
      <c r="D15" s="1">
        <f>IF('Master English Sheet'!E15="Male", 1,
IF('Master English Sheet'!E15="Female", 2,
IF('Master English Sheet'!E15="Nonbinary", 3,
IF('Master English Sheet'!E15="Prefer not to say", 4, ""))))</f>
        <v>1</v>
      </c>
      <c r="E15" s="1">
        <f>IF('Master English Sheet'!F15="Under ¥3,000,000", 1,
IF('Master English Sheet'!F15="¥3,000,000 – ¥5,999,999", 2,
IF('Master English Sheet'!F15="¥6,000,000 – ¥8,999,999", 3,
IF('Master English Sheet'!F15="¥9,000,000 – ¥11,999,999", 4,
IF('Master English Sheet'!F15 = "¥12,000,000 or more", 5,
IF('Master English Sheet'!F15 = "Prefer not to say", 6, ""))))))</f>
        <v>2</v>
      </c>
      <c r="F15" s="1">
        <f>IF('Master English Sheet'!G15="Hokkaido", 1,
IF('Master English Sheet'!G15="Tohoku", 2,
IF('Master English Sheet'!G15="Kanto", 3,
IF('Master English Sheet'!G15="Chubu", 4,
IF('Master English Sheet'!G15 = "Kansai", 5,
IF('Master English Sheet'!G15 = "Chugoku", 6,
IF('Master English Sheet'!G15 = "Shikoku", 7,
IF('Master English Sheet'!G15 = "Kyushu", 8,
IF('Master English Sheet'!G15 = "Okinawa", 9, 
IF('Master English Sheet'!G15 = "I do not live in Japan", 10, ""))))))))))</f>
        <v>3</v>
      </c>
      <c r="G15" s="1">
        <f>IF('Master English Sheet'!H15="Daily", 1,
IF('Master English Sheet'!H15="Several times a week", 2,
IF('Master English Sheet'!H15="Once a week", 3,
IF('Master English Sheet'!H15 = "Rarely", 4,
IF('Master English Sheet'!H15 = "Never", 5, "")))))</f>
        <v>2</v>
      </c>
      <c r="H15" s="1">
        <f>IF('Master English Sheet'!I15="Pour Over", 1,
IF('Master English Sheet'!I15="Drip", 2,
IF('Master English Sheet'!I15="Latte", 3,
IF('Master English Sheet'!I15="Americano", 4,
IF('Master English Sheet'!I15 = "Cappuccino", 5,
IF('Master English Sheet'!I15 = "Flavored coffee (mocha, vanilla, caramel, etc.)", 6,
IF('Master English Sheet'!I15 = "Cold brew", 7,
IF('Master English Sheet'!I15 = "I don't drink coffee", 8,
IF('Master English Sheet'!I15 = "Other:", 9,
IF('Master English Sheet'!I15 ="", 10, ""))))))))))</f>
        <v>4</v>
      </c>
      <c r="I15" s="1">
        <f>IF('Master English Sheet'!K15="Daily", 1,
IF('Master English Sheet'!K15="Several times a week", 2,
IF('Master English Sheet'!K15="Once a week", 3,
IF('Master English Sheet'!K15 = "Rarely", 4,
IF('Master English Sheet'!K15 = "Never", 5, "")))))</f>
        <v>4</v>
      </c>
      <c r="J15" s="1">
        <f>IF('Master English Sheet'!L15="Usucha", 1,
IF('Master English Sheet'!L15="Koicha", 2,
IF('Master English Sheet'!L15="Matcha Latte", 3,
IF('Master English Sheet'!L15="I don’t drink matcha", 4,
IF('Master English Sheet'!L15 = "Other:", 5,
IF('Master English Sheet'!L15 ="", 6, ""))))))</f>
        <v>4</v>
      </c>
      <c r="K15" s="1">
        <f>IF('Parse of Qs'!A15="Taste/Flavor", 1,
IF('Parse of Qs'!A15="Price", 2,
IF('Parse of Qs'!A15="Energy boost/Caffeine", 3,
IF('Parse of Qs'!A15="Health benefits", 4,
IF('Parse of Qs'!A15 = "Social atmosphere", 5,
IF('Parse of Qs'!A15 ="Routine/Ritual", 6, 
IF('Parse of Qs'!A15 = "Branding/Imagery", 7,
IF('Parse of Qs'!A15 = "Social norms / influence (what people around me usually drink)", 8, 
IF('Parse of Qs'!A15 = "To try new things", 9,
IF('Parse of Qs'!A15 = "Other:", 10, 
IF('Parse of Qs'!A15 = "", 11, "")))))))))))</f>
        <v>1</v>
      </c>
      <c r="L15" s="1">
        <f>IF('Parse of Qs'!B15="Taste/Flavor", 1,
IF('Parse of Qs'!B15="Price", 2,
IF('Parse of Qs'!B15="Energy boost/Caffeine", 3,
IF('Parse of Qs'!B15="Health benefits", 4,
IF('Parse of Qs'!B15 = "Social atmosphere", 5,
IF('Parse of Qs'!B15 ="Routine/Ritual", 6, 
IF('Parse of Qs'!B15 = "Branding/Imagery", 7,
IF('Parse of Qs'!B15 = "Social norms / influence (what people around me usually drink)", 8, 
IF('Parse of Qs'!B15 = "To try new things", 9,
IF('Parse of Qs'!B15 = "Other:", 10, 
IF('Parse of Qs'!B15 = "", 11, "")))))))))))</f>
        <v>11</v>
      </c>
      <c r="M15" s="1">
        <f>IF('Parse of Qs'!C15="At cafés", 1,
IF('Parse of Qs'!C15="At home", 2,
IF('Parse of Qs'!C15="From convenience stores (7-Eleven, Lawson, etc.)", 3,
IF('Parse of Qs'!C15="From vending machines", 4,
IF('Parse of Qs'!C15 = "Other:", 5,
IF('Parse of Qs'!C15 = "", 6, ""))))))</f>
        <v>1</v>
      </c>
      <c r="N15" s="1">
        <f>IF('Parse of Qs'!D15="At cafés", 1,
IF('Parse of Qs'!D15="At home", 2,
IF('Parse of Qs'!D15="From convenience stores (7-Eleven, Lawson, etc.)", 3,
IF('Parse of Qs'!D15="From vending machines", 4,
IF('Parse of Qs'!D15 = "Other:", 5,
IF('Parse of Qs'!D15 = "", 6, ""))))))</f>
        <v>2</v>
      </c>
      <c r="O15" s="1">
        <f>IF('Parse of Qs'!E15="At cafés", 1,
IF('Parse of Qs'!E15="At home", 2,
IF('Parse of Qs'!E15="From convenience stores (7-Eleven, Lawson, etc.)", 3,
IF('Parse of Qs'!E15="From vending machines", 4,
IF('Parse of Qs'!E15 = "Other:", 5,
IF('Parse of Qs'!E15 = "", 6, ""))))))</f>
        <v>3</v>
      </c>
      <c r="P15" s="1">
        <f>IF('Parse of Qs'!F15="At cafés", 1,
IF('Parse of Qs'!F15="At home", 2,
IF('Parse of Qs'!F15="From convenience stores (7-Eleven, Lawson, etc.)", 3,
IF('Parse of Qs'!F15="From vending machines", 4,
IF('Parse of Qs'!F15 = "Other:", 5,
IF('Parse of Qs'!F15 = "", 6, ""))))))</f>
        <v>6</v>
      </c>
      <c r="Q15" s="1">
        <f>IF(OR('Master English Sheet'!R15="Every Day",'Master English Sheet'!R15="Daily"), 1,
IF('Master English Sheet'!R15="Several times a week", 2,
IF('Master English Sheet'!R15="Once a week", 3,
IF('Master English Sheet'!R15="A few times a month", 4,
IF('Master English Sheet'!R15="Rarely", 5,
IF('Master English Sheet'!R15="Never", 6, 
IF('Master English Sheet'!R15 = "", 7, "")))))))</f>
        <v>2</v>
      </c>
      <c r="R15" s="1">
        <f>IF('Master English Sheet'!S15="To relax or take a break", 1,
IF('Master English Sheet'!S15="To meet friends", 2,
IF('Master English Sheet'!S15="To study/work", 3,
IF('Master English Sheet'!S15="To try a new drink", 4,
IF('Master English Sheet'!S15="Out of habit", 5,
IF('Master English Sheet'!S15="Other:", 6, 
IF('Master English Sheet'!S15 = "", 7, "")))))))</f>
        <v>6</v>
      </c>
      <c r="S15" s="1">
        <f>IF('Master English Sheet'!U15="Quality of drinks", 1,
IF('Master English Sheet'!U15="Atmosphere", 2,
IF('Master English Sheet'!U15="Service", 3,
IF('Master English Sheet'!U15="Brand image", 4,
IF('Master English Sheet'!U15="Other:", 5, 
IF('Master English Sheet'!U15 = "", 6, ""))))))</f>
        <v>2</v>
      </c>
      <c r="T15" s="1">
        <f>IF('Master English Sheet'!W15="Yes, Western", 1,
IF('Master English Sheet'!W15="Yes, Global", 2,
IF('Master English Sheet'!W15="Yes,  Japanese", 3,
IF('Master English Sheet'!W15="No", 4,
IF('Master English Sheet'!W15="Unsure", 5, 
IF('Master English Sheet'!W15 = "", 6, ""))))))</f>
        <v>5</v>
      </c>
      <c r="U15" s="1">
        <f>IF('Master English Sheet'!X15="Yes, Western", 1,
IF('Master English Sheet'!X15="Yes, Global", 2,
IF('Master English Sheet'!X15="Yes,  Japanese", 3,
IF('Master English Sheet'!X15="No", 4,
IF('Master English Sheet'!X15="Unsure", 5, 
IF('Master English Sheet'!X15 = "", 6, ""))))))</f>
        <v>5</v>
      </c>
      <c r="V15" s="1">
        <f>'Master English Sheet'!Y15</f>
        <v>7</v>
      </c>
      <c r="W15" s="1">
        <f>'Master English Sheet'!Z15</f>
        <v>5</v>
      </c>
      <c r="X15" s="1">
        <f>'Master English Sheet'!AA15</f>
        <v>7</v>
      </c>
    </row>
    <row r="16">
      <c r="A16" s="6">
        <v>15.0</v>
      </c>
      <c r="B16" s="6">
        <v>1.0</v>
      </c>
      <c r="C16" s="1">
        <f>IF('Master English Sheet'!D16="18-25", 1,
IF('Master English Sheet'!D16="26-35", 2,
IF('Master English Sheet'!D16="36-45", 3,
IF('Master English Sheet'!D16="46-55", 4,
IF('Master English Sheet'!D16="56-65", 5,
IF('Master English Sheet'!D16="65+", 6, ""))))))</f>
        <v>4</v>
      </c>
      <c r="D16" s="1">
        <f>IF('Master English Sheet'!E16="Male", 1,
IF('Master English Sheet'!E16="Female", 2,
IF('Master English Sheet'!E16="Nonbinary", 3,
IF('Master English Sheet'!E16="Prefer not to say", 4, ""))))</f>
        <v>1</v>
      </c>
      <c r="E16" s="1">
        <f>IF('Master English Sheet'!F16="Under ¥3,000,000", 1,
IF('Master English Sheet'!F16="¥3,000,000 – ¥5,999,999", 2,
IF('Master English Sheet'!F16="¥6,000,000 – ¥8,999,999", 3,
IF('Master English Sheet'!F16="¥9,000,000 – ¥11,999,999", 4,
IF('Master English Sheet'!F16 = "¥12,000,000 or more", 5,
IF('Master English Sheet'!F16 = "Prefer not to say", 6, ""))))))</f>
        <v>5</v>
      </c>
      <c r="F16" s="1">
        <f>IF('Master English Sheet'!G16="Hokkaido", 1,
IF('Master English Sheet'!G16="Tohoku", 2,
IF('Master English Sheet'!G16="Kanto", 3,
IF('Master English Sheet'!G16="Chubu", 4,
IF('Master English Sheet'!G16 = "Kansai", 5,
IF('Master English Sheet'!G16 = "Chugoku", 6,
IF('Master English Sheet'!G16 = "Shikoku", 7,
IF('Master English Sheet'!G16 = "Kyushu", 8,
IF('Master English Sheet'!G16 = "Okinawa", 9, 
IF('Master English Sheet'!G16 = "I do not live in Japan", 10, ""))))))))))</f>
        <v>3</v>
      </c>
      <c r="G16" s="1">
        <f>IF('Master English Sheet'!H16="Daily", 1,
IF('Master English Sheet'!H16="Several times a week", 2,
IF('Master English Sheet'!H16="Once a week", 3,
IF('Master English Sheet'!H16 = "Rarely", 4,
IF('Master English Sheet'!H16 = "Never", 5, "")))))</f>
        <v>2</v>
      </c>
      <c r="H16" s="1">
        <f>IF('Master English Sheet'!I16="Pour Over", 1,
IF('Master English Sheet'!I16="Drip", 2,
IF('Master English Sheet'!I16="Latte", 3,
IF('Master English Sheet'!I16="Americano", 4,
IF('Master English Sheet'!I16 = "Cappuccino", 5,
IF('Master English Sheet'!I16 = "Flavored coffee (mocha, vanilla, caramel, etc.)", 6,
IF('Master English Sheet'!I16 = "Cold brew", 7,
IF('Master English Sheet'!I16 = "I don't drink coffee", 8,
IF('Master English Sheet'!I16 = "Other:", 9,
IF('Master English Sheet'!I16 ="", 10, ""))))))))))</f>
        <v>1</v>
      </c>
      <c r="I16" s="1">
        <f>IF('Master English Sheet'!K16="Daily", 1,
IF('Master English Sheet'!K16="Several times a week", 2,
IF('Master English Sheet'!K16="Once a week", 3,
IF('Master English Sheet'!K16 = "Rarely", 4,
IF('Master English Sheet'!K16 = "Never", 5, "")))))</f>
        <v>4</v>
      </c>
      <c r="J16" s="1">
        <f>IF('Master English Sheet'!L16="Usucha", 1,
IF('Master English Sheet'!L16="Koicha", 2,
IF('Master English Sheet'!L16="Matcha Latte", 3,
IF('Master English Sheet'!L16="I don’t drink matcha", 4,
IF('Master English Sheet'!L16 = "Other:", 5,
IF('Master English Sheet'!L16 ="", 6, ""))))))</f>
        <v>3</v>
      </c>
      <c r="K16" s="1">
        <f>IF('Parse of Qs'!A16="Taste/Flavor", 1,
IF('Parse of Qs'!A16="Price", 2,
IF('Parse of Qs'!A16="Energy boost/Caffeine", 3,
IF('Parse of Qs'!A16="Health benefits", 4,
IF('Parse of Qs'!A16 = "Social atmosphere", 5,
IF('Parse of Qs'!A16 ="Routine/Ritual", 6, 
IF('Parse of Qs'!A16 = "Branding/Imagery", 7,
IF('Parse of Qs'!A16 = "Social norms / influence (what people around me usually drink)", 8, 
IF('Parse of Qs'!A16 = "To try new things", 9,
IF('Parse of Qs'!A16 = "Other:", 10, 
IF('Parse of Qs'!A16 = "", 11, "")))))))))))</f>
        <v>1</v>
      </c>
      <c r="L16" s="1">
        <f>IF('Parse of Qs'!B16="Taste/Flavor", 1,
IF('Parse of Qs'!B16="Price", 2,
IF('Parse of Qs'!B16="Energy boost/Caffeine", 3,
IF('Parse of Qs'!B16="Health benefits", 4,
IF('Parse of Qs'!B16 = "Social atmosphere", 5,
IF('Parse of Qs'!B16 ="Routine/Ritual", 6, 
IF('Parse of Qs'!B16 = "Branding/Imagery", 7,
IF('Parse of Qs'!B16 = "Social norms / influence (what people around me usually drink)", 8, 
IF('Parse of Qs'!B16 = "To try new things", 9,
IF('Parse of Qs'!B16 = "Other:", 10, 
IF('Parse of Qs'!B16 = "", 11, "")))))))))))</f>
        <v>3</v>
      </c>
      <c r="M16" s="1">
        <f>IF('Parse of Qs'!C16="At cafés", 1,
IF('Parse of Qs'!C16="At home", 2,
IF('Parse of Qs'!C16="From convenience stores (7-Eleven, Lawson, etc.)", 3,
IF('Parse of Qs'!C16="From vending machines", 4,
IF('Parse of Qs'!C16 = "Other:", 5,
IF('Parse of Qs'!C16 = "", 6, ""))))))</f>
        <v>2</v>
      </c>
      <c r="N16" s="1">
        <f>IF('Parse of Qs'!D16="At cafés", 1,
IF('Parse of Qs'!D16="At home", 2,
IF('Parse of Qs'!D16="From convenience stores (7-Eleven, Lawson, etc.)", 3,
IF('Parse of Qs'!D16="From vending machines", 4,
IF('Parse of Qs'!D16 = "Other:", 5,
IF('Parse of Qs'!D16 = "", 6, ""))))))</f>
        <v>1</v>
      </c>
      <c r="O16" s="1">
        <f>IF('Parse of Qs'!E16="At cafés", 1,
IF('Parse of Qs'!E16="At home", 2,
IF('Parse of Qs'!E16="From convenience stores (7-Eleven, Lawson, etc.)", 3,
IF('Parse of Qs'!E16="From vending machines", 4,
IF('Parse of Qs'!E16 = "Other:", 5,
IF('Parse of Qs'!E16 = "", 6, ""))))))</f>
        <v>3</v>
      </c>
      <c r="P16" s="1">
        <f>IF('Parse of Qs'!F16="At cafés", 1,
IF('Parse of Qs'!F16="At home", 2,
IF('Parse of Qs'!F16="From convenience stores (7-Eleven, Lawson, etc.)", 3,
IF('Parse of Qs'!F16="From vending machines", 4,
IF('Parse of Qs'!F16 = "Other:", 5,
IF('Parse of Qs'!F16 = "", 6, ""))))))</f>
        <v>6</v>
      </c>
      <c r="Q16" s="1">
        <f>IF(OR('Master English Sheet'!R16="Every Day",'Master English Sheet'!R16="Daily"), 1,
IF('Master English Sheet'!R16="Several times a week", 2,
IF('Master English Sheet'!R16="Once a week", 3,
IF('Master English Sheet'!R16="A few times a month", 4,
IF('Master English Sheet'!R16="Rarely", 5,
IF('Master English Sheet'!R16="Never", 6, 
IF('Master English Sheet'!R16 = "", 7, "")))))))</f>
        <v>2</v>
      </c>
      <c r="R16" s="1">
        <f>IF('Master English Sheet'!S16="To relax or take a break", 1,
IF('Master English Sheet'!S16="To meet friends", 2,
IF('Master English Sheet'!S16="To study/work", 3,
IF('Master English Sheet'!S16="To try a new drink", 4,
IF('Master English Sheet'!S16="Out of habit", 5,
IF('Master English Sheet'!S16="Other:", 6, 
IF('Master English Sheet'!S16 = "", 7, "")))))))</f>
        <v>3</v>
      </c>
      <c r="S16" s="1">
        <f>IF('Master English Sheet'!U16="Quality of drinks", 1,
IF('Master English Sheet'!U16="Atmosphere", 2,
IF('Master English Sheet'!U16="Service", 3,
IF('Master English Sheet'!U16="Brand image", 4,
IF('Master English Sheet'!U16="Other:", 5, 
IF('Master English Sheet'!U16 = "", 6, ""))))))</f>
        <v>1</v>
      </c>
      <c r="T16" s="1">
        <f>IF('Master English Sheet'!W16="Yes, Western", 1,
IF('Master English Sheet'!W16="Yes, Global", 2,
IF('Master English Sheet'!W16="Yes,  Japanese", 3,
IF('Master English Sheet'!W16="No", 4,
IF('Master English Sheet'!W16="Unsure", 5, 
IF('Master English Sheet'!W16 = "", 6, ""))))))</f>
        <v>1</v>
      </c>
      <c r="U16" s="1">
        <f>IF('Master English Sheet'!X16="Yes, Western", 1,
IF('Master English Sheet'!X16="Yes, Global", 2,
IF('Master English Sheet'!X16="Yes,  Japanese", 3,
IF('Master English Sheet'!X16="No", 4,
IF('Master English Sheet'!X16="Unsure", 5, 
IF('Master English Sheet'!X16 = "", 6, ""))))))</f>
        <v>3</v>
      </c>
      <c r="V16" s="1">
        <f>'Master English Sheet'!Y16</f>
        <v>7</v>
      </c>
      <c r="W16" s="1">
        <f>'Master English Sheet'!Z16</f>
        <v>7</v>
      </c>
      <c r="X16" s="1">
        <f>'Master English Sheet'!AA16</f>
        <v>7</v>
      </c>
    </row>
    <row r="17">
      <c r="A17" s="6">
        <v>16.0</v>
      </c>
      <c r="B17" s="6">
        <v>1.0</v>
      </c>
      <c r="C17" s="1">
        <f>IF('Master English Sheet'!D17="18-25", 1,
IF('Master English Sheet'!D17="26-35", 2,
IF('Master English Sheet'!D17="36-45", 3,
IF('Master English Sheet'!D17="46-55", 4,
IF('Master English Sheet'!D17="56-65", 5,
IF('Master English Sheet'!D17="65+", 6, ""))))))</f>
        <v>2</v>
      </c>
      <c r="D17" s="1">
        <f>IF('Master English Sheet'!E17="Male", 1,
IF('Master English Sheet'!E17="Female", 2,
IF('Master English Sheet'!E17="Nonbinary", 3,
IF('Master English Sheet'!E17="Prefer not to say", 4, ""))))</f>
        <v>2</v>
      </c>
      <c r="E17" s="1">
        <f>IF('Master English Sheet'!F17="Under ¥3,000,000", 1,
IF('Master English Sheet'!F17="¥3,000,000 – ¥5,999,999", 2,
IF('Master English Sheet'!F17="¥6,000,000 – ¥8,999,999", 3,
IF('Master English Sheet'!F17="¥9,000,000 – ¥11,999,999", 4,
IF('Master English Sheet'!F17 = "¥12,000,000 or more", 5,
IF('Master English Sheet'!F17 = "Prefer not to say", 6, ""))))))</f>
        <v>5</v>
      </c>
      <c r="F17" s="1">
        <f>IF('Master English Sheet'!G17="Hokkaido", 1,
IF('Master English Sheet'!G17="Tohoku", 2,
IF('Master English Sheet'!G17="Kanto", 3,
IF('Master English Sheet'!G17="Chubu", 4,
IF('Master English Sheet'!G17 = "Kansai", 5,
IF('Master English Sheet'!G17 = "Chugoku", 6,
IF('Master English Sheet'!G17 = "Shikoku", 7,
IF('Master English Sheet'!G17 = "Kyushu", 8,
IF('Master English Sheet'!G17 = "Okinawa", 9, 
IF('Master English Sheet'!G17 = "I do not live in Japan", 10, ""))))))))))</f>
        <v>3</v>
      </c>
      <c r="G17" s="1">
        <f>IF('Master English Sheet'!H17="Daily", 1,
IF('Master English Sheet'!H17="Several times a week", 2,
IF('Master English Sheet'!H17="Once a week", 3,
IF('Master English Sheet'!H17 = "Rarely", 4,
IF('Master English Sheet'!H17 = "Never", 5, "")))))</f>
        <v>2</v>
      </c>
      <c r="H17" s="1">
        <f>IF('Master English Sheet'!I17="Pour Over", 1,
IF('Master English Sheet'!I17="Drip", 2,
IF('Master English Sheet'!I17="Latte", 3,
IF('Master English Sheet'!I17="Americano", 4,
IF('Master English Sheet'!I17 = "Cappuccino", 5,
IF('Master English Sheet'!I17 = "Flavored coffee (mocha, vanilla, caramel, etc.)", 6,
IF('Master English Sheet'!I17 = "Cold brew", 7,
IF('Master English Sheet'!I17 = "I don't drink coffee", 8,
IF('Master English Sheet'!I17 = "Other:", 9,
IF('Master English Sheet'!I17 ="", 10, ""))))))))))</f>
        <v>4</v>
      </c>
      <c r="I17" s="1">
        <f>IF('Master English Sheet'!K17="Daily", 1,
IF('Master English Sheet'!K17="Several times a week", 2,
IF('Master English Sheet'!K17="Once a week", 3,
IF('Master English Sheet'!K17 = "Rarely", 4,
IF('Master English Sheet'!K17 = "Never", 5, "")))))</f>
        <v>4</v>
      </c>
      <c r="J17" s="1">
        <f>IF('Master English Sheet'!L17="Usucha", 1,
IF('Master English Sheet'!L17="Koicha", 2,
IF('Master English Sheet'!L17="Matcha Latte", 3,
IF('Master English Sheet'!L17="I don’t drink matcha", 4,
IF('Master English Sheet'!L17 = "Other:", 5,
IF('Master English Sheet'!L17 ="", 6, ""))))))</f>
        <v>1</v>
      </c>
      <c r="K17" s="1">
        <f>IF('Parse of Qs'!A17="Taste/Flavor", 1,
IF('Parse of Qs'!A17="Price", 2,
IF('Parse of Qs'!A17="Energy boost/Caffeine", 3,
IF('Parse of Qs'!A17="Health benefits", 4,
IF('Parse of Qs'!A17 = "Social atmosphere", 5,
IF('Parse of Qs'!A17 ="Routine/Ritual", 6, 
IF('Parse of Qs'!A17 = "Branding/Imagery", 7,
IF('Parse of Qs'!A17 = "Social norms / influence (what people around me usually drink)", 8, 
IF('Parse of Qs'!A17 = "To try new things", 9,
IF('Parse of Qs'!A17 = "Other:", 10, 
IF('Parse of Qs'!A17 = "", 11, "")))))))))))</f>
        <v>6</v>
      </c>
      <c r="L17" s="6">
        <v>12.0</v>
      </c>
      <c r="M17" s="1">
        <f>IF('Parse of Qs'!C17="At cafés", 1,
IF('Parse of Qs'!C17="At home", 2,
IF('Parse of Qs'!C17="From convenience stores (7-Eleven, Lawson, etc.)", 3,
IF('Parse of Qs'!C17="From vending machines", 4,
IF('Parse of Qs'!C17 = "Other:", 5,
IF('Parse of Qs'!C17 = "", 6, ""))))))</f>
        <v>1</v>
      </c>
      <c r="N17" s="1">
        <f>IF('Parse of Qs'!D17="At cafés", 1,
IF('Parse of Qs'!D17="At home", 2,
IF('Parse of Qs'!D17="From convenience stores (7-Eleven, Lawson, etc.)", 3,
IF('Parse of Qs'!D17="From vending machines", 4,
IF('Parse of Qs'!D17 = "Other:", 5,
IF('Parse of Qs'!D17 = "", 6, ""))))))</f>
        <v>2</v>
      </c>
      <c r="O17" s="1">
        <f>IF('Parse of Qs'!E17="At cafés", 1,
IF('Parse of Qs'!E17="At home", 2,
IF('Parse of Qs'!E17="From convenience stores (7-Eleven, Lawson, etc.)", 3,
IF('Parse of Qs'!E17="From vending machines", 4,
IF('Parse of Qs'!E17 = "Other:", 5,
IF('Parse of Qs'!E17 = "", 6, ""))))))</f>
        <v>6</v>
      </c>
      <c r="P17" s="1">
        <f>IF('Parse of Qs'!F17="At cafés", 1,
IF('Parse of Qs'!F17="At home", 2,
IF('Parse of Qs'!F17="From convenience stores (7-Eleven, Lawson, etc.)", 3,
IF('Parse of Qs'!F17="From vending machines", 4,
IF('Parse of Qs'!F17 = "Other:", 5,
IF('Parse of Qs'!F17 = "", 6, ""))))))</f>
        <v>6</v>
      </c>
      <c r="Q17" s="1">
        <f>IF(OR('Master English Sheet'!R17="Every Day",'Master English Sheet'!R17="Daily"), 1,
IF('Master English Sheet'!R17="Several times a week", 2,
IF('Master English Sheet'!R17="Once a week", 3,
IF('Master English Sheet'!R17="A few times a month", 4,
IF('Master English Sheet'!R17="Rarely", 5,
IF('Master English Sheet'!R17="Never", 6, 
IF('Master English Sheet'!R17 = "", 7, "")))))))</f>
        <v>2</v>
      </c>
      <c r="R17" s="1">
        <f>IF('Master English Sheet'!S17="To relax or take a break", 1,
IF('Master English Sheet'!S17="To meet friends", 2,
IF('Master English Sheet'!S17="To study/work", 3,
IF('Master English Sheet'!S17="To try a new drink", 4,
IF('Master English Sheet'!S17="Out of habit", 5,
IF('Master English Sheet'!S17="Other:", 6, 
IF('Master English Sheet'!S17 = "", 7, "")))))))</f>
        <v>2</v>
      </c>
      <c r="S17" s="1">
        <f>IF('Master English Sheet'!U17="Quality of drinks", 1,
IF('Master English Sheet'!U17="Atmosphere", 2,
IF('Master English Sheet'!U17="Service", 3,
IF('Master English Sheet'!U17="Brand image", 4,
IF('Master English Sheet'!U17="Other:", 5, 
IF('Master English Sheet'!U17 = "", 6, ""))))))</f>
        <v>2</v>
      </c>
      <c r="T17" s="1">
        <f>IF('Master English Sheet'!W17="Yes, Western", 1,
IF('Master English Sheet'!W17="Yes, Global", 2,
IF('Master English Sheet'!W17="Yes,  Japanese", 3,
IF('Master English Sheet'!W17="No", 4,
IF('Master English Sheet'!W17="Unsure", 5, 
IF('Master English Sheet'!W17 = "", 6, ""))))))</f>
        <v>3</v>
      </c>
      <c r="U17" s="1">
        <f>IF('Master English Sheet'!X17="Yes, Western", 1,
IF('Master English Sheet'!X17="Yes, Global", 2,
IF('Master English Sheet'!X17="Yes,  Japanese", 3,
IF('Master English Sheet'!X17="No", 4,
IF('Master English Sheet'!X17="Unsure", 5, 
IF('Master English Sheet'!X17 = "", 6, ""))))))</f>
        <v>3</v>
      </c>
      <c r="V17" s="1">
        <f>'Master English Sheet'!Y17</f>
        <v>7</v>
      </c>
      <c r="W17" s="1">
        <f>'Master English Sheet'!Z17</f>
        <v>7</v>
      </c>
      <c r="X17" s="1">
        <f>'Master English Sheet'!AA17</f>
        <v>7</v>
      </c>
    </row>
    <row r="18">
      <c r="A18" s="6">
        <v>17.0</v>
      </c>
      <c r="B18" s="6">
        <v>1.0</v>
      </c>
      <c r="C18" s="1">
        <f>IF('Master English Sheet'!D18="18-25", 1,
IF('Master English Sheet'!D18="26-35", 2,
IF('Master English Sheet'!D18="36-45", 3,
IF('Master English Sheet'!D18="46-55", 4,
IF('Master English Sheet'!D18="56-65", 5,
IF('Master English Sheet'!D18="65+", 6, ""))))))</f>
        <v>3</v>
      </c>
      <c r="D18" s="1">
        <f>IF('Master English Sheet'!E18="Male", 1,
IF('Master English Sheet'!E18="Female", 2,
IF('Master English Sheet'!E18="Nonbinary", 3,
IF('Master English Sheet'!E18="Prefer not to say", 4, ""))))</f>
        <v>1</v>
      </c>
      <c r="E18" s="1">
        <f>IF('Master English Sheet'!F18="Under ¥3,000,000", 1,
IF('Master English Sheet'!F18="¥3,000,000 – ¥5,999,999", 2,
IF('Master English Sheet'!F18="¥6,000,000 – ¥8,999,999", 3,
IF('Master English Sheet'!F18="¥9,000,000 – ¥11,999,999", 4,
IF('Master English Sheet'!F18 = "¥12,000,000 or more", 5,
IF('Master English Sheet'!F18 = "Prefer not to say", 6, ""))))))</f>
        <v>5</v>
      </c>
      <c r="F18" s="1">
        <f>IF('Master English Sheet'!G18="Hokkaido", 1,
IF('Master English Sheet'!G18="Tohoku", 2,
IF('Master English Sheet'!G18="Kanto", 3,
IF('Master English Sheet'!G18="Chubu", 4,
IF('Master English Sheet'!G18 = "Kansai", 5,
IF('Master English Sheet'!G18 = "Chugoku", 6,
IF('Master English Sheet'!G18 = "Shikoku", 7,
IF('Master English Sheet'!G18 = "Kyushu", 8,
IF('Master English Sheet'!G18 = "Okinawa", 9, 
IF('Master English Sheet'!G18 = "I do not live in Japan", 10, ""))))))))))</f>
        <v>3</v>
      </c>
      <c r="G18" s="1">
        <f>IF('Master English Sheet'!H18="Daily", 1,
IF('Master English Sheet'!H18="Several times a week", 2,
IF('Master English Sheet'!H18="Once a week", 3,
IF('Master English Sheet'!H18 = "Rarely", 4,
IF('Master English Sheet'!H18 = "Never", 5, "")))))</f>
        <v>1</v>
      </c>
      <c r="H18" s="1">
        <f>IF('Master English Sheet'!I18="Pour Over", 1,
IF('Master English Sheet'!I18="Drip", 2,
IF('Master English Sheet'!I18="Latte", 3,
IF('Master English Sheet'!I18="Americano", 4,
IF('Master English Sheet'!I18 = "Cappuccino", 5,
IF('Master English Sheet'!I18 = "Flavored coffee (mocha, vanilla, caramel, etc.)", 6,
IF('Master English Sheet'!I18 = "Cold brew", 7,
IF('Master English Sheet'!I18 = "I don't drink coffee", 8,
IF('Master English Sheet'!I18 = "Other:", 9,
IF('Master English Sheet'!I18 ="", 10, ""))))))))))</f>
        <v>2</v>
      </c>
      <c r="I18" s="1">
        <f>IF('Master English Sheet'!K18="Daily", 1,
IF('Master English Sheet'!K18="Several times a week", 2,
IF('Master English Sheet'!K18="Once a week", 3,
IF('Master English Sheet'!K18 = "Rarely", 4,
IF('Master English Sheet'!K18 = "Never", 5, "")))))</f>
        <v>3</v>
      </c>
      <c r="J18" s="1">
        <f>IF('Master English Sheet'!L18="Usucha", 1,
IF('Master English Sheet'!L18="Koicha", 2,
IF('Master English Sheet'!L18="Matcha Latte", 3,
IF('Master English Sheet'!L18="I don’t drink matcha", 4,
IF('Master English Sheet'!L18 = "Other:", 5,
IF('Master English Sheet'!L18 ="", 6, ""))))))</f>
        <v>2</v>
      </c>
      <c r="K18" s="1">
        <f>IF('Parse of Qs'!A18="Taste/Flavor", 1,
IF('Parse of Qs'!A18="Price", 2,
IF('Parse of Qs'!A18="Energy boost/Caffeine", 3,
IF('Parse of Qs'!A18="Health benefits", 4,
IF('Parse of Qs'!A18 = "Social atmosphere", 5,
IF('Parse of Qs'!A18 ="Routine/Ritual", 6, 
IF('Parse of Qs'!A18 = "Branding/Imagery", 7,
IF('Parse of Qs'!A18 = "Social norms / influence (what people around me usually drink)", 8, 
IF('Parse of Qs'!A18 = "To try new things", 9,
IF('Parse of Qs'!A18 = "Other:", 10, 
IF('Parse of Qs'!A18 = "", 11, "")))))))))))</f>
        <v>1</v>
      </c>
      <c r="L18" s="1">
        <f>IF('Parse of Qs'!B18="Taste/Flavor", 1,
IF('Parse of Qs'!B18="Price", 2,
IF('Parse of Qs'!B18="Energy boost/Caffeine", 3,
IF('Parse of Qs'!B18="Health benefits", 4,
IF('Parse of Qs'!B18 = "Social atmosphere", 5,
IF('Parse of Qs'!B18 ="Routine/Ritual", 6, 
IF('Parse of Qs'!B18 = "Branding/Imagery", 7,
IF('Parse of Qs'!B18 = "Social norms / influence (what people around me usually drink)", 8, 
IF('Parse of Qs'!B18 = "To try new things", 9,
IF('Parse of Qs'!B18 = "Other:", 10, 
IF('Parse of Qs'!B18 = "", 11, "")))))))))))</f>
        <v>3</v>
      </c>
      <c r="M18" s="1">
        <f>IF('Parse of Qs'!C18="At cafés", 1,
IF('Parse of Qs'!C18="At home", 2,
IF('Parse of Qs'!C18="From convenience stores (7-Eleven, Lawson, etc.)", 3,
IF('Parse of Qs'!C18="From vending machines", 4,
IF('Parse of Qs'!C18 = "Other:", 5,
IF('Parse of Qs'!C18 = "", 6, ""))))))</f>
        <v>1</v>
      </c>
      <c r="N18" s="1">
        <f>IF('Parse of Qs'!D18="At cafés", 1,
IF('Parse of Qs'!D18="At home", 2,
IF('Parse of Qs'!D18="From convenience stores (7-Eleven, Lawson, etc.)", 3,
IF('Parse of Qs'!D18="From vending machines", 4,
IF('Parse of Qs'!D18 = "Other:", 5,
IF('Parse of Qs'!D18 = "", 6, ""))))))</f>
        <v>2</v>
      </c>
      <c r="O18" s="1">
        <f>IF('Parse of Qs'!E18="At cafés", 1,
IF('Parse of Qs'!E18="At home", 2,
IF('Parse of Qs'!E18="From convenience stores (7-Eleven, Lawson, etc.)", 3,
IF('Parse of Qs'!E18="From vending machines", 4,
IF('Parse of Qs'!E18 = "Other:", 5,
IF('Parse of Qs'!E18 = "", 6, ""))))))</f>
        <v>6</v>
      </c>
      <c r="P18" s="1">
        <f>IF('Parse of Qs'!F18="At cafés", 1,
IF('Parse of Qs'!F18="At home", 2,
IF('Parse of Qs'!F18="From convenience stores (7-Eleven, Lawson, etc.)", 3,
IF('Parse of Qs'!F18="From vending machines", 4,
IF('Parse of Qs'!F18 = "Other:", 5,
IF('Parse of Qs'!F18 = "", 6, ""))))))</f>
        <v>6</v>
      </c>
      <c r="Q18" s="1">
        <f>IF(OR('Master English Sheet'!R18="Every Day",'Master English Sheet'!R18="Daily"), 1,
IF('Master English Sheet'!R18="Several times a week", 2,
IF('Master English Sheet'!R18="Once a week", 3,
IF('Master English Sheet'!R18="A few times a month", 4,
IF('Master English Sheet'!R18="Rarely", 5,
IF('Master English Sheet'!R18="Never", 6, 
IF('Master English Sheet'!R18 = "", 7, "")))))))</f>
        <v>2</v>
      </c>
      <c r="R18" s="1">
        <f>IF('Master English Sheet'!S18="To relax or take a break", 1,
IF('Master English Sheet'!S18="To meet friends", 2,
IF('Master English Sheet'!S18="To study/work", 3,
IF('Master English Sheet'!S18="To try a new drink", 4,
IF('Master English Sheet'!S18="Out of habit", 5,
IF('Master English Sheet'!S18="Other:", 6, 
IF('Master English Sheet'!S18 = "", 7, "")))))))</f>
        <v>1</v>
      </c>
      <c r="S18" s="1">
        <f>IF('Master English Sheet'!U18="Quality of drinks", 1,
IF('Master English Sheet'!U18="Atmosphere", 2,
IF('Master English Sheet'!U18="Service", 3,
IF('Master English Sheet'!U18="Brand image", 4,
IF('Master English Sheet'!U18="Other:", 5, 
IF('Master English Sheet'!U18 = "", 6, ""))))))</f>
        <v>2</v>
      </c>
      <c r="T18" s="1">
        <f>IF('Master English Sheet'!W18="Yes, Western", 1,
IF('Master English Sheet'!W18="Yes, Global", 2,
IF('Master English Sheet'!W18="Yes,  Japanese", 3,
IF('Master English Sheet'!W18="No", 4,
IF('Master English Sheet'!W18="Unsure", 5, 
IF('Master English Sheet'!W18 = "", 6, ""))))))</f>
        <v>1</v>
      </c>
      <c r="U18" s="1">
        <f>IF('Master English Sheet'!X18="Yes, Western", 1,
IF('Master English Sheet'!X18="Yes, Global", 2,
IF('Master English Sheet'!X18="Yes,  Japanese", 3,
IF('Master English Sheet'!X18="No", 4,
IF('Master English Sheet'!X18="Unsure", 5, 
IF('Master English Sheet'!X18 = "", 6, ""))))))</f>
        <v>3</v>
      </c>
      <c r="V18" s="1">
        <f>'Master English Sheet'!Y18</f>
        <v>5</v>
      </c>
      <c r="W18" s="1">
        <f>'Master English Sheet'!Z18</f>
        <v>7</v>
      </c>
      <c r="X18" s="1">
        <f>'Master English Sheet'!AA18</f>
        <v>5</v>
      </c>
    </row>
    <row r="19">
      <c r="A19" s="6">
        <v>18.0</v>
      </c>
      <c r="B19" s="6">
        <v>1.0</v>
      </c>
      <c r="C19" s="1">
        <f>IF('Master English Sheet'!D19="18-25", 1,
IF('Master English Sheet'!D19="26-35", 2,
IF('Master English Sheet'!D19="36-45", 3,
IF('Master English Sheet'!D19="46-55", 4,
IF('Master English Sheet'!D19="56-65", 5,
IF('Master English Sheet'!D19="65+", 6, ""))))))</f>
        <v>3</v>
      </c>
      <c r="D19" s="1">
        <f>IF('Master English Sheet'!E19="Male", 1,
IF('Master English Sheet'!E19="Female", 2,
IF('Master English Sheet'!E19="Nonbinary", 3,
IF('Master English Sheet'!E19="Prefer not to say", 4, ""))))</f>
        <v>1</v>
      </c>
      <c r="E19" s="1">
        <f>IF('Master English Sheet'!F19="Under ¥3,000,000", 1,
IF('Master English Sheet'!F19="¥3,000,000 – ¥5,999,999", 2,
IF('Master English Sheet'!F19="¥6,000,000 – ¥8,999,999", 3,
IF('Master English Sheet'!F19="¥9,000,000 – ¥11,999,999", 4,
IF('Master English Sheet'!F19 = "¥12,000,000 or more", 5,
IF('Master English Sheet'!F19 = "Prefer not to say", 6, ""))))))</f>
        <v>3</v>
      </c>
      <c r="F19" s="1">
        <f>IF('Master English Sheet'!G19="Hokkaido", 1,
IF('Master English Sheet'!G19="Tohoku", 2,
IF('Master English Sheet'!G19="Kanto", 3,
IF('Master English Sheet'!G19="Chubu", 4,
IF('Master English Sheet'!G19 = "Kansai", 5,
IF('Master English Sheet'!G19 = "Chugoku", 6,
IF('Master English Sheet'!G19 = "Shikoku", 7,
IF('Master English Sheet'!G19 = "Kyushu", 8,
IF('Master English Sheet'!G19 = "Okinawa", 9, 
IF('Master English Sheet'!G19 = "I do not live in Japan", 10, ""))))))))))</f>
        <v>3</v>
      </c>
      <c r="G19" s="1">
        <f>IF('Master English Sheet'!H19="Daily", 1,
IF('Master English Sheet'!H19="Several times a week", 2,
IF('Master English Sheet'!H19="Once a week", 3,
IF('Master English Sheet'!H19 = "Rarely", 4,
IF('Master English Sheet'!H19 = "Never", 5, "")))))</f>
        <v>3</v>
      </c>
      <c r="H19" s="1">
        <f>IF('Master English Sheet'!I19="Pour Over", 1,
IF('Master English Sheet'!I19="Drip", 2,
IF('Master English Sheet'!I19="Latte", 3,
IF('Master English Sheet'!I19="Americano", 4,
IF('Master English Sheet'!I19 = "Cappuccino", 5,
IF('Master English Sheet'!I19 = "Flavored coffee (mocha, vanilla, caramel, etc.)", 6,
IF('Master English Sheet'!I19 = "Cold brew", 7,
IF('Master English Sheet'!I19 = "I don't drink coffee", 8,
IF('Master English Sheet'!I19 = "Other:", 9,
IF('Master English Sheet'!I19 ="", 10, ""))))))))))</f>
        <v>3</v>
      </c>
      <c r="I19" s="1">
        <f>IF('Master English Sheet'!K19="Daily", 1,
IF('Master English Sheet'!K19="Several times a week", 2,
IF('Master English Sheet'!K19="Once a week", 3,
IF('Master English Sheet'!K19 = "Rarely", 4,
IF('Master English Sheet'!K19 = "Never", 5, "")))))</f>
        <v>4</v>
      </c>
      <c r="J19" s="1">
        <f>IF('Master English Sheet'!L19="Usucha", 1,
IF('Master English Sheet'!L19="Koicha", 2,
IF('Master English Sheet'!L19="Matcha Latte", 3,
IF('Master English Sheet'!L19="I don’t drink matcha", 4,
IF('Master English Sheet'!L19 = "Other:", 5,
IF('Master English Sheet'!L19 ="", 6, ""))))))</f>
        <v>2</v>
      </c>
      <c r="K19" s="1">
        <f>IF('Parse of Qs'!A19="Taste/Flavor", 1,
IF('Parse of Qs'!A19="Price", 2,
IF('Parse of Qs'!A19="Energy boost/Caffeine", 3,
IF('Parse of Qs'!A19="Health benefits", 4,
IF('Parse of Qs'!A19 = "Social atmosphere", 5,
IF('Parse of Qs'!A19 ="Routine/Ritual", 6, 
IF('Parse of Qs'!A19 = "Branding/Imagery", 7,
IF('Parse of Qs'!A19 = "Social norms / influence (what people around me usually drink)", 8, 
IF('Parse of Qs'!A19 = "To try new things", 9,
IF('Parse of Qs'!A19 = "Other:", 10, 
IF('Parse of Qs'!A19 = "", 11, "")))))))))))</f>
        <v>8</v>
      </c>
      <c r="L19" s="1">
        <f>IF('Parse of Qs'!B19="Taste/Flavor", 1,
IF('Parse of Qs'!B19="Price", 2,
IF('Parse of Qs'!B19="Energy boost/Caffeine", 3,
IF('Parse of Qs'!B19="Health benefits", 4,
IF('Parse of Qs'!B19 = "Social atmosphere", 5,
IF('Parse of Qs'!B19 ="Routine/Ritual", 6, 
IF('Parse of Qs'!B19 = "Branding/Imagery", 7,
IF('Parse of Qs'!B19 = "Social norms / influence (what people around me usually drink)", 8, 
IF('Parse of Qs'!B19 = "To try new things", 9,
IF('Parse of Qs'!B19 = "Other:", 10, 
IF('Parse of Qs'!B19 = "", 11, "")))))))))))</f>
        <v>3</v>
      </c>
      <c r="M19" s="1">
        <f>IF('Parse of Qs'!C19="At cafés", 1,
IF('Parse of Qs'!C19="At home", 2,
IF('Parse of Qs'!C19="From convenience stores (7-Eleven, Lawson, etc.)", 3,
IF('Parse of Qs'!C19="From vending machines", 4,
IF('Parse of Qs'!C19 = "Other:", 5,
IF('Parse of Qs'!C19 = "", 6, ""))))))</f>
        <v>2</v>
      </c>
      <c r="N19" s="1">
        <f>IF('Parse of Qs'!D19="At cafés", 1,
IF('Parse of Qs'!D19="At home", 2,
IF('Parse of Qs'!D19="From convenience stores (7-Eleven, Lawson, etc.)", 3,
IF('Parse of Qs'!D19="From vending machines", 4,
IF('Parse of Qs'!D19 = "Other:", 5,
IF('Parse of Qs'!D19 = "", 6, ""))))))</f>
        <v>6</v>
      </c>
      <c r="O19" s="1">
        <f>IF('Parse of Qs'!E19="At cafés", 1,
IF('Parse of Qs'!E19="At home", 2,
IF('Parse of Qs'!E19="From convenience stores (7-Eleven, Lawson, etc.)", 3,
IF('Parse of Qs'!E19="From vending machines", 4,
IF('Parse of Qs'!E19 = "Other:", 5,
IF('Parse of Qs'!E19 = "", 6, ""))))))</f>
        <v>6</v>
      </c>
      <c r="P19" s="1">
        <f>IF('Parse of Qs'!F19="At cafés", 1,
IF('Parse of Qs'!F19="At home", 2,
IF('Parse of Qs'!F19="From convenience stores (7-Eleven, Lawson, etc.)", 3,
IF('Parse of Qs'!F19="From vending machines", 4,
IF('Parse of Qs'!F19 = "Other:", 5,
IF('Parse of Qs'!F19 = "", 6, ""))))))</f>
        <v>6</v>
      </c>
      <c r="Q19" s="1">
        <f>IF(OR('Master English Sheet'!R19="Every Day",'Master English Sheet'!R19="Daily"), 1,
IF('Master English Sheet'!R19="Several times a week", 2,
IF('Master English Sheet'!R19="Once a week", 3,
IF('Master English Sheet'!R19="A few times a month", 4,
IF('Master English Sheet'!R19="Rarely", 5,
IF('Master English Sheet'!R19="Never", 6, 
IF('Master English Sheet'!R19 = "", 7, "")))))))</f>
        <v>5</v>
      </c>
      <c r="R19" s="1">
        <f>IF('Master English Sheet'!S19="To relax or take a break", 1,
IF('Master English Sheet'!S19="To meet friends", 2,
IF('Master English Sheet'!S19="To study/work", 3,
IF('Master English Sheet'!S19="To try a new drink", 4,
IF('Master English Sheet'!S19="Out of habit", 5,
IF('Master English Sheet'!S19="Other:", 6, 
IF('Master English Sheet'!S19 = "", 7, "")))))))</f>
        <v>3</v>
      </c>
      <c r="S19" s="1">
        <f>IF('Master English Sheet'!U19="Quality of drinks", 1,
IF('Master English Sheet'!U19="Atmosphere", 2,
IF('Master English Sheet'!U19="Service", 3,
IF('Master English Sheet'!U19="Brand image", 4,
IF('Master English Sheet'!U19="Other:", 5, 
IF('Master English Sheet'!U19 = "", 6, ""))))))</f>
        <v>2</v>
      </c>
      <c r="T19" s="1">
        <f>IF('Master English Sheet'!W19="Yes, Western", 1,
IF('Master English Sheet'!W19="Yes, Global", 2,
IF('Master English Sheet'!W19="Yes,  Japanese", 3,
IF('Master English Sheet'!W19="No", 4,
IF('Master English Sheet'!W19="Unsure", 5, 
IF('Master English Sheet'!W19 = "", 6, ""))))))</f>
        <v>1</v>
      </c>
      <c r="U19" s="1">
        <f>IF('Master English Sheet'!X19="Yes, Western", 1,
IF('Master English Sheet'!X19="Yes, Global", 2,
IF('Master English Sheet'!X19="Yes,  Japanese", 3,
IF('Master English Sheet'!X19="No", 4,
IF('Master English Sheet'!X19="Unsure", 5, 
IF('Master English Sheet'!X19 = "", 6, ""))))))</f>
        <v>3</v>
      </c>
      <c r="V19" s="1">
        <f>'Master English Sheet'!Y19</f>
        <v>5</v>
      </c>
      <c r="W19" s="1">
        <f>'Master English Sheet'!Z19</f>
        <v>7</v>
      </c>
      <c r="X19" s="1">
        <f>'Master English Sheet'!AA19</f>
        <v>5</v>
      </c>
    </row>
    <row r="20">
      <c r="A20" s="6">
        <v>19.0</v>
      </c>
      <c r="B20" s="6">
        <v>1.0</v>
      </c>
      <c r="C20" s="1">
        <f>IF('Master English Sheet'!D20="18-25", 1,
IF('Master English Sheet'!D20="26-35", 2,
IF('Master English Sheet'!D20="36-45", 3,
IF('Master English Sheet'!D20="46-55", 4,
IF('Master English Sheet'!D20="56-65", 5,
IF('Master English Sheet'!D20="65+", 6, ""))))))</f>
        <v>2</v>
      </c>
      <c r="D20" s="1">
        <f>IF('Master English Sheet'!E20="Male", 1,
IF('Master English Sheet'!E20="Female", 2,
IF('Master English Sheet'!E20="Nonbinary", 3,
IF('Master English Sheet'!E20="Prefer not to say", 4, ""))))</f>
        <v>1</v>
      </c>
      <c r="E20" s="1">
        <f>IF('Master English Sheet'!F20="Under ¥3,000,000", 1,
IF('Master English Sheet'!F20="¥3,000,000 – ¥5,999,999", 2,
IF('Master English Sheet'!F20="¥6,000,000 – ¥8,999,999", 3,
IF('Master English Sheet'!F20="¥9,000,000 – ¥11,999,999", 4,
IF('Master English Sheet'!F20 = "¥12,000,000 or more", 5,
IF('Master English Sheet'!F20 = "Prefer not to say", 6, ""))))))</f>
        <v>5</v>
      </c>
      <c r="F20" s="1">
        <f>IF('Master English Sheet'!G20="Hokkaido", 1,
IF('Master English Sheet'!G20="Tohoku", 2,
IF('Master English Sheet'!G20="Kanto", 3,
IF('Master English Sheet'!G20="Chubu", 4,
IF('Master English Sheet'!G20 = "Kansai", 5,
IF('Master English Sheet'!G20 = "Chugoku", 6,
IF('Master English Sheet'!G20 = "Shikoku", 7,
IF('Master English Sheet'!G20 = "Kyushu", 8,
IF('Master English Sheet'!G20 = "Okinawa", 9, 
IF('Master English Sheet'!G20 = "I do not live in Japan", 10, ""))))))))))</f>
        <v>3</v>
      </c>
      <c r="G20" s="1">
        <f>IF('Master English Sheet'!H20="Daily", 1,
IF('Master English Sheet'!H20="Several times a week", 2,
IF('Master English Sheet'!H20="Once a week", 3,
IF('Master English Sheet'!H20 = "Rarely", 4,
IF('Master English Sheet'!H20 = "Never", 5, "")))))</f>
        <v>1</v>
      </c>
      <c r="H20" s="1">
        <f>IF('Master English Sheet'!I20="Pour Over", 1,
IF('Master English Sheet'!I20="Drip", 2,
IF('Master English Sheet'!I20="Latte", 3,
IF('Master English Sheet'!I20="Americano", 4,
IF('Master English Sheet'!I20 = "Cappuccino", 5,
IF('Master English Sheet'!I20 = "Flavored coffee (mocha, vanilla, caramel, etc.)", 6,
IF('Master English Sheet'!I20 = "Cold brew", 7,
IF('Master English Sheet'!I20 = "I don't drink coffee", 8,
IF('Master English Sheet'!I20 = "Other:", 9,
IF('Master English Sheet'!I20 ="", 10, ""))))))))))</f>
        <v>2</v>
      </c>
      <c r="I20" s="1">
        <f>IF('Master English Sheet'!K20="Daily", 1,
IF('Master English Sheet'!K20="Several times a week", 2,
IF('Master English Sheet'!K20="Once a week", 3,
IF('Master English Sheet'!K20 = "Rarely", 4,
IF('Master English Sheet'!K20 = "Never", 5, "")))))</f>
        <v>5</v>
      </c>
      <c r="J20" s="1">
        <f>IF('Master English Sheet'!L20="Usucha", 1,
IF('Master English Sheet'!L20="Koicha", 2,
IF('Master English Sheet'!L20="Matcha Latte", 3,
IF('Master English Sheet'!L20="I don’t drink matcha", 4,
IF('Master English Sheet'!L20 = "Other:", 5,
IF('Master English Sheet'!L20 ="", 6, ""))))))</f>
        <v>6</v>
      </c>
      <c r="K20" s="1">
        <f>IF('Parse of Qs'!A20="Taste/Flavor", 1,
IF('Parse of Qs'!A20="Price", 2,
IF('Parse of Qs'!A20="Energy boost/Caffeine", 3,
IF('Parse of Qs'!A20="Health benefits", 4,
IF('Parse of Qs'!A20 = "Social atmosphere", 5,
IF('Parse of Qs'!A20 ="Routine/Ritual", 6, 
IF('Parse of Qs'!A20 = "Branding/Imagery", 7,
IF('Parse of Qs'!A20 = "Social norms / influence (what people around me usually drink)", 8, 
IF('Parse of Qs'!A20 = "To try new things", 9,
IF('Parse of Qs'!A20 = "Other:", 10, 
IF('Parse of Qs'!A20 = "", 11, "")))))))))))</f>
        <v>1</v>
      </c>
      <c r="L20" s="6">
        <v>12.0</v>
      </c>
      <c r="M20" s="1">
        <f>IF('Parse of Qs'!C20="At cafés", 1,
IF('Parse of Qs'!C20="At home", 2,
IF('Parse of Qs'!C20="From convenience stores (7-Eleven, Lawson, etc.)", 3,
IF('Parse of Qs'!C20="From vending machines", 4,
IF('Parse of Qs'!C20 = "Other:", 5,
IF('Parse of Qs'!C20 = "", 6, ""))))))</f>
        <v>2</v>
      </c>
      <c r="N20" s="1">
        <f>IF('Parse of Qs'!D20="At cafés", 1,
IF('Parse of Qs'!D20="At home", 2,
IF('Parse of Qs'!D20="From convenience stores (7-Eleven, Lawson, etc.)", 3,
IF('Parse of Qs'!D20="From vending machines", 4,
IF('Parse of Qs'!D20 = "Other:", 5,
IF('Parse of Qs'!D20 = "", 6, ""))))))</f>
        <v>1</v>
      </c>
      <c r="O20" s="1">
        <f>IF('Parse of Qs'!E20="At cafés", 1,
IF('Parse of Qs'!E20="At home", 2,
IF('Parse of Qs'!E20="From convenience stores (7-Eleven, Lawson, etc.)", 3,
IF('Parse of Qs'!E20="From vending machines", 4,
IF('Parse of Qs'!E20 = "Other:", 5,
IF('Parse of Qs'!E20 = "", 6, ""))))))</f>
        <v>6</v>
      </c>
      <c r="P20" s="1">
        <f>IF('Parse of Qs'!F20="At cafés", 1,
IF('Parse of Qs'!F20="At home", 2,
IF('Parse of Qs'!F20="From convenience stores (7-Eleven, Lawson, etc.)", 3,
IF('Parse of Qs'!F20="From vending machines", 4,
IF('Parse of Qs'!F20 = "Other:", 5,
IF('Parse of Qs'!F20 = "", 6, ""))))))</f>
        <v>6</v>
      </c>
      <c r="Q20" s="1">
        <f>IF(OR('Master English Sheet'!R20="Every Day",'Master English Sheet'!R20="Daily"), 1,
IF('Master English Sheet'!R20="Several times a week", 2,
IF('Master English Sheet'!R20="Once a week", 3,
IF('Master English Sheet'!R20="A few times a month", 4,
IF('Master English Sheet'!R20="Rarely", 5,
IF('Master English Sheet'!R20="Never", 6, 
IF('Master English Sheet'!R20 = "", 7, "")))))))</f>
        <v>2</v>
      </c>
      <c r="R20" s="1">
        <f>IF('Master English Sheet'!S20="To relax or take a break", 1,
IF('Master English Sheet'!S20="To meet friends", 2,
IF('Master English Sheet'!S20="To study/work", 3,
IF('Master English Sheet'!S20="To try a new drink", 4,
IF('Master English Sheet'!S20="Out of habit", 5,
IF('Master English Sheet'!S20="Other:", 6, 
IF('Master English Sheet'!S20 = "", 7, "")))))))</f>
        <v>1</v>
      </c>
      <c r="S20" s="1">
        <f>IF('Master English Sheet'!U20="Quality of drinks", 1,
IF('Master English Sheet'!U20="Atmosphere", 2,
IF('Master English Sheet'!U20="Service", 3,
IF('Master English Sheet'!U20="Brand image", 4,
IF('Master English Sheet'!U20="Other:", 5, 
IF('Master English Sheet'!U20 = "", 6, ""))))))</f>
        <v>1</v>
      </c>
      <c r="T20" s="1">
        <f>IF('Master English Sheet'!W20="Yes, Western", 1,
IF('Master English Sheet'!W20="Yes, Global", 2,
IF('Master English Sheet'!W20="Yes,  Japanese", 3,
IF('Master English Sheet'!W20="No", 4,
IF('Master English Sheet'!W20="Unsure", 5, 
IF('Master English Sheet'!W20 = "", 6, ""))))))</f>
        <v>1</v>
      </c>
      <c r="U20" s="1">
        <f>IF('Master English Sheet'!X20="Yes, Western", 1,
IF('Master English Sheet'!X20="Yes, Global", 2,
IF('Master English Sheet'!X20="Yes,  Japanese", 3,
IF('Master English Sheet'!X20="No", 4,
IF('Master English Sheet'!X20="Unsure", 5, 
IF('Master English Sheet'!X20 = "", 6, ""))))))</f>
        <v>3</v>
      </c>
      <c r="V20" s="1">
        <f>'Master English Sheet'!Y20</f>
        <v>5</v>
      </c>
      <c r="W20" s="1">
        <f>'Master English Sheet'!Z20</f>
        <v>7</v>
      </c>
      <c r="X20" s="1">
        <f>'Master English Sheet'!AA20</f>
        <v>5</v>
      </c>
    </row>
    <row r="21">
      <c r="A21" s="6">
        <v>20.0</v>
      </c>
      <c r="B21" s="6">
        <v>1.0</v>
      </c>
      <c r="C21" s="1">
        <f>IF('Master English Sheet'!D21="18-25", 1,
IF('Master English Sheet'!D21="26-35", 2,
IF('Master English Sheet'!D21="36-45", 3,
IF('Master English Sheet'!D21="46-55", 4,
IF('Master English Sheet'!D21="56-65", 5,
IF('Master English Sheet'!D21="65+", 6, ""))))))</f>
        <v>3</v>
      </c>
      <c r="D21" s="1">
        <f>IF('Master English Sheet'!E21="Male", 1,
IF('Master English Sheet'!E21="Female", 2,
IF('Master English Sheet'!E21="Nonbinary", 3,
IF('Master English Sheet'!E21="Prefer not to say", 4, ""))))</f>
        <v>1</v>
      </c>
      <c r="E21" s="1">
        <f>IF('Master English Sheet'!F21="Under ¥3,000,000", 1,
IF('Master English Sheet'!F21="¥3,000,000 – ¥5,999,999", 2,
IF('Master English Sheet'!F21="¥6,000,000 – ¥8,999,999", 3,
IF('Master English Sheet'!F21="¥9,000,000 – ¥11,999,999", 4,
IF('Master English Sheet'!F21 = "¥12,000,000 or more", 5,
IF('Master English Sheet'!F21 = "Prefer not to say", 6, ""))))))</f>
        <v>5</v>
      </c>
      <c r="F21" s="1">
        <f>IF('Master English Sheet'!G21="Hokkaido", 1,
IF('Master English Sheet'!G21="Tohoku", 2,
IF('Master English Sheet'!G21="Kanto", 3,
IF('Master English Sheet'!G21="Chubu", 4,
IF('Master English Sheet'!G21 = "Kansai", 5,
IF('Master English Sheet'!G21 = "Chugoku", 6,
IF('Master English Sheet'!G21 = "Shikoku", 7,
IF('Master English Sheet'!G21 = "Kyushu", 8,
IF('Master English Sheet'!G21 = "Okinawa", 9, 
IF('Master English Sheet'!G21 = "I do not live in Japan", 10, ""))))))))))</f>
        <v>9</v>
      </c>
      <c r="G21" s="1">
        <f>IF('Master English Sheet'!H21="Daily", 1,
IF('Master English Sheet'!H21="Several times a week", 2,
IF('Master English Sheet'!H21="Once a week", 3,
IF('Master English Sheet'!H21 = "Rarely", 4,
IF('Master English Sheet'!H21 = "Never", 5, "")))))</f>
        <v>1</v>
      </c>
      <c r="H21" s="1">
        <f>IF('Master English Sheet'!I21="Pour Over", 1,
IF('Master English Sheet'!I21="Drip", 2,
IF('Master English Sheet'!I21="Latte", 3,
IF('Master English Sheet'!I21="Americano", 4,
IF('Master English Sheet'!I21 = "Cappuccino", 5,
IF('Master English Sheet'!I21 = "Flavored coffee (mocha, vanilla, caramel, etc.)", 6,
IF('Master English Sheet'!I21 = "Cold brew", 7,
IF('Master English Sheet'!I21 = "I don't drink coffee", 8,
IF('Master English Sheet'!I21 = "Other:", 9,
IF('Master English Sheet'!I21 ="", 10, ""))))))))))</f>
        <v>1</v>
      </c>
      <c r="I21" s="1">
        <f>IF('Master English Sheet'!K21="Daily", 1,
IF('Master English Sheet'!K21="Several times a week", 2,
IF('Master English Sheet'!K21="Once a week", 3,
IF('Master English Sheet'!K21 = "Rarely", 4,
IF('Master English Sheet'!K21 = "Never", 5, "")))))</f>
        <v>4</v>
      </c>
      <c r="J21" s="1">
        <f>IF('Master English Sheet'!L21="Usucha", 1,
IF('Master English Sheet'!L21="Koicha", 2,
IF('Master English Sheet'!L21="Matcha Latte", 3,
IF('Master English Sheet'!L21="I don’t drink matcha", 4,
IF('Master English Sheet'!L21 = "Other:", 5,
IF('Master English Sheet'!L21 ="", 6, ""))))))</f>
        <v>6</v>
      </c>
      <c r="K21" s="1">
        <f>IF('Parse of Qs'!A21="Taste/Flavor", 1,
IF('Parse of Qs'!A21="Price", 2,
IF('Parse of Qs'!A21="Energy boost/Caffeine", 3,
IF('Parse of Qs'!A21="Health benefits", 4,
IF('Parse of Qs'!A21 = "Social atmosphere", 5,
IF('Parse of Qs'!A21 ="Routine/Ritual", 6, 
IF('Parse of Qs'!A21 = "Branding/Imagery", 7,
IF('Parse of Qs'!A21 = "Social norms / influence (what people around me usually drink)", 8, 
IF('Parse of Qs'!A21 = "To try new things", 9,
IF('Parse of Qs'!A21 = "Other:", 10, 
IF('Parse of Qs'!A21 = "", 11, "")))))))))))</f>
        <v>1</v>
      </c>
      <c r="L21" s="1">
        <f>IF('Parse of Qs'!B21="Taste/Flavor", 1,
IF('Parse of Qs'!B21="Price", 2,
IF('Parse of Qs'!B21="Energy boost/Caffeine", 3,
IF('Parse of Qs'!B21="Health benefits", 4,
IF('Parse of Qs'!B21 = "Social atmosphere", 5,
IF('Parse of Qs'!B21 ="Routine/Ritual", 6, 
IF('Parse of Qs'!B21 = "Branding/Imagery", 7,
IF('Parse of Qs'!B21 = "Social norms / influence (what people around me usually drink)", 8, 
IF('Parse of Qs'!B21 = "To try new things", 9,
IF('Parse of Qs'!B21 = "Other:", 10, 
IF('Parse of Qs'!B21 = "", 11, "")))))))))))</f>
        <v>6</v>
      </c>
      <c r="M21" s="1">
        <f>IF('Parse of Qs'!C21="At cafés", 1,
IF('Parse of Qs'!C21="At home", 2,
IF('Parse of Qs'!C21="From convenience stores (7-Eleven, Lawson, etc.)", 3,
IF('Parse of Qs'!C21="From vending machines", 4,
IF('Parse of Qs'!C21 = "Other:", 5,
IF('Parse of Qs'!C21 = "", 6, ""))))))</f>
        <v>6</v>
      </c>
      <c r="N21" s="1">
        <f>IF('Parse of Qs'!D21="At cafés", 1,
IF('Parse of Qs'!D21="At home", 2,
IF('Parse of Qs'!D21="From convenience stores (7-Eleven, Lawson, etc.)", 3,
IF('Parse of Qs'!D21="From vending machines", 4,
IF('Parse of Qs'!D21 = "Other:", 5,
IF('Parse of Qs'!D21 = "", 6, ""))))))</f>
        <v>6</v>
      </c>
      <c r="O21" s="1">
        <f>IF('Parse of Qs'!E21="At cafés", 1,
IF('Parse of Qs'!E21="At home", 2,
IF('Parse of Qs'!E21="From convenience stores (7-Eleven, Lawson, etc.)", 3,
IF('Parse of Qs'!E21="From vending machines", 4,
IF('Parse of Qs'!E21 = "Other:", 5,
IF('Parse of Qs'!E21 = "", 6, ""))))))</f>
        <v>6</v>
      </c>
      <c r="P21" s="1">
        <f>IF('Parse of Qs'!F21="At cafés", 1,
IF('Parse of Qs'!F21="At home", 2,
IF('Parse of Qs'!F21="From convenience stores (7-Eleven, Lawson, etc.)", 3,
IF('Parse of Qs'!F21="From vending machines", 4,
IF('Parse of Qs'!F21 = "Other:", 5,
IF('Parse of Qs'!F21 = "", 6, ""))))))</f>
        <v>6</v>
      </c>
      <c r="Q21" s="1">
        <f>IF(OR('Master English Sheet'!R21="Every Day",'Master English Sheet'!R21="Daily"), 1,
IF('Master English Sheet'!R21="Several times a week", 2,
IF('Master English Sheet'!R21="Once a week", 3,
IF('Master English Sheet'!R21="A few times a month", 4,
IF('Master English Sheet'!R21="Rarely", 5,
IF('Master English Sheet'!R21="Never", 6, 
IF('Master English Sheet'!R21 = "", 7, "")))))))</f>
        <v>4</v>
      </c>
      <c r="R21" s="1">
        <f>IF('Master English Sheet'!S21="To relax or take a break", 1,
IF('Master English Sheet'!S21="To meet friends", 2,
IF('Master English Sheet'!S21="To study/work", 3,
IF('Master English Sheet'!S21="To try a new drink", 4,
IF('Master English Sheet'!S21="Out of habit", 5,
IF('Master English Sheet'!S21="Other:", 6, 
IF('Master English Sheet'!S21 = "", 7, "")))))))</f>
        <v>6</v>
      </c>
      <c r="S21" s="1">
        <f>IF('Master English Sheet'!U21="Quality of drinks", 1,
IF('Master English Sheet'!U21="Atmosphere", 2,
IF('Master English Sheet'!U21="Service", 3,
IF('Master English Sheet'!U21="Brand image", 4,
IF('Master English Sheet'!U21="Other:", 5, 
IF('Master English Sheet'!U21 = "", 6, ""))))))</f>
        <v>1</v>
      </c>
      <c r="T21" s="1">
        <f>IF('Master English Sheet'!W21="Yes, Western", 1,
IF('Master English Sheet'!W21="Yes, Global", 2,
IF('Master English Sheet'!W21="Yes,  Japanese", 3,
IF('Master English Sheet'!W21="No", 4,
IF('Master English Sheet'!W21="Unsure", 5, 
IF('Master English Sheet'!W21 = "", 6, ""))))))</f>
        <v>2</v>
      </c>
      <c r="U21" s="1">
        <f>IF('Master English Sheet'!X21="Yes, Western", 1,
IF('Master English Sheet'!X21="Yes, Global", 2,
IF('Master English Sheet'!X21="Yes,  Japanese", 3,
IF('Master English Sheet'!X21="No", 4,
IF('Master English Sheet'!X21="Unsure", 5, 
IF('Master English Sheet'!X21 = "", 6, ""))))))</f>
        <v>3</v>
      </c>
      <c r="V21" s="1">
        <f>'Master English Sheet'!Y21</f>
        <v>5</v>
      </c>
      <c r="W21" s="1">
        <f>'Master English Sheet'!Z21</f>
        <v>6</v>
      </c>
      <c r="X21" s="1">
        <f>'Master English Sheet'!AA21</f>
        <v>5</v>
      </c>
    </row>
    <row r="22">
      <c r="A22" s="6">
        <v>21.0</v>
      </c>
      <c r="B22" s="6">
        <v>1.0</v>
      </c>
      <c r="C22" s="1">
        <f>IF('Master English Sheet'!D22="18-25", 1,
IF('Master English Sheet'!D22="26-35", 2,
IF('Master English Sheet'!D22="36-45", 3,
IF('Master English Sheet'!D22="46-55", 4,
IF('Master English Sheet'!D22="56-65", 5,
IF('Master English Sheet'!D22="65+", 6, ""))))))</f>
        <v>5</v>
      </c>
      <c r="D22" s="1">
        <f>IF('Master English Sheet'!E22="Male", 1,
IF('Master English Sheet'!E22="Female", 2,
IF('Master English Sheet'!E22="Nonbinary", 3,
IF('Master English Sheet'!E22="Prefer not to say", 4, ""))))</f>
        <v>2</v>
      </c>
      <c r="E22" s="1">
        <f>IF('Master English Sheet'!F22="Under ¥3,000,000", 1,
IF('Master English Sheet'!F22="¥3,000,000 – ¥5,999,999", 2,
IF('Master English Sheet'!F22="¥6,000,000 – ¥8,999,999", 3,
IF('Master English Sheet'!F22="¥9,000,000 – ¥11,999,999", 4,
IF('Master English Sheet'!F22 = "¥12,000,000 or more", 5,
IF('Master English Sheet'!F22 = "Prefer not to say", 6, ""))))))</f>
        <v>5</v>
      </c>
      <c r="F22" s="1">
        <f>IF('Master English Sheet'!G22="Hokkaido", 1,
IF('Master English Sheet'!G22="Tohoku", 2,
IF('Master English Sheet'!G22="Kanto", 3,
IF('Master English Sheet'!G22="Chubu", 4,
IF('Master English Sheet'!G22 = "Kansai", 5,
IF('Master English Sheet'!G22 = "Chugoku", 6,
IF('Master English Sheet'!G22 = "Shikoku", 7,
IF('Master English Sheet'!G22 = "Kyushu", 8,
IF('Master English Sheet'!G22 = "Okinawa", 9, 
IF('Master English Sheet'!G22 = "I do not live in Japan", 10, ""))))))))))</f>
        <v>3</v>
      </c>
      <c r="G22" s="1">
        <f>IF('Master English Sheet'!H22="Daily", 1,
IF('Master English Sheet'!H22="Several times a week", 2,
IF('Master English Sheet'!H22="Once a week", 3,
IF('Master English Sheet'!H22 = "Rarely", 4,
IF('Master English Sheet'!H22 = "Never", 5, "")))))</f>
        <v>3</v>
      </c>
      <c r="H22" s="1">
        <f>IF('Master English Sheet'!I22="Pour Over", 1,
IF('Master English Sheet'!I22="Drip", 2,
IF('Master English Sheet'!I22="Latte", 3,
IF('Master English Sheet'!I22="Americano", 4,
IF('Master English Sheet'!I22 = "Cappuccino", 5,
IF('Master English Sheet'!I22 = "Flavored coffee (mocha, vanilla, caramel, etc.)", 6,
IF('Master English Sheet'!I22 = "Cold brew", 7,
IF('Master English Sheet'!I22 = "I don't drink coffee", 8,
IF('Master English Sheet'!I22 = "Other:", 9,
IF('Master English Sheet'!I22 ="", 10, ""))))))))))</f>
        <v>5</v>
      </c>
      <c r="I22" s="1">
        <f>IF('Master English Sheet'!K22="Daily", 1,
IF('Master English Sheet'!K22="Several times a week", 2,
IF('Master English Sheet'!K22="Once a week", 3,
IF('Master English Sheet'!K22 = "Rarely", 4,
IF('Master English Sheet'!K22 = "Never", 5, "")))))</f>
        <v>4</v>
      </c>
      <c r="J22" s="1">
        <f>IF('Master English Sheet'!L22="Usucha", 1,
IF('Master English Sheet'!L22="Koicha", 2,
IF('Master English Sheet'!L22="Matcha Latte", 3,
IF('Master English Sheet'!L22="I don’t drink matcha", 4,
IF('Master English Sheet'!L22 = "Other:", 5,
IF('Master English Sheet'!L22 ="", 6, ""))))))</f>
        <v>6</v>
      </c>
      <c r="K22" s="6">
        <v>12.0</v>
      </c>
      <c r="L22" s="1">
        <f>IF('Parse of Qs'!B22="Taste/Flavor", 1,
IF('Parse of Qs'!B22="Price", 2,
IF('Parse of Qs'!B22="Energy boost/Caffeine", 3,
IF('Parse of Qs'!B22="Health benefits", 4,
IF('Parse of Qs'!B22 = "Social atmosphere", 5,
IF('Parse of Qs'!B22 ="Routine/Ritual", 6, 
IF('Parse of Qs'!B22 = "Branding/Imagery", 7,
IF('Parse of Qs'!B22 = "Social norms / influence (what people around me usually drink)", 8, 
IF('Parse of Qs'!B22 = "To try new things", 9,
IF('Parse of Qs'!B22 = "Other:", 10, 
IF('Parse of Qs'!B22 = "", 11, "")))))))))))</f>
        <v>11</v>
      </c>
      <c r="M22" s="1">
        <f>IF('Parse of Qs'!C22="At cafés", 1,
IF('Parse of Qs'!C22="At home", 2,
IF('Parse of Qs'!C22="From convenience stores (7-Eleven, Lawson, etc.)", 3,
IF('Parse of Qs'!C22="From vending machines", 4,
IF('Parse of Qs'!C22 = "Other:", 5,
IF('Parse of Qs'!C22 = "", 6, ""))))))</f>
        <v>1</v>
      </c>
      <c r="N22" s="1">
        <f>IF('Parse of Qs'!D22="At cafés", 1,
IF('Parse of Qs'!D22="At home", 2,
IF('Parse of Qs'!D22="From convenience stores (7-Eleven, Lawson, etc.)", 3,
IF('Parse of Qs'!D22="From vending machines", 4,
IF('Parse of Qs'!D22 = "Other:", 5,
IF('Parse of Qs'!D22 = "", 6, ""))))))</f>
        <v>6</v>
      </c>
      <c r="O22" s="1">
        <f>IF('Parse of Qs'!E22="At cafés", 1,
IF('Parse of Qs'!E22="At home", 2,
IF('Parse of Qs'!E22="From convenience stores (7-Eleven, Lawson, etc.)", 3,
IF('Parse of Qs'!E22="From vending machines", 4,
IF('Parse of Qs'!E22 = "Other:", 5,
IF('Parse of Qs'!E22 = "", 6, ""))))))</f>
        <v>6</v>
      </c>
      <c r="P22" s="1">
        <f>IF('Parse of Qs'!F22="At cafés", 1,
IF('Parse of Qs'!F22="At home", 2,
IF('Parse of Qs'!F22="From convenience stores (7-Eleven, Lawson, etc.)", 3,
IF('Parse of Qs'!F22="From vending machines", 4,
IF('Parse of Qs'!F22 = "Other:", 5,
IF('Parse of Qs'!F22 = "", 6, ""))))))</f>
        <v>6</v>
      </c>
      <c r="Q22" s="1">
        <f>IF(OR('Master English Sheet'!R22="Every Day",'Master English Sheet'!R22="Daily"), 1,
IF('Master English Sheet'!R22="Several times a week", 2,
IF('Master English Sheet'!R22="Once a week", 3,
IF('Master English Sheet'!R22="A few times a month", 4,
IF('Master English Sheet'!R22="Rarely", 5,
IF('Master English Sheet'!R22="Never", 6, 
IF('Master English Sheet'!R22 = "", 7, "")))))))</f>
        <v>4</v>
      </c>
      <c r="R22" s="1">
        <f>IF('Master English Sheet'!S22="To relax or take a break", 1,
IF('Master English Sheet'!S22="To meet friends", 2,
IF('Master English Sheet'!S22="To study/work", 3,
IF('Master English Sheet'!S22="To try a new drink", 4,
IF('Master English Sheet'!S22="Out of habit", 5,
IF('Master English Sheet'!S22="Other:", 6, 
IF('Master English Sheet'!S22 = "", 7, "")))))))</f>
        <v>1</v>
      </c>
      <c r="S22" s="1">
        <f>IF('Master English Sheet'!U22="Quality of drinks", 1,
IF('Master English Sheet'!U22="Atmosphere", 2,
IF('Master English Sheet'!U22="Service", 3,
IF('Master English Sheet'!U22="Brand image", 4,
IF('Master English Sheet'!U22="Other:", 5, 
IF('Master English Sheet'!U22 = "", 6, ""))))))</f>
        <v>2</v>
      </c>
      <c r="T22" s="1">
        <f>IF('Master English Sheet'!W22="Yes, Western", 1,
IF('Master English Sheet'!W22="Yes, Global", 2,
IF('Master English Sheet'!W22="Yes,  Japanese", 3,
IF('Master English Sheet'!W22="No", 4,
IF('Master English Sheet'!W22="Unsure", 5, 
IF('Master English Sheet'!W22 = "", 6, ""))))))</f>
        <v>4</v>
      </c>
      <c r="U22" s="1">
        <f>IF('Master English Sheet'!X22="Yes, Western", 1,
IF('Master English Sheet'!X22="Yes, Global", 2,
IF('Master English Sheet'!X22="Yes,  Japanese", 3,
IF('Master English Sheet'!X22="No", 4,
IF('Master English Sheet'!X22="Unsure", 5, 
IF('Master English Sheet'!X22 = "", 6, ""))))))</f>
        <v>4</v>
      </c>
      <c r="V22" s="1">
        <f>'Master English Sheet'!Y22</f>
        <v>7</v>
      </c>
      <c r="W22" s="1">
        <f>'Master English Sheet'!Z22</f>
        <v>7</v>
      </c>
      <c r="X22" s="1">
        <f>'Master English Sheet'!AA22</f>
        <v>7</v>
      </c>
    </row>
    <row r="23">
      <c r="A23" s="6">
        <v>22.0</v>
      </c>
      <c r="B23" s="6">
        <v>1.0</v>
      </c>
      <c r="C23" s="1">
        <f>IF('Master English Sheet'!D23="18-25", 1,
IF('Master English Sheet'!D23="26-35", 2,
IF('Master English Sheet'!D23="36-45", 3,
IF('Master English Sheet'!D23="46-55", 4,
IF('Master English Sheet'!D23="56-65", 5,
IF('Master English Sheet'!D23="65+", 6, ""))))))</f>
        <v>2</v>
      </c>
      <c r="D23" s="1">
        <f>IF('Master English Sheet'!E23="Male", 1,
IF('Master English Sheet'!E23="Female", 2,
IF('Master English Sheet'!E23="Nonbinary", 3,
IF('Master English Sheet'!E23="Prefer not to say", 4, ""))))</f>
        <v>2</v>
      </c>
      <c r="E23" s="1">
        <f>IF('Master English Sheet'!F23="Under ¥3,000,000", 1,
IF('Master English Sheet'!F23="¥3,000,000 – ¥5,999,999", 2,
IF('Master English Sheet'!F23="¥6,000,000 – ¥8,999,999", 3,
IF('Master English Sheet'!F23="¥9,000,000 – ¥11,999,999", 4,
IF('Master English Sheet'!F23 = "¥12,000,000 or more", 5,
IF('Master English Sheet'!F23 = "Prefer not to say", 6, ""))))))</f>
        <v>2</v>
      </c>
      <c r="F23" s="1">
        <f>IF('Master English Sheet'!G23="Hokkaido", 1,
IF('Master English Sheet'!G23="Tohoku", 2,
IF('Master English Sheet'!G23="Kanto", 3,
IF('Master English Sheet'!G23="Chubu", 4,
IF('Master English Sheet'!G23 = "Kansai", 5,
IF('Master English Sheet'!G23 = "Chugoku", 6,
IF('Master English Sheet'!G23 = "Shikoku", 7,
IF('Master English Sheet'!G23 = "Kyushu", 8,
IF('Master English Sheet'!G23 = "Okinawa", 9, 
IF('Master English Sheet'!G23 = "I do not live in Japan", 10, ""))))))))))</f>
        <v>8</v>
      </c>
      <c r="G23" s="1">
        <f>IF('Master English Sheet'!H23="Daily", 1,
IF('Master English Sheet'!H23="Several times a week", 2,
IF('Master English Sheet'!H23="Once a week", 3,
IF('Master English Sheet'!H23 = "Rarely", 4,
IF('Master English Sheet'!H23 = "Never", 5, "")))))</f>
        <v>5</v>
      </c>
      <c r="H23" s="1">
        <f>IF('Master English Sheet'!I23="Pour Over", 1,
IF('Master English Sheet'!I23="Drip", 2,
IF('Master English Sheet'!I23="Latte", 3,
IF('Master English Sheet'!I23="Americano", 4,
IF('Master English Sheet'!I23 = "Cappuccino", 5,
IF('Master English Sheet'!I23 = "Flavored coffee (mocha, vanilla, caramel, etc.)", 6,
IF('Master English Sheet'!I23 = "Cold brew", 7,
IF('Master English Sheet'!I23 = "I don't drink coffee", 8,
IF('Master English Sheet'!I23 = "Other:", 9,
IF('Master English Sheet'!I23 ="", 10, ""))))))))))</f>
        <v>10</v>
      </c>
      <c r="I23" s="1">
        <f>IF('Master English Sheet'!K23="Daily", 1,
IF('Master English Sheet'!K23="Several times a week", 2,
IF('Master English Sheet'!K23="Once a week", 3,
IF('Master English Sheet'!K23 = "Rarely", 4,
IF('Master English Sheet'!K23 = "Never", 5, "")))))</f>
        <v>4</v>
      </c>
      <c r="J23" s="1">
        <f>IF('Master English Sheet'!L23="Usucha", 1,
IF('Master English Sheet'!L23="Koicha", 2,
IF('Master English Sheet'!L23="Matcha Latte", 3,
IF('Master English Sheet'!L23="I don’t drink matcha", 4,
IF('Master English Sheet'!L23 = "Other:", 5,
IF('Master English Sheet'!L23 ="", 6, ""))))))</f>
        <v>2</v>
      </c>
      <c r="K23" s="1">
        <f>IF('Parse of Qs'!A23="Taste/Flavor", 1,
IF('Parse of Qs'!A23="Price", 2,
IF('Parse of Qs'!A23="Energy boost/Caffeine", 3,
IF('Parse of Qs'!A23="Health benefits", 4,
IF('Parse of Qs'!A23 = "Social atmosphere", 5,
IF('Parse of Qs'!A23 ="Routine/Ritual", 6, 
IF('Parse of Qs'!A23 = "Branding/Imagery", 7,
IF('Parse of Qs'!A23 = "Social norms / influence (what people around me usually drink)", 8, 
IF('Parse of Qs'!A23 = "To try new things", 9,
IF('Parse of Qs'!A23 = "Other:", 10, 
IF('Parse of Qs'!A23 = "", 11, "")))))))))))</f>
        <v>4</v>
      </c>
      <c r="L23" s="1">
        <f>IF('Parse of Qs'!B23="Taste/Flavor", 1,
IF('Parse of Qs'!B23="Price", 2,
IF('Parse of Qs'!B23="Energy boost/Caffeine", 3,
IF('Parse of Qs'!B23="Health benefits", 4,
IF('Parse of Qs'!B23 = "Social atmosphere", 5,
IF('Parse of Qs'!B23 ="Routine/Ritual", 6, 
IF('Parse of Qs'!B23 = "Branding/Imagery", 7,
IF('Parse of Qs'!B23 = "Social norms / influence (what people around me usually drink)", 8, 
IF('Parse of Qs'!B23 = "To try new things", 9,
IF('Parse of Qs'!B23 = "Other:", 10, 
IF('Parse of Qs'!B23 = "", 11, "")))))))))))</f>
        <v>1</v>
      </c>
      <c r="M23" s="1">
        <f>IF('Parse of Qs'!C23="At cafés", 1,
IF('Parse of Qs'!C23="At home", 2,
IF('Parse of Qs'!C23="From convenience stores (7-Eleven, Lawson, etc.)", 3,
IF('Parse of Qs'!C23="From vending machines", 4,
IF('Parse of Qs'!C23 = "Other:", 5,
IF('Parse of Qs'!C23 = "", 6, ""))))))</f>
        <v>1</v>
      </c>
      <c r="N23" s="1">
        <f>IF('Parse of Qs'!D23="At cafés", 1,
IF('Parse of Qs'!D23="At home", 2,
IF('Parse of Qs'!D23="From convenience stores (7-Eleven, Lawson, etc.)", 3,
IF('Parse of Qs'!D23="From vending machines", 4,
IF('Parse of Qs'!D23 = "Other:", 5,
IF('Parse of Qs'!D23 = "", 6, ""))))))</f>
        <v>6</v>
      </c>
      <c r="O23" s="1">
        <f>IF('Parse of Qs'!E23="At cafés", 1,
IF('Parse of Qs'!E23="At home", 2,
IF('Parse of Qs'!E23="From convenience stores (7-Eleven, Lawson, etc.)", 3,
IF('Parse of Qs'!E23="From vending machines", 4,
IF('Parse of Qs'!E23 = "Other:", 5,
IF('Parse of Qs'!E23 = "", 6, ""))))))</f>
        <v>6</v>
      </c>
      <c r="P23" s="1">
        <f>IF('Parse of Qs'!F23="At cafés", 1,
IF('Parse of Qs'!F23="At home", 2,
IF('Parse of Qs'!F23="From convenience stores (7-Eleven, Lawson, etc.)", 3,
IF('Parse of Qs'!F23="From vending machines", 4,
IF('Parse of Qs'!F23 = "Other:", 5,
IF('Parse of Qs'!F23 = "", 6, ""))))))</f>
        <v>6</v>
      </c>
      <c r="Q23" s="1">
        <f>IF(OR('Master English Sheet'!R23="Every Day",'Master English Sheet'!R23="Daily"), 1,
IF('Master English Sheet'!R23="Several times a week", 2,
IF('Master English Sheet'!R23="Once a week", 3,
IF('Master English Sheet'!R23="A few times a month", 4,
IF('Master English Sheet'!R23="Rarely", 5,
IF('Master English Sheet'!R23="Never", 6, 
IF('Master English Sheet'!R23 = "", 7, "")))))))</f>
        <v>4</v>
      </c>
      <c r="R23" s="1">
        <f>IF('Master English Sheet'!S23="To relax or take a break", 1,
IF('Master English Sheet'!S23="To meet friends", 2,
IF('Master English Sheet'!S23="To study/work", 3,
IF('Master English Sheet'!S23="To try a new drink", 4,
IF('Master English Sheet'!S23="Out of habit", 5,
IF('Master English Sheet'!S23="Other:", 6, 
IF('Master English Sheet'!S23 = "", 7, "")))))))</f>
        <v>2</v>
      </c>
      <c r="S23" s="1">
        <f>IF('Master English Sheet'!U23="Quality of drinks", 1,
IF('Master English Sheet'!U23="Atmosphere", 2,
IF('Master English Sheet'!U23="Service", 3,
IF('Master English Sheet'!U23="Brand image", 4,
IF('Master English Sheet'!U23="Other:", 5, 
IF('Master English Sheet'!U23 = "", 6, ""))))))</f>
        <v>2</v>
      </c>
      <c r="T23" s="1">
        <f>IF('Master English Sheet'!W23="Yes, Western", 1,
IF('Master English Sheet'!W23="Yes, Global", 2,
IF('Master English Sheet'!W23="Yes,  Japanese", 3,
IF('Master English Sheet'!W23="No", 4,
IF('Master English Sheet'!W23="Unsure", 5, 
IF('Master English Sheet'!W23 = "", 6, ""))))))</f>
        <v>2</v>
      </c>
      <c r="U23" s="1">
        <f>IF('Master English Sheet'!X23="Yes, Western", 1,
IF('Master English Sheet'!X23="Yes, Global", 2,
IF('Master English Sheet'!X23="Yes,  Japanese", 3,
IF('Master English Sheet'!X23="No", 4,
IF('Master English Sheet'!X23="Unsure", 5, 
IF('Master English Sheet'!X23 = "", 6, ""))))))</f>
        <v>3</v>
      </c>
      <c r="V23" s="1">
        <f>'Master English Sheet'!Y23</f>
        <v>4</v>
      </c>
      <c r="W23" s="1">
        <f>'Master English Sheet'!Z23</f>
        <v>7</v>
      </c>
      <c r="X23" s="1">
        <f>'Master English Sheet'!AA23</f>
        <v>3</v>
      </c>
    </row>
    <row r="24">
      <c r="A24" s="6">
        <v>23.0</v>
      </c>
      <c r="B24" s="6">
        <v>1.0</v>
      </c>
      <c r="C24" s="1">
        <f>IF('Master English Sheet'!D24="18-25", 1,
IF('Master English Sheet'!D24="26-35", 2,
IF('Master English Sheet'!D24="36-45", 3,
IF('Master English Sheet'!D24="46-55", 4,
IF('Master English Sheet'!D24="56-65", 5,
IF('Master English Sheet'!D24="65+", 6, ""))))))</f>
        <v>4</v>
      </c>
      <c r="D24" s="1">
        <f>IF('Master English Sheet'!E24="Male", 1,
IF('Master English Sheet'!E24="Female", 2,
IF('Master English Sheet'!E24="Nonbinary", 3,
IF('Master English Sheet'!E24="Prefer not to say", 4, ""))))</f>
        <v>1</v>
      </c>
      <c r="E24" s="1">
        <f>IF('Master English Sheet'!F24="Under ¥3,000,000", 1,
IF('Master English Sheet'!F24="¥3,000,000 – ¥5,999,999", 2,
IF('Master English Sheet'!F24="¥6,000,000 – ¥8,999,999", 3,
IF('Master English Sheet'!F24="¥9,000,000 – ¥11,999,999", 4,
IF('Master English Sheet'!F24 = "¥12,000,000 or more", 5,
IF('Master English Sheet'!F24 = "Prefer not to say", 6, ""))))))</f>
        <v>6</v>
      </c>
      <c r="F24" s="1">
        <f>IF('Master English Sheet'!G24="Hokkaido", 1,
IF('Master English Sheet'!G24="Tohoku", 2,
IF('Master English Sheet'!G24="Kanto", 3,
IF('Master English Sheet'!G24="Chubu", 4,
IF('Master English Sheet'!G24 = "Kansai", 5,
IF('Master English Sheet'!G24 = "Chugoku", 6,
IF('Master English Sheet'!G24 = "Shikoku", 7,
IF('Master English Sheet'!G24 = "Kyushu", 8,
IF('Master English Sheet'!G24 = "Okinawa", 9, 
IF('Master English Sheet'!G24 = "I do not live in Japan", 10, ""))))))))))</f>
        <v>3</v>
      </c>
      <c r="G24" s="1">
        <f>IF('Master English Sheet'!H24="Daily", 1,
IF('Master English Sheet'!H24="Several times a week", 2,
IF('Master English Sheet'!H24="Once a week", 3,
IF('Master English Sheet'!H24 = "Rarely", 4,
IF('Master English Sheet'!H24 = "Never", 5, "")))))</f>
        <v>1</v>
      </c>
      <c r="H24" s="1">
        <f>IF('Master English Sheet'!I24="Pour Over", 1,
IF('Master English Sheet'!I24="Drip", 2,
IF('Master English Sheet'!I24="Latte", 3,
IF('Master English Sheet'!I24="Americano", 4,
IF('Master English Sheet'!I24 = "Cappuccino", 5,
IF('Master English Sheet'!I24 = "Flavored coffee (mocha, vanilla, caramel, etc.)", 6,
IF('Master English Sheet'!I24 = "Cold brew", 7,
IF('Master English Sheet'!I24 = "I don't drink coffee", 8,
IF('Master English Sheet'!I24 = "Other:", 9,
IF('Master English Sheet'!I24 ="", 10, ""))))))))))</f>
        <v>3</v>
      </c>
      <c r="I24" s="1">
        <f>IF('Master English Sheet'!K24="Daily", 1,
IF('Master English Sheet'!K24="Several times a week", 2,
IF('Master English Sheet'!K24="Once a week", 3,
IF('Master English Sheet'!K24 = "Rarely", 4,
IF('Master English Sheet'!K24 = "Never", 5, "")))))</f>
        <v>4</v>
      </c>
      <c r="J24" s="1">
        <f>IF('Master English Sheet'!L24="Usucha", 1,
IF('Master English Sheet'!L24="Koicha", 2,
IF('Master English Sheet'!L24="Matcha Latte", 3,
IF('Master English Sheet'!L24="I don’t drink matcha", 4,
IF('Master English Sheet'!L24 = "Other:", 5,
IF('Master English Sheet'!L24 ="", 6, ""))))))</f>
        <v>4</v>
      </c>
      <c r="K24" s="1">
        <f>IF('Parse of Qs'!A24="Taste/Flavor", 1,
IF('Parse of Qs'!A24="Price", 2,
IF('Parse of Qs'!A24="Energy boost/Caffeine", 3,
IF('Parse of Qs'!A24="Health benefits", 4,
IF('Parse of Qs'!A24 = "Social atmosphere", 5,
IF('Parse of Qs'!A24 ="Routine/Ritual", 6, 
IF('Parse of Qs'!A24 = "Branding/Imagery", 7,
IF('Parse of Qs'!A24 = "Social norms / influence (what people around me usually drink)", 8, 
IF('Parse of Qs'!A24 = "To try new things", 9,
IF('Parse of Qs'!A24 = "Other:", 10, 
IF('Parse of Qs'!A24 = "", 11, "")))))))))))</f>
        <v>1</v>
      </c>
      <c r="L24" s="1">
        <f>IF('Parse of Qs'!B24="Taste/Flavor", 1,
IF('Parse of Qs'!B24="Price", 2,
IF('Parse of Qs'!B24="Energy boost/Caffeine", 3,
IF('Parse of Qs'!B24="Health benefits", 4,
IF('Parse of Qs'!B24 = "Social atmosphere", 5,
IF('Parse of Qs'!B24 ="Routine/Ritual", 6, 
IF('Parse of Qs'!B24 = "Branding/Imagery", 7,
IF('Parse of Qs'!B24 = "Social norms / influence (what people around me usually drink)", 8, 
IF('Parse of Qs'!B24 = "To try new things", 9,
IF('Parse of Qs'!B24 = "Other:", 10, 
IF('Parse of Qs'!B24 = "", 11, "")))))))))))</f>
        <v>2</v>
      </c>
      <c r="M24" s="1">
        <f>IF('Parse of Qs'!C24="At cafés", 1,
IF('Parse of Qs'!C24="At home", 2,
IF('Parse of Qs'!C24="From convenience stores (7-Eleven, Lawson, etc.)", 3,
IF('Parse of Qs'!C24="From vending machines", 4,
IF('Parse of Qs'!C24 = "Other:", 5,
IF('Parse of Qs'!C24 = "", 6, ""))))))</f>
        <v>2</v>
      </c>
      <c r="N24" s="1">
        <f>IF('Parse of Qs'!D24="At cafés", 1,
IF('Parse of Qs'!D24="At home", 2,
IF('Parse of Qs'!D24="From convenience stores (7-Eleven, Lawson, etc.)", 3,
IF('Parse of Qs'!D24="From vending machines", 4,
IF('Parse of Qs'!D24 = "Other:", 5,
IF('Parse of Qs'!D24 = "", 6, ""))))))</f>
        <v>1</v>
      </c>
      <c r="O24" s="1">
        <f>IF('Parse of Qs'!E24="At cafés", 1,
IF('Parse of Qs'!E24="At home", 2,
IF('Parse of Qs'!E24="From convenience stores (7-Eleven, Lawson, etc.)", 3,
IF('Parse of Qs'!E24="From vending machines", 4,
IF('Parse of Qs'!E24 = "Other:", 5,
IF('Parse of Qs'!E24 = "", 6, ""))))))</f>
        <v>6</v>
      </c>
      <c r="P24" s="1">
        <f>IF('Parse of Qs'!F24="At cafés", 1,
IF('Parse of Qs'!F24="At home", 2,
IF('Parse of Qs'!F24="From convenience stores (7-Eleven, Lawson, etc.)", 3,
IF('Parse of Qs'!F24="From vending machines", 4,
IF('Parse of Qs'!F24 = "Other:", 5,
IF('Parse of Qs'!F24 = "", 6, ""))))))</f>
        <v>6</v>
      </c>
      <c r="Q24" s="1">
        <f>IF(OR('Master English Sheet'!R24="Every Day",'Master English Sheet'!R24="Daily"), 1,
IF('Master English Sheet'!R24="Several times a week", 2,
IF('Master English Sheet'!R24="Once a week", 3,
IF('Master English Sheet'!R24="A few times a month", 4,
IF('Master English Sheet'!R24="Rarely", 5,
IF('Master English Sheet'!R24="Never", 6, 
IF('Master English Sheet'!R24 = "", 7, "")))))))</f>
        <v>4</v>
      </c>
      <c r="R24" s="1">
        <f>IF('Master English Sheet'!S24="To relax or take a break", 1,
IF('Master English Sheet'!S24="To meet friends", 2,
IF('Master English Sheet'!S24="To study/work", 3,
IF('Master English Sheet'!S24="To try a new drink", 4,
IF('Master English Sheet'!S24="Out of habit", 5,
IF('Master English Sheet'!S24="Other:", 6, 
IF('Master English Sheet'!S24 = "", 7, "")))))))</f>
        <v>4</v>
      </c>
      <c r="S24" s="1">
        <f>IF('Master English Sheet'!U24="Quality of drinks", 1,
IF('Master English Sheet'!U24="Atmosphere", 2,
IF('Master English Sheet'!U24="Service", 3,
IF('Master English Sheet'!U24="Brand image", 4,
IF('Master English Sheet'!U24="Other:", 5, 
IF('Master English Sheet'!U24 = "", 6, ""))))))</f>
        <v>1</v>
      </c>
      <c r="T24" s="1">
        <f>IF('Master English Sheet'!W24="Yes, Western", 1,
IF('Master English Sheet'!W24="Yes, Global", 2,
IF('Master English Sheet'!W24="Yes,  Japanese", 3,
IF('Master English Sheet'!W24="No", 4,
IF('Master English Sheet'!W24="Unsure", 5, 
IF('Master English Sheet'!W24 = "", 6, ""))))))</f>
        <v>5</v>
      </c>
      <c r="U24" s="1">
        <f>IF('Master English Sheet'!X24="Yes, Western", 1,
IF('Master English Sheet'!X24="Yes, Global", 2,
IF('Master English Sheet'!X24="Yes,  Japanese", 3,
IF('Master English Sheet'!X24="No", 4,
IF('Master English Sheet'!X24="Unsure", 5, 
IF('Master English Sheet'!X24 = "", 6, ""))))))</f>
        <v>3</v>
      </c>
      <c r="V24" s="1">
        <f>'Master English Sheet'!Y24</f>
        <v>3</v>
      </c>
      <c r="W24" s="1">
        <f>'Master English Sheet'!Z24</f>
        <v>6</v>
      </c>
      <c r="X24" s="1">
        <f>'Master English Sheet'!AA24</f>
        <v>5</v>
      </c>
    </row>
    <row r="25">
      <c r="A25" s="6">
        <v>24.0</v>
      </c>
      <c r="B25" s="6">
        <v>1.0</v>
      </c>
      <c r="C25" s="1">
        <f>IF('Master English Sheet'!D25="18-25", 1,
IF('Master English Sheet'!D25="26-35", 2,
IF('Master English Sheet'!D25="36-45", 3,
IF('Master English Sheet'!D25="46-55", 4,
IF('Master English Sheet'!D25="56-65", 5,
IF('Master English Sheet'!D25="65+", 6, ""))))))</f>
        <v>5</v>
      </c>
      <c r="D25" s="1">
        <f>IF('Master English Sheet'!E25="Male", 1,
IF('Master English Sheet'!E25="Female", 2,
IF('Master English Sheet'!E25="Nonbinary", 3,
IF('Master English Sheet'!E25="Prefer not to say", 4, ""))))</f>
        <v>1</v>
      </c>
      <c r="E25" s="1">
        <f>IF('Master English Sheet'!F25="Under ¥3,000,000", 1,
IF('Master English Sheet'!F25="¥3,000,000 – ¥5,999,999", 2,
IF('Master English Sheet'!F25="¥6,000,000 – ¥8,999,999", 3,
IF('Master English Sheet'!F25="¥9,000,000 – ¥11,999,999", 4,
IF('Master English Sheet'!F25 = "¥12,000,000 or more", 5,
IF('Master English Sheet'!F25 = "Prefer not to say", 6, ""))))))</f>
        <v>5</v>
      </c>
      <c r="F25" s="1">
        <f>IF('Master English Sheet'!G25="Hokkaido", 1,
IF('Master English Sheet'!G25="Tohoku", 2,
IF('Master English Sheet'!G25="Kanto", 3,
IF('Master English Sheet'!G25="Chubu", 4,
IF('Master English Sheet'!G25 = "Kansai", 5,
IF('Master English Sheet'!G25 = "Chugoku", 6,
IF('Master English Sheet'!G25 = "Shikoku", 7,
IF('Master English Sheet'!G25 = "Kyushu", 8,
IF('Master English Sheet'!G25 = "Okinawa", 9, 
IF('Master English Sheet'!G25 = "I do not live in Japan", 10, ""))))))))))</f>
        <v>3</v>
      </c>
      <c r="G25" s="1">
        <f>IF('Master English Sheet'!H25="Daily", 1,
IF('Master English Sheet'!H25="Several times a week", 2,
IF('Master English Sheet'!H25="Once a week", 3,
IF('Master English Sheet'!H25 = "Rarely", 4,
IF('Master English Sheet'!H25 = "Never", 5, "")))))</f>
        <v>1</v>
      </c>
      <c r="H25" s="1">
        <f>IF('Master English Sheet'!I25="Pour Over", 1,
IF('Master English Sheet'!I25="Drip", 2,
IF('Master English Sheet'!I25="Latte", 3,
IF('Master English Sheet'!I25="Americano", 4,
IF('Master English Sheet'!I25 = "Cappuccino", 5,
IF('Master English Sheet'!I25 = "Flavored coffee (mocha, vanilla, caramel, etc.)", 6,
IF('Master English Sheet'!I25 = "Cold brew", 7,
IF('Master English Sheet'!I25 = "I don't drink coffee", 8,
IF('Master English Sheet'!I25 = "Other:", 9,
IF('Master English Sheet'!I25 ="", 10, ""))))))))))</f>
        <v>2</v>
      </c>
      <c r="I25" s="1">
        <f>IF('Master English Sheet'!K25="Daily", 1,
IF('Master English Sheet'!K25="Several times a week", 2,
IF('Master English Sheet'!K25="Once a week", 3,
IF('Master English Sheet'!K25 = "Rarely", 4,
IF('Master English Sheet'!K25 = "Never", 5, "")))))</f>
        <v>4</v>
      </c>
      <c r="J25" s="1">
        <f>IF('Master English Sheet'!L25="Usucha", 1,
IF('Master English Sheet'!L25="Koicha", 2,
IF('Master English Sheet'!L25="Matcha Latte", 3,
IF('Master English Sheet'!L25="I don’t drink matcha", 4,
IF('Master English Sheet'!L25 = "Other:", 5,
IF('Master English Sheet'!L25 ="", 6, ""))))))</f>
        <v>1</v>
      </c>
      <c r="K25" s="1">
        <f>IF('Parse of Qs'!A25="Taste/Flavor", 1,
IF('Parse of Qs'!A25="Price", 2,
IF('Parse of Qs'!A25="Energy boost/Caffeine", 3,
IF('Parse of Qs'!A25="Health benefits", 4,
IF('Parse of Qs'!A25 = "Social atmosphere", 5,
IF('Parse of Qs'!A25 ="Routine/Ritual", 6, 
IF('Parse of Qs'!A25 = "Branding/Imagery", 7,
IF('Parse of Qs'!A25 = "Social norms / influence (what people around me usually drink)", 8, 
IF('Parse of Qs'!A25 = "To try new things", 9,
IF('Parse of Qs'!A25 = "Other:", 10, 
IF('Parse of Qs'!A25 = "", 11, "")))))))))))</f>
        <v>3</v>
      </c>
      <c r="L25" s="1">
        <f>IF('Parse of Qs'!B25="Taste/Flavor", 1,
IF('Parse of Qs'!B25="Price", 2,
IF('Parse of Qs'!B25="Energy boost/Caffeine", 3,
IF('Parse of Qs'!B25="Health benefits", 4,
IF('Parse of Qs'!B25 = "Social atmosphere", 5,
IF('Parse of Qs'!B25 ="Routine/Ritual", 6, 
IF('Parse of Qs'!B25 = "Branding/Imagery", 7,
IF('Parse of Qs'!B25 = "Social norms / influence (what people around me usually drink)", 8, 
IF('Parse of Qs'!B25 = "To try new things", 9,
IF('Parse of Qs'!B25 = "Other:", 10, 
IF('Parse of Qs'!B25 = "", 11, "")))))))))))</f>
        <v>6</v>
      </c>
      <c r="M25" s="1">
        <f>IF('Parse of Qs'!C25="At cafés", 1,
IF('Parse of Qs'!C25="At home", 2,
IF('Parse of Qs'!C25="From convenience stores (7-Eleven, Lawson, etc.)", 3,
IF('Parse of Qs'!C25="From vending machines", 4,
IF('Parse of Qs'!C25 = "Other:", 5,
IF('Parse of Qs'!C25 = "", 6, ""))))))</f>
        <v>2</v>
      </c>
      <c r="N25" s="1">
        <f>IF('Parse of Qs'!D25="At cafés", 1,
IF('Parse of Qs'!D25="At home", 2,
IF('Parse of Qs'!D25="From convenience stores (7-Eleven, Lawson, etc.)", 3,
IF('Parse of Qs'!D25="From vending machines", 4,
IF('Parse of Qs'!D25 = "Other:", 5,
IF('Parse of Qs'!D25 = "", 6, ""))))))</f>
        <v>6</v>
      </c>
      <c r="O25" s="1">
        <f>IF('Parse of Qs'!E25="At cafés", 1,
IF('Parse of Qs'!E25="At home", 2,
IF('Parse of Qs'!E25="From convenience stores (7-Eleven, Lawson, etc.)", 3,
IF('Parse of Qs'!E25="From vending machines", 4,
IF('Parse of Qs'!E25 = "Other:", 5,
IF('Parse of Qs'!E25 = "", 6, ""))))))</f>
        <v>6</v>
      </c>
      <c r="P25" s="1">
        <f>IF('Parse of Qs'!F25="At cafés", 1,
IF('Parse of Qs'!F25="At home", 2,
IF('Parse of Qs'!F25="From convenience stores (7-Eleven, Lawson, etc.)", 3,
IF('Parse of Qs'!F25="From vending machines", 4,
IF('Parse of Qs'!F25 = "Other:", 5,
IF('Parse of Qs'!F25 = "", 6, ""))))))</f>
        <v>6</v>
      </c>
      <c r="Q25" s="1">
        <f>IF(OR('Master English Sheet'!R25="Every Day",'Master English Sheet'!R25="Daily"), 1,
IF('Master English Sheet'!R25="Several times a week", 2,
IF('Master English Sheet'!R25="Once a week", 3,
IF('Master English Sheet'!R25="A few times a month", 4,
IF('Master English Sheet'!R25="Rarely", 5,
IF('Master English Sheet'!R25="Never", 6, 
IF('Master English Sheet'!R25 = "", 7, "")))))))</f>
        <v>5</v>
      </c>
      <c r="R25" s="1">
        <f>IF('Master English Sheet'!S25="To relax or take a break", 1,
IF('Master English Sheet'!S25="To meet friends", 2,
IF('Master English Sheet'!S25="To study/work", 3,
IF('Master English Sheet'!S25="To try a new drink", 4,
IF('Master English Sheet'!S25="Out of habit", 5,
IF('Master English Sheet'!S25="Other:", 6, 
IF('Master English Sheet'!S25 = "", 7, "")))))))</f>
        <v>7</v>
      </c>
      <c r="S25" s="1">
        <f>IF('Master English Sheet'!U25="Quality of drinks", 1,
IF('Master English Sheet'!U25="Atmosphere", 2,
IF('Master English Sheet'!U25="Service", 3,
IF('Master English Sheet'!U25="Brand image", 4,
IF('Master English Sheet'!U25="Other:", 5, 
IF('Master English Sheet'!U25 = "", 6, ""))))))</f>
        <v>6</v>
      </c>
      <c r="T25" s="1">
        <f>IF('Master English Sheet'!W25="Yes, Western", 1,
IF('Master English Sheet'!W25="Yes, Global", 2,
IF('Master English Sheet'!W25="Yes,  Japanese", 3,
IF('Master English Sheet'!W25="No", 4,
IF('Master English Sheet'!W25="Unsure", 5, 
IF('Master English Sheet'!W25 = "", 6, ""))))))</f>
        <v>4</v>
      </c>
      <c r="U25" s="1">
        <f>IF('Master English Sheet'!X25="Yes, Western", 1,
IF('Master English Sheet'!X25="Yes, Global", 2,
IF('Master English Sheet'!X25="Yes,  Japanese", 3,
IF('Master English Sheet'!X25="No", 4,
IF('Master English Sheet'!X25="Unsure", 5, 
IF('Master English Sheet'!X25 = "", 6, ""))))))</f>
        <v>3</v>
      </c>
      <c r="V25" s="1">
        <f>'Master English Sheet'!Y25</f>
        <v>6</v>
      </c>
      <c r="W25" s="1">
        <f>'Master English Sheet'!Z25</f>
        <v>7</v>
      </c>
      <c r="X25" s="1">
        <f>'Master English Sheet'!AA25</f>
        <v>3</v>
      </c>
    </row>
    <row r="26">
      <c r="A26" s="6">
        <v>25.0</v>
      </c>
      <c r="B26" s="6">
        <v>1.0</v>
      </c>
      <c r="C26" s="1">
        <f>IF('Master English Sheet'!D26="18-25", 1,
IF('Master English Sheet'!D26="26-35", 2,
IF('Master English Sheet'!D26="36-45", 3,
IF('Master English Sheet'!D26="46-55", 4,
IF('Master English Sheet'!D26="56-65", 5,
IF('Master English Sheet'!D26="65+", 6, ""))))))</f>
        <v>3</v>
      </c>
      <c r="D26" s="1">
        <f>IF('Master English Sheet'!E26="Male", 1,
IF('Master English Sheet'!E26="Female", 2,
IF('Master English Sheet'!E26="Nonbinary", 3,
IF('Master English Sheet'!E26="Prefer not to say", 4, ""))))</f>
        <v>2</v>
      </c>
      <c r="E26" s="1">
        <f>IF('Master English Sheet'!F26="Under ¥3,000,000", 1,
IF('Master English Sheet'!F26="¥3,000,000 – ¥5,999,999", 2,
IF('Master English Sheet'!F26="¥6,000,000 – ¥8,999,999", 3,
IF('Master English Sheet'!F26="¥9,000,000 – ¥11,999,999", 4,
IF('Master English Sheet'!F26 = "¥12,000,000 or more", 5,
IF('Master English Sheet'!F26 = "Prefer not to say", 6, ""))))))</f>
        <v>5</v>
      </c>
      <c r="F26" s="1">
        <f>IF('Master English Sheet'!G26="Hokkaido", 1,
IF('Master English Sheet'!G26="Tohoku", 2,
IF('Master English Sheet'!G26="Kanto", 3,
IF('Master English Sheet'!G26="Chubu", 4,
IF('Master English Sheet'!G26 = "Kansai", 5,
IF('Master English Sheet'!G26 = "Chugoku", 6,
IF('Master English Sheet'!G26 = "Shikoku", 7,
IF('Master English Sheet'!G26 = "Kyushu", 8,
IF('Master English Sheet'!G26 = "Okinawa", 9, 
IF('Master English Sheet'!G26 = "I do not live in Japan", 10, ""))))))))))</f>
        <v>3</v>
      </c>
      <c r="G26" s="1">
        <f>IF('Master English Sheet'!H26="Daily", 1,
IF('Master English Sheet'!H26="Several times a week", 2,
IF('Master English Sheet'!H26="Once a week", 3,
IF('Master English Sheet'!H26 = "Rarely", 4,
IF('Master English Sheet'!H26 = "Never", 5, "")))))</f>
        <v>1</v>
      </c>
      <c r="H26" s="1">
        <f>IF('Master English Sheet'!I26="Pour Over", 1,
IF('Master English Sheet'!I26="Drip", 2,
IF('Master English Sheet'!I26="Latte", 3,
IF('Master English Sheet'!I26="Americano", 4,
IF('Master English Sheet'!I26 = "Cappuccino", 5,
IF('Master English Sheet'!I26 = "Flavored coffee (mocha, vanilla, caramel, etc.)", 6,
IF('Master English Sheet'!I26 = "Cold brew", 7,
IF('Master English Sheet'!I26 = "I don't drink coffee", 8,
IF('Master English Sheet'!I26 = "Other:", 9,
IF('Master English Sheet'!I26 ="", 10, ""))))))))))</f>
        <v>3</v>
      </c>
      <c r="I26" s="1">
        <f>IF('Master English Sheet'!K26="Daily", 1,
IF('Master English Sheet'!K26="Several times a week", 2,
IF('Master English Sheet'!K26="Once a week", 3,
IF('Master English Sheet'!K26 = "Rarely", 4,
IF('Master English Sheet'!K26 = "Never", 5, "")))))</f>
        <v>4</v>
      </c>
      <c r="J26" s="1">
        <f>IF('Master English Sheet'!L26="Usucha", 1,
IF('Master English Sheet'!L26="Koicha", 2,
IF('Master English Sheet'!L26="Matcha Latte", 3,
IF('Master English Sheet'!L26="I don’t drink matcha", 4,
IF('Master English Sheet'!L26 = "Other:", 5,
IF('Master English Sheet'!L26 ="", 6, ""))))))</f>
        <v>3</v>
      </c>
      <c r="K26" s="1">
        <f>IF('Parse of Qs'!A26="Taste/Flavor", 1,
IF('Parse of Qs'!A26="Price", 2,
IF('Parse of Qs'!A26="Energy boost/Caffeine", 3,
IF('Parse of Qs'!A26="Health benefits", 4,
IF('Parse of Qs'!A26 = "Social atmosphere", 5,
IF('Parse of Qs'!A26 ="Routine/Ritual", 6, 
IF('Parse of Qs'!A26 = "Branding/Imagery", 7,
IF('Parse of Qs'!A26 = "Social norms / influence (what people around me usually drink)", 8, 
IF('Parse of Qs'!A26 = "To try new things", 9,
IF('Parse of Qs'!A26 = "Other:", 10, 
IF('Parse of Qs'!A26 = "", 11, "")))))))))))</f>
        <v>1</v>
      </c>
      <c r="L26" s="1">
        <f>IF('Parse of Qs'!B26="Taste/Flavor", 1,
IF('Parse of Qs'!B26="Price", 2,
IF('Parse of Qs'!B26="Energy boost/Caffeine", 3,
IF('Parse of Qs'!B26="Health benefits", 4,
IF('Parse of Qs'!B26 = "Social atmosphere", 5,
IF('Parse of Qs'!B26 ="Routine/Ritual", 6, 
IF('Parse of Qs'!B26 = "Branding/Imagery", 7,
IF('Parse of Qs'!B26 = "Social norms / influence (what people around me usually drink)", 8, 
IF('Parse of Qs'!B26 = "To try new things", 9,
IF('Parse of Qs'!B26 = "Other:", 10, 
IF('Parse of Qs'!B26 = "", 11, "")))))))))))</f>
        <v>6</v>
      </c>
      <c r="M26" s="1">
        <f>IF('Parse of Qs'!C26="At cafés", 1,
IF('Parse of Qs'!C26="At home", 2,
IF('Parse of Qs'!C26="From convenience stores (7-Eleven, Lawson, etc.)", 3,
IF('Parse of Qs'!C26="From vending machines", 4,
IF('Parse of Qs'!C26 = "Other:", 5,
IF('Parse of Qs'!C26 = "", 6, ""))))))</f>
        <v>2</v>
      </c>
      <c r="N26" s="1">
        <f>IF('Parse of Qs'!D26="At cafés", 1,
IF('Parse of Qs'!D26="At home", 2,
IF('Parse of Qs'!D26="From convenience stores (7-Eleven, Lawson, etc.)", 3,
IF('Parse of Qs'!D26="From vending machines", 4,
IF('Parse of Qs'!D26 = "Other:", 5,
IF('Parse of Qs'!D26 = "", 6, ""))))))</f>
        <v>1</v>
      </c>
      <c r="O26" s="1">
        <f>IF('Parse of Qs'!E26="At cafés", 1,
IF('Parse of Qs'!E26="At home", 2,
IF('Parse of Qs'!E26="From convenience stores (7-Eleven, Lawson, etc.)", 3,
IF('Parse of Qs'!E26="From vending machines", 4,
IF('Parse of Qs'!E26 = "Other:", 5,
IF('Parse of Qs'!E26 = "", 6, ""))))))</f>
        <v>6</v>
      </c>
      <c r="P26" s="1">
        <f>IF('Parse of Qs'!F26="At cafés", 1,
IF('Parse of Qs'!F26="At home", 2,
IF('Parse of Qs'!F26="From convenience stores (7-Eleven, Lawson, etc.)", 3,
IF('Parse of Qs'!F26="From vending machines", 4,
IF('Parse of Qs'!F26 = "Other:", 5,
IF('Parse of Qs'!F26 = "", 6, ""))))))</f>
        <v>6</v>
      </c>
      <c r="Q26" s="1">
        <f>IF(OR('Master English Sheet'!R26="Every Day",'Master English Sheet'!R26="Daily"), 1,
IF('Master English Sheet'!R26="Several times a week", 2,
IF('Master English Sheet'!R26="Once a week", 3,
IF('Master English Sheet'!R26="A few times a month", 4,
IF('Master English Sheet'!R26="Rarely", 5,
IF('Master English Sheet'!R26="Never", 6, 
IF('Master English Sheet'!R26 = "", 7, "")))))))</f>
        <v>2</v>
      </c>
      <c r="R26" s="1">
        <f>IF('Master English Sheet'!S26="To relax or take a break", 1,
IF('Master English Sheet'!S26="To meet friends", 2,
IF('Master English Sheet'!S26="To study/work", 3,
IF('Master English Sheet'!S26="To try a new drink", 4,
IF('Master English Sheet'!S26="Out of habit", 5,
IF('Master English Sheet'!S26="Other:", 6, 
IF('Master English Sheet'!S26 = "", 7, "")))))))</f>
        <v>2</v>
      </c>
      <c r="S26" s="1">
        <f>IF('Master English Sheet'!U26="Quality of drinks", 1,
IF('Master English Sheet'!U26="Atmosphere", 2,
IF('Master English Sheet'!U26="Service", 3,
IF('Master English Sheet'!U26="Brand image", 4,
IF('Master English Sheet'!U26="Other:", 5, 
IF('Master English Sheet'!U26 = "", 6, ""))))))</f>
        <v>2</v>
      </c>
      <c r="T26" s="1">
        <f>IF('Master English Sheet'!W26="Yes, Western", 1,
IF('Master English Sheet'!W26="Yes, Global", 2,
IF('Master English Sheet'!W26="Yes,  Japanese", 3,
IF('Master English Sheet'!W26="No", 4,
IF('Master English Sheet'!W26="Unsure", 5, 
IF('Master English Sheet'!W26 = "", 6, ""))))))</f>
        <v>1</v>
      </c>
      <c r="U26" s="1">
        <f>IF('Master English Sheet'!X26="Yes, Western", 1,
IF('Master English Sheet'!X26="Yes, Global", 2,
IF('Master English Sheet'!X26="Yes,  Japanese", 3,
IF('Master English Sheet'!X26="No", 4,
IF('Master English Sheet'!X26="Unsure", 5, 
IF('Master English Sheet'!X26 = "", 6, ""))))))</f>
        <v>3</v>
      </c>
      <c r="V26" s="1">
        <f>'Master English Sheet'!Y26</f>
        <v>5</v>
      </c>
      <c r="W26" s="1">
        <f>'Master English Sheet'!Z26</f>
        <v>7</v>
      </c>
      <c r="X26" s="1">
        <f>'Master English Sheet'!AA26</f>
        <v>6</v>
      </c>
    </row>
    <row r="27">
      <c r="A27" s="6">
        <v>26.0</v>
      </c>
      <c r="B27" s="6">
        <v>1.0</v>
      </c>
      <c r="C27" s="1">
        <f>IF('Master English Sheet'!D27="18-25", 1,
IF('Master English Sheet'!D27="26-35", 2,
IF('Master English Sheet'!D27="36-45", 3,
IF('Master English Sheet'!D27="46-55", 4,
IF('Master English Sheet'!D27="56-65", 5,
IF('Master English Sheet'!D27="65+", 6, ""))))))</f>
        <v>1</v>
      </c>
      <c r="D27" s="1">
        <f>IF('Master English Sheet'!E27="Male", 1,
IF('Master English Sheet'!E27="Female", 2,
IF('Master English Sheet'!E27="Nonbinary", 3,
IF('Master English Sheet'!E27="Prefer not to say", 4, ""))))</f>
        <v>2</v>
      </c>
      <c r="E27" s="1">
        <f>IF('Master English Sheet'!F27="Under ¥3,000,000", 1,
IF('Master English Sheet'!F27="¥3,000,000 – ¥5,999,999", 2,
IF('Master English Sheet'!F27="¥6,000,000 – ¥8,999,999", 3,
IF('Master English Sheet'!F27="¥9,000,000 – ¥11,999,999", 4,
IF('Master English Sheet'!F27 = "¥12,000,000 or more", 5,
IF('Master English Sheet'!F27 = "Prefer not to say", 6, ""))))))</f>
        <v>1</v>
      </c>
      <c r="F27" s="1">
        <f>IF('Master English Sheet'!G27="Hokkaido", 1,
IF('Master English Sheet'!G27="Tohoku", 2,
IF('Master English Sheet'!G27="Kanto", 3,
IF('Master English Sheet'!G27="Chubu", 4,
IF('Master English Sheet'!G27 = "Kansai", 5,
IF('Master English Sheet'!G27 = "Chugoku", 6,
IF('Master English Sheet'!G27 = "Shikoku", 7,
IF('Master English Sheet'!G27 = "Kyushu", 8,
IF('Master English Sheet'!G27 = "Okinawa", 9, 
IF('Master English Sheet'!G27 = "I do not live in Japan", 10, ""))))))))))</f>
        <v>3</v>
      </c>
      <c r="G27" s="1">
        <f>IF('Master English Sheet'!H27="Daily", 1,
IF('Master English Sheet'!H27="Several times a week", 2,
IF('Master English Sheet'!H27="Once a week", 3,
IF('Master English Sheet'!H27 = "Rarely", 4,
IF('Master English Sheet'!H27 = "Never", 5, "")))))</f>
        <v>4</v>
      </c>
      <c r="H27" s="1">
        <f>IF('Master English Sheet'!I27="Pour Over", 1,
IF('Master English Sheet'!I27="Drip", 2,
IF('Master English Sheet'!I27="Latte", 3,
IF('Master English Sheet'!I27="Americano", 4,
IF('Master English Sheet'!I27 = "Cappuccino", 5,
IF('Master English Sheet'!I27 = "Flavored coffee (mocha, vanilla, caramel, etc.)", 6,
IF('Master English Sheet'!I27 = "Cold brew", 7,
IF('Master English Sheet'!I27 = "I don't drink coffee", 8,
IF('Master English Sheet'!I27 = "Other:", 9,
IF('Master English Sheet'!I27 ="", 10, ""))))))))))</f>
        <v>3</v>
      </c>
      <c r="I27" s="1">
        <f>IF('Master English Sheet'!K27="Daily", 1,
IF('Master English Sheet'!K27="Several times a week", 2,
IF('Master English Sheet'!K27="Once a week", 3,
IF('Master English Sheet'!K27 = "Rarely", 4,
IF('Master English Sheet'!K27 = "Never", 5, "")))))</f>
        <v>4</v>
      </c>
      <c r="J27" s="1">
        <f>IF('Master English Sheet'!L27="Usucha", 1,
IF('Master English Sheet'!L27="Koicha", 2,
IF('Master English Sheet'!L27="Matcha Latte", 3,
IF('Master English Sheet'!L27="I don’t drink matcha", 4,
IF('Master English Sheet'!L27 = "Other:", 5,
IF('Master English Sheet'!L27 ="", 6, ""))))))</f>
        <v>3</v>
      </c>
      <c r="K27" s="1">
        <f>IF('Parse of Qs'!A27="Taste/Flavor", 1,
IF('Parse of Qs'!A27="Price", 2,
IF('Parse of Qs'!A27="Energy boost/Caffeine", 3,
IF('Parse of Qs'!A27="Health benefits", 4,
IF('Parse of Qs'!A27 = "Social atmosphere", 5,
IF('Parse of Qs'!A27 ="Routine/Ritual", 6, 
IF('Parse of Qs'!A27 = "Branding/Imagery", 7,
IF('Parse of Qs'!A27 = "Social norms / influence (what people around me usually drink)", 8, 
IF('Parse of Qs'!A27 = "To try new things", 9,
IF('Parse of Qs'!A27 = "Other:", 10, 
IF('Parse of Qs'!A27 = "", 11, "")))))))))))</f>
        <v>1</v>
      </c>
      <c r="L27" s="1">
        <f>IF('Parse of Qs'!B27="Taste/Flavor", 1,
IF('Parse of Qs'!B27="Price", 2,
IF('Parse of Qs'!B27="Energy boost/Caffeine", 3,
IF('Parse of Qs'!B27="Health benefits", 4,
IF('Parse of Qs'!B27 = "Social atmosphere", 5,
IF('Parse of Qs'!B27 ="Routine/Ritual", 6, 
IF('Parse of Qs'!B27 = "Branding/Imagery", 7,
IF('Parse of Qs'!B27 = "Social norms / influence (what people around me usually drink)", 8, 
IF('Parse of Qs'!B27 = "To try new things", 9,
IF('Parse of Qs'!B27 = "Other:", 10, 
IF('Parse of Qs'!B27 = "", 11, "")))))))))))</f>
        <v>2</v>
      </c>
      <c r="M27" s="1">
        <f>IF('Parse of Qs'!C27="At cafés", 1,
IF('Parse of Qs'!C27="At home", 2,
IF('Parse of Qs'!C27="From convenience stores (7-Eleven, Lawson, etc.)", 3,
IF('Parse of Qs'!C27="From vending machines", 4,
IF('Parse of Qs'!C27 = "Other:", 5,
IF('Parse of Qs'!C27 = "", 6, ""))))))</f>
        <v>1</v>
      </c>
      <c r="N27" s="1">
        <f>IF('Parse of Qs'!D27="At cafés", 1,
IF('Parse of Qs'!D27="At home", 2,
IF('Parse of Qs'!D27="From convenience stores (7-Eleven, Lawson, etc.)", 3,
IF('Parse of Qs'!D27="From vending machines", 4,
IF('Parse of Qs'!D27 = "Other:", 5,
IF('Parse of Qs'!D27 = "", 6, ""))))))</f>
        <v>6</v>
      </c>
      <c r="O27" s="1">
        <f>IF('Parse of Qs'!E27="At cafés", 1,
IF('Parse of Qs'!E27="At home", 2,
IF('Parse of Qs'!E27="From convenience stores (7-Eleven, Lawson, etc.)", 3,
IF('Parse of Qs'!E27="From vending machines", 4,
IF('Parse of Qs'!E27 = "Other:", 5,
IF('Parse of Qs'!E27 = "", 6, ""))))))</f>
        <v>6</v>
      </c>
      <c r="P27" s="1">
        <f>IF('Parse of Qs'!F27="At cafés", 1,
IF('Parse of Qs'!F27="At home", 2,
IF('Parse of Qs'!F27="From convenience stores (7-Eleven, Lawson, etc.)", 3,
IF('Parse of Qs'!F27="From vending machines", 4,
IF('Parse of Qs'!F27 = "Other:", 5,
IF('Parse of Qs'!F27 = "", 6, ""))))))</f>
        <v>6</v>
      </c>
      <c r="Q27" s="1">
        <f>IF(OR('Master English Sheet'!R27="Every Day",'Master English Sheet'!R27="Daily"), 1,
IF('Master English Sheet'!R27="Several times a week", 2,
IF('Master English Sheet'!R27="Once a week", 3,
IF('Master English Sheet'!R27="A few times a month", 4,
IF('Master English Sheet'!R27="Rarely", 5,
IF('Master English Sheet'!R27="Never", 6, 
IF('Master English Sheet'!R27 = "", 7, "")))))))</f>
        <v>4</v>
      </c>
      <c r="R27" s="1">
        <f>IF('Master English Sheet'!S27="To relax or take a break", 1,
IF('Master English Sheet'!S27="To meet friends", 2,
IF('Master English Sheet'!S27="To study/work", 3,
IF('Master English Sheet'!S27="To try a new drink", 4,
IF('Master English Sheet'!S27="Out of habit", 5,
IF('Master English Sheet'!S27="Other:", 6, 
IF('Master English Sheet'!S27 = "", 7, "")))))))</f>
        <v>2</v>
      </c>
      <c r="S27" s="1">
        <f>IF('Master English Sheet'!U27="Quality of drinks", 1,
IF('Master English Sheet'!U27="Atmosphere", 2,
IF('Master English Sheet'!U27="Service", 3,
IF('Master English Sheet'!U27="Brand image", 4,
IF('Master English Sheet'!U27="Other:", 5, 
IF('Master English Sheet'!U27 = "", 6, ""))))))</f>
        <v>2</v>
      </c>
      <c r="T27" s="1">
        <f>IF('Master English Sheet'!W27="Yes, Western", 1,
IF('Master English Sheet'!W27="Yes, Global", 2,
IF('Master English Sheet'!W27="Yes,  Japanese", 3,
IF('Master English Sheet'!W27="No", 4,
IF('Master English Sheet'!W27="Unsure", 5, 
IF('Master English Sheet'!W27 = "", 6, ""))))))</f>
        <v>1</v>
      </c>
      <c r="U27" s="1">
        <f>IF('Master English Sheet'!X27="Yes, Western", 1,
IF('Master English Sheet'!X27="Yes, Global", 2,
IF('Master English Sheet'!X27="Yes,  Japanese", 3,
IF('Master English Sheet'!X27="No", 4,
IF('Master English Sheet'!X27="Unsure", 5, 
IF('Master English Sheet'!X27 = "", 6, ""))))))</f>
        <v>3</v>
      </c>
      <c r="V27" s="1">
        <f>'Master English Sheet'!Y27</f>
        <v>5</v>
      </c>
      <c r="W27" s="1">
        <f>'Master English Sheet'!Z27</f>
        <v>6</v>
      </c>
      <c r="X27" s="1">
        <f>'Master English Sheet'!AA27</f>
        <v>6</v>
      </c>
    </row>
    <row r="28">
      <c r="A28" s="6">
        <v>27.0</v>
      </c>
      <c r="B28" s="6">
        <v>1.0</v>
      </c>
      <c r="C28" s="1">
        <f>IF('Master English Sheet'!D28="18-25", 1,
IF('Master English Sheet'!D28="26-35", 2,
IF('Master English Sheet'!D28="36-45", 3,
IF('Master English Sheet'!D28="46-55", 4,
IF('Master English Sheet'!D28="56-65", 5,
IF('Master English Sheet'!D28="65+", 6, ""))))))</f>
        <v>3</v>
      </c>
      <c r="D28" s="1">
        <f>IF('Master English Sheet'!E28="Male", 1,
IF('Master English Sheet'!E28="Female", 2,
IF('Master English Sheet'!E28="Nonbinary", 3,
IF('Master English Sheet'!E28="Prefer not to say", 4, ""))))</f>
        <v>2</v>
      </c>
      <c r="E28" s="1">
        <f>IF('Master English Sheet'!F28="Under ¥3,000,000", 1,
IF('Master English Sheet'!F28="¥3,000,000 – ¥5,999,999", 2,
IF('Master English Sheet'!F28="¥6,000,000 – ¥8,999,999", 3,
IF('Master English Sheet'!F28="¥9,000,000 – ¥11,999,999", 4,
IF('Master English Sheet'!F28 = "¥12,000,000 or more", 5,
IF('Master English Sheet'!F28 = "Prefer not to say", 6, ""))))))</f>
        <v>1</v>
      </c>
      <c r="F28" s="1">
        <f>IF('Master English Sheet'!G28="Hokkaido", 1,
IF('Master English Sheet'!G28="Tohoku", 2,
IF('Master English Sheet'!G28="Kanto", 3,
IF('Master English Sheet'!G28="Chubu", 4,
IF('Master English Sheet'!G28 = "Kansai", 5,
IF('Master English Sheet'!G28 = "Chugoku", 6,
IF('Master English Sheet'!G28 = "Shikoku", 7,
IF('Master English Sheet'!G28 = "Kyushu", 8,
IF('Master English Sheet'!G28 = "Okinawa", 9, 
IF('Master English Sheet'!G28 = "I do not live in Japan", 10, ""))))))))))</f>
        <v>3</v>
      </c>
      <c r="G28" s="1">
        <f>IF('Master English Sheet'!H28="Daily", 1,
IF('Master English Sheet'!H28="Several times a week", 2,
IF('Master English Sheet'!H28="Once a week", 3,
IF('Master English Sheet'!H28 = "Rarely", 4,
IF('Master English Sheet'!H28 = "Never", 5, "")))))</f>
        <v>1</v>
      </c>
      <c r="H28" s="1">
        <f>IF('Master English Sheet'!I28="Pour Over", 1,
IF('Master English Sheet'!I28="Drip", 2,
IF('Master English Sheet'!I28="Latte", 3,
IF('Master English Sheet'!I28="Americano", 4,
IF('Master English Sheet'!I28 = "Cappuccino", 5,
IF('Master English Sheet'!I28 = "Flavored coffee (mocha, vanilla, caramel, etc.)", 6,
IF('Master English Sheet'!I28 = "Cold brew", 7,
IF('Master English Sheet'!I28 = "I don't drink coffee", 8,
IF('Master English Sheet'!I28 = "Other:", 9,
IF('Master English Sheet'!I28 ="", 10, ""))))))))))</f>
        <v>2</v>
      </c>
      <c r="I28" s="1">
        <f>IF('Master English Sheet'!K28="Daily", 1,
IF('Master English Sheet'!K28="Several times a week", 2,
IF('Master English Sheet'!K28="Once a week", 3,
IF('Master English Sheet'!K28 = "Rarely", 4,
IF('Master English Sheet'!K28 = "Never", 5, "")))))</f>
        <v>5</v>
      </c>
      <c r="J28" s="1">
        <f>IF('Master English Sheet'!L28="Usucha", 1,
IF('Master English Sheet'!L28="Koicha", 2,
IF('Master English Sheet'!L28="Matcha Latte", 3,
IF('Master English Sheet'!L28="I don’t drink matcha", 4,
IF('Master English Sheet'!L28 = "Other:", 5,
IF('Master English Sheet'!L28 ="", 6, ""))))))</f>
        <v>6</v>
      </c>
      <c r="K28" s="1">
        <f>IF('Parse of Qs'!A28="Taste/Flavor", 1,
IF('Parse of Qs'!A28="Price", 2,
IF('Parse of Qs'!A28="Energy boost/Caffeine", 3,
IF('Parse of Qs'!A28="Health benefits", 4,
IF('Parse of Qs'!A28 = "Social atmosphere", 5,
IF('Parse of Qs'!A28 ="Routine/Ritual", 6, 
IF('Parse of Qs'!A28 = "Branding/Imagery", 7,
IF('Parse of Qs'!A28 = "Social norms / influence (what people around me usually drink)", 8, 
IF('Parse of Qs'!A28 = "To try new things", 9,
IF('Parse of Qs'!A28 = "Other:", 10, 
IF('Parse of Qs'!A28 = "", 11, "")))))))))))</f>
        <v>3</v>
      </c>
      <c r="L28" s="1">
        <f>IF('Parse of Qs'!B28="Taste/Flavor", 1,
IF('Parse of Qs'!B28="Price", 2,
IF('Parse of Qs'!B28="Energy boost/Caffeine", 3,
IF('Parse of Qs'!B28="Health benefits", 4,
IF('Parse of Qs'!B28 = "Social atmosphere", 5,
IF('Parse of Qs'!B28 ="Routine/Ritual", 6, 
IF('Parse of Qs'!B28 = "Branding/Imagery", 7,
IF('Parse of Qs'!B28 = "Social norms / influence (what people around me usually drink)", 8, 
IF('Parse of Qs'!B28 = "To try new things", 9,
IF('Parse of Qs'!B28 = "Other:", 10, 
IF('Parse of Qs'!B28 = "", 11, "")))))))))))</f>
        <v>1</v>
      </c>
      <c r="M28" s="1">
        <f>IF('Parse of Qs'!C28="At cafés", 1,
IF('Parse of Qs'!C28="At home", 2,
IF('Parse of Qs'!C28="From convenience stores (7-Eleven, Lawson, etc.)", 3,
IF('Parse of Qs'!C28="From vending machines", 4,
IF('Parse of Qs'!C28 = "Other:", 5,
IF('Parse of Qs'!C28 = "", 6, ""))))))</f>
        <v>1</v>
      </c>
      <c r="N28" s="1">
        <f>IF('Parse of Qs'!D28="At cafés", 1,
IF('Parse of Qs'!D28="At home", 2,
IF('Parse of Qs'!D28="From convenience stores (7-Eleven, Lawson, etc.)", 3,
IF('Parse of Qs'!D28="From vending machines", 4,
IF('Parse of Qs'!D28 = "Other:", 5,
IF('Parse of Qs'!D28 = "", 6, ""))))))</f>
        <v>2</v>
      </c>
      <c r="O28" s="1">
        <f>IF('Parse of Qs'!E28="At cafés", 1,
IF('Parse of Qs'!E28="At home", 2,
IF('Parse of Qs'!E28="From convenience stores (7-Eleven, Lawson, etc.)", 3,
IF('Parse of Qs'!E28="From vending machines", 4,
IF('Parse of Qs'!E28 = "Other:", 5,
IF('Parse of Qs'!E28 = "", 6, ""))))))</f>
        <v>3</v>
      </c>
      <c r="P28" s="1">
        <f>IF('Parse of Qs'!F28="At cafés", 1,
IF('Parse of Qs'!F28="At home", 2,
IF('Parse of Qs'!F28="From convenience stores (7-Eleven, Lawson, etc.)", 3,
IF('Parse of Qs'!F28="From vending machines", 4,
IF('Parse of Qs'!F28 = "Other:", 5,
IF('Parse of Qs'!F28 = "", 6, ""))))))</f>
        <v>4</v>
      </c>
      <c r="Q28" s="1">
        <f>IF(OR('Master English Sheet'!R28="Every Day",'Master English Sheet'!R28="Daily"), 1,
IF('Master English Sheet'!R28="Several times a week", 2,
IF('Master English Sheet'!R28="Once a week", 3,
IF('Master English Sheet'!R28="A few times a month", 4,
IF('Master English Sheet'!R28="Rarely", 5,
IF('Master English Sheet'!R28="Never", 6, 
IF('Master English Sheet'!R28 = "", 7, "")))))))</f>
        <v>2</v>
      </c>
      <c r="R28" s="1">
        <f>IF('Master English Sheet'!S28="To relax or take a break", 1,
IF('Master English Sheet'!S28="To meet friends", 2,
IF('Master English Sheet'!S28="To study/work", 3,
IF('Master English Sheet'!S28="To try a new drink", 4,
IF('Master English Sheet'!S28="Out of habit", 5,
IF('Master English Sheet'!S28="Other:", 6, 
IF('Master English Sheet'!S28 = "", 7, "")))))))</f>
        <v>3</v>
      </c>
      <c r="S28" s="1">
        <f>IF('Master English Sheet'!U28="Quality of drinks", 1,
IF('Master English Sheet'!U28="Atmosphere", 2,
IF('Master English Sheet'!U28="Service", 3,
IF('Master English Sheet'!U28="Brand image", 4,
IF('Master English Sheet'!U28="Other:", 5, 
IF('Master English Sheet'!U28 = "", 6, ""))))))</f>
        <v>2</v>
      </c>
      <c r="T28" s="1">
        <f>IF('Master English Sheet'!W28="Yes, Western", 1,
IF('Master English Sheet'!W28="Yes, Global", 2,
IF('Master English Sheet'!W28="Yes,  Japanese", 3,
IF('Master English Sheet'!W28="No", 4,
IF('Master English Sheet'!W28="Unsure", 5, 
IF('Master English Sheet'!W28 = "", 6, ""))))))</f>
        <v>1</v>
      </c>
      <c r="U28" s="1">
        <f>IF('Master English Sheet'!X28="Yes, Western", 1,
IF('Master English Sheet'!X28="Yes, Global", 2,
IF('Master English Sheet'!X28="Yes,  Japanese", 3,
IF('Master English Sheet'!X28="No", 4,
IF('Master English Sheet'!X28="Unsure", 5, 
IF('Master English Sheet'!X28 = "", 6, ""))))))</f>
        <v>3</v>
      </c>
      <c r="V28" s="1">
        <f>'Master English Sheet'!Y28</f>
        <v>7</v>
      </c>
      <c r="W28" s="1">
        <f>'Master English Sheet'!Z28</f>
        <v>7</v>
      </c>
      <c r="X28" s="1">
        <f>'Master English Sheet'!AA28</f>
        <v>7</v>
      </c>
    </row>
    <row r="29">
      <c r="A29" s="6">
        <v>28.0</v>
      </c>
      <c r="B29" s="6">
        <v>1.0</v>
      </c>
      <c r="C29" s="1">
        <f>IF('Master English Sheet'!D29="18-25", 1,
IF('Master English Sheet'!D29="26-35", 2,
IF('Master English Sheet'!D29="36-45", 3,
IF('Master English Sheet'!D29="46-55", 4,
IF('Master English Sheet'!D29="56-65", 5,
IF('Master English Sheet'!D29="65+", 6, ""))))))</f>
        <v>4</v>
      </c>
      <c r="D29" s="1">
        <f>IF('Master English Sheet'!E29="Male", 1,
IF('Master English Sheet'!E29="Female", 2,
IF('Master English Sheet'!E29="Nonbinary", 3,
IF('Master English Sheet'!E29="Prefer not to say", 4, ""))))</f>
        <v>2</v>
      </c>
      <c r="E29" s="1">
        <f>IF('Master English Sheet'!F29="Under ¥3,000,000", 1,
IF('Master English Sheet'!F29="¥3,000,000 – ¥5,999,999", 2,
IF('Master English Sheet'!F29="¥6,000,000 – ¥8,999,999", 3,
IF('Master English Sheet'!F29="¥9,000,000 – ¥11,999,999", 4,
IF('Master English Sheet'!F29 = "¥12,000,000 or more", 5,
IF('Master English Sheet'!F29 = "Prefer not to say", 6, ""))))))</f>
        <v>2</v>
      </c>
      <c r="F29" s="1">
        <f>IF('Master English Sheet'!G29="Hokkaido", 1,
IF('Master English Sheet'!G29="Tohoku", 2,
IF('Master English Sheet'!G29="Kanto", 3,
IF('Master English Sheet'!G29="Chubu", 4,
IF('Master English Sheet'!G29 = "Kansai", 5,
IF('Master English Sheet'!G29 = "Chugoku", 6,
IF('Master English Sheet'!G29 = "Shikoku", 7,
IF('Master English Sheet'!G29 = "Kyushu", 8,
IF('Master English Sheet'!G29 = "Okinawa", 9, 
IF('Master English Sheet'!G29 = "I do not live in Japan", 10, ""))))))))))</f>
        <v>3</v>
      </c>
      <c r="G29" s="1">
        <f>IF('Master English Sheet'!H29="Daily", 1,
IF('Master English Sheet'!H29="Several times a week", 2,
IF('Master English Sheet'!H29="Once a week", 3,
IF('Master English Sheet'!H29 = "Rarely", 4,
IF('Master English Sheet'!H29 = "Never", 5, "")))))</f>
        <v>1</v>
      </c>
      <c r="H29" s="1">
        <f>IF('Master English Sheet'!I29="Pour Over", 1,
IF('Master English Sheet'!I29="Drip", 2,
IF('Master English Sheet'!I29="Latte", 3,
IF('Master English Sheet'!I29="Americano", 4,
IF('Master English Sheet'!I29 = "Cappuccino", 5,
IF('Master English Sheet'!I29 = "Flavored coffee (mocha, vanilla, caramel, etc.)", 6,
IF('Master English Sheet'!I29 = "Cold brew", 7,
IF('Master English Sheet'!I29 = "I don't drink coffee", 8,
IF('Master English Sheet'!I29 = "Other:", 9,
IF('Master English Sheet'!I29 ="", 10, ""))))))))))</f>
        <v>1</v>
      </c>
      <c r="I29" s="1">
        <f>IF('Master English Sheet'!K29="Daily", 1,
IF('Master English Sheet'!K29="Several times a week", 2,
IF('Master English Sheet'!K29="Once a week", 3,
IF('Master English Sheet'!K29 = "Rarely", 4,
IF('Master English Sheet'!K29 = "Never", 5, "")))))</f>
        <v>4</v>
      </c>
      <c r="J29" s="1">
        <f>IF('Master English Sheet'!L29="Usucha", 1,
IF('Master English Sheet'!L29="Koicha", 2,
IF('Master English Sheet'!L29="Matcha Latte", 3,
IF('Master English Sheet'!L29="I don’t drink matcha", 4,
IF('Master English Sheet'!L29 = "Other:", 5,
IF('Master English Sheet'!L29 ="", 6, ""))))))</f>
        <v>3</v>
      </c>
      <c r="K29" s="6">
        <v>12.0</v>
      </c>
      <c r="L29" s="1">
        <f>IF('Parse of Qs'!B29="Taste/Flavor", 1,
IF('Parse of Qs'!B29="Price", 2,
IF('Parse of Qs'!B29="Energy boost/Caffeine", 3,
IF('Parse of Qs'!B29="Health benefits", 4,
IF('Parse of Qs'!B29 = "Social atmosphere", 5,
IF('Parse of Qs'!B29 ="Routine/Ritual", 6, 
IF('Parse of Qs'!B29 = "Branding/Imagery", 7,
IF('Parse of Qs'!B29 = "Social norms / influence (what people around me usually drink)", 8, 
IF('Parse of Qs'!B29 = "To try new things", 9,
IF('Parse of Qs'!B29 = "Other:", 10, 
IF('Parse of Qs'!B29 = "", 11, "")))))))))))</f>
        <v>11</v>
      </c>
      <c r="M29" s="1">
        <f>IF('Parse of Qs'!C29="At cafés", 1,
IF('Parse of Qs'!C29="At home", 2,
IF('Parse of Qs'!C29="From convenience stores (7-Eleven, Lawson, etc.)", 3,
IF('Parse of Qs'!C29="From vending machines", 4,
IF('Parse of Qs'!C29 = "Other:", 5,
IF('Parse of Qs'!C29 = "", 6, ""))))))</f>
        <v>1</v>
      </c>
      <c r="N29" s="1">
        <f>IF('Parse of Qs'!D29="At cafés", 1,
IF('Parse of Qs'!D29="At home", 2,
IF('Parse of Qs'!D29="From convenience stores (7-Eleven, Lawson, etc.)", 3,
IF('Parse of Qs'!D29="From vending machines", 4,
IF('Parse of Qs'!D29 = "Other:", 5,
IF('Parse of Qs'!D29 = "", 6, ""))))))</f>
        <v>6</v>
      </c>
      <c r="O29" s="1">
        <f>IF('Parse of Qs'!E29="At cafés", 1,
IF('Parse of Qs'!E29="At home", 2,
IF('Parse of Qs'!E29="From convenience stores (7-Eleven, Lawson, etc.)", 3,
IF('Parse of Qs'!E29="From vending machines", 4,
IF('Parse of Qs'!E29 = "Other:", 5,
IF('Parse of Qs'!E29 = "", 6, ""))))))</f>
        <v>6</v>
      </c>
      <c r="P29" s="1">
        <f>IF('Parse of Qs'!F29="At cafés", 1,
IF('Parse of Qs'!F29="At home", 2,
IF('Parse of Qs'!F29="From convenience stores (7-Eleven, Lawson, etc.)", 3,
IF('Parse of Qs'!F29="From vending machines", 4,
IF('Parse of Qs'!F29 = "Other:", 5,
IF('Parse of Qs'!F29 = "", 6, ""))))))</f>
        <v>6</v>
      </c>
      <c r="Q29" s="1">
        <f>IF(OR('Master English Sheet'!R29="Every Day",'Master English Sheet'!R29="Daily"), 1,
IF('Master English Sheet'!R29="Several times a week", 2,
IF('Master English Sheet'!R29="Once a week", 3,
IF('Master English Sheet'!R29="A few times a month", 4,
IF('Master English Sheet'!R29="Rarely", 5,
IF('Master English Sheet'!R29="Never", 6, 
IF('Master English Sheet'!R29 = "", 7, "")))))))</f>
        <v>4</v>
      </c>
      <c r="R29" s="1">
        <f>IF('Master English Sheet'!S29="To relax or take a break", 1,
IF('Master English Sheet'!S29="To meet friends", 2,
IF('Master English Sheet'!S29="To study/work", 3,
IF('Master English Sheet'!S29="To try a new drink", 4,
IF('Master English Sheet'!S29="Out of habit", 5,
IF('Master English Sheet'!S29="Other:", 6, 
IF('Master English Sheet'!S29 = "", 7, "")))))))</f>
        <v>3</v>
      </c>
      <c r="S29" s="1">
        <f>IF('Master English Sheet'!U29="Quality of drinks", 1,
IF('Master English Sheet'!U29="Atmosphere", 2,
IF('Master English Sheet'!U29="Service", 3,
IF('Master English Sheet'!U29="Brand image", 4,
IF('Master English Sheet'!U29="Other:", 5, 
IF('Master English Sheet'!U29 = "", 6, ""))))))</f>
        <v>2</v>
      </c>
      <c r="T29" s="1">
        <f>IF('Master English Sheet'!W29="Yes, Western", 1,
IF('Master English Sheet'!W29="Yes, Global", 2,
IF('Master English Sheet'!W29="Yes,  Japanese", 3,
IF('Master English Sheet'!W29="No", 4,
IF('Master English Sheet'!W29="Unsure", 5, 
IF('Master English Sheet'!W29 = "", 6, ""))))))</f>
        <v>2</v>
      </c>
      <c r="U29" s="1">
        <f>IF('Master English Sheet'!X29="Yes, Western", 1,
IF('Master English Sheet'!X29="Yes, Global", 2,
IF('Master English Sheet'!X29="Yes,  Japanese", 3,
IF('Master English Sheet'!X29="No", 4,
IF('Master English Sheet'!X29="Unsure", 5, 
IF('Master English Sheet'!X29 = "", 6, ""))))))</f>
        <v>3</v>
      </c>
      <c r="V29" s="1">
        <f>'Master English Sheet'!Y29</f>
        <v>7</v>
      </c>
      <c r="W29" s="1">
        <f>'Master English Sheet'!Z29</f>
        <v>7</v>
      </c>
      <c r="X29" s="1">
        <f>'Master English Sheet'!AA29</f>
        <v>7</v>
      </c>
    </row>
    <row r="30">
      <c r="A30" s="6">
        <v>29.0</v>
      </c>
      <c r="B30" s="6">
        <v>1.0</v>
      </c>
      <c r="C30" s="1">
        <f>IF('Master English Sheet'!D30="18-25", 1,
IF('Master English Sheet'!D30="26-35", 2,
IF('Master English Sheet'!D30="36-45", 3,
IF('Master English Sheet'!D30="46-55", 4,
IF('Master English Sheet'!D30="56-65", 5,
IF('Master English Sheet'!D30="65+", 6, ""))))))</f>
        <v>5</v>
      </c>
      <c r="D30" s="1">
        <f>IF('Master English Sheet'!E30="Male", 1,
IF('Master English Sheet'!E30="Female", 2,
IF('Master English Sheet'!E30="Nonbinary", 3,
IF('Master English Sheet'!E30="Prefer not to say", 4, ""))))</f>
        <v>1</v>
      </c>
      <c r="E30" s="1">
        <f>IF('Master English Sheet'!F30="Under ¥3,000,000", 1,
IF('Master English Sheet'!F30="¥3,000,000 – ¥5,999,999", 2,
IF('Master English Sheet'!F30="¥6,000,000 – ¥8,999,999", 3,
IF('Master English Sheet'!F30="¥9,000,000 – ¥11,999,999", 4,
IF('Master English Sheet'!F30 = "¥12,000,000 or more", 5,
IF('Master English Sheet'!F30 = "Prefer not to say", 6, ""))))))</f>
        <v>2</v>
      </c>
      <c r="F30" s="1">
        <f>IF('Master English Sheet'!G30="Hokkaido", 1,
IF('Master English Sheet'!G30="Tohoku", 2,
IF('Master English Sheet'!G30="Kanto", 3,
IF('Master English Sheet'!G30="Chubu", 4,
IF('Master English Sheet'!G30 = "Kansai", 5,
IF('Master English Sheet'!G30 = "Chugoku", 6,
IF('Master English Sheet'!G30 = "Shikoku", 7,
IF('Master English Sheet'!G30 = "Kyushu", 8,
IF('Master English Sheet'!G30 = "Okinawa", 9, 
IF('Master English Sheet'!G30 = "I do not live in Japan", 10, ""))))))))))</f>
        <v>3</v>
      </c>
      <c r="G30" s="1">
        <f>IF('Master English Sheet'!H30="Daily", 1,
IF('Master English Sheet'!H30="Several times a week", 2,
IF('Master English Sheet'!H30="Once a week", 3,
IF('Master English Sheet'!H30 = "Rarely", 4,
IF('Master English Sheet'!H30 = "Never", 5, "")))))</f>
        <v>1</v>
      </c>
      <c r="H30" s="1">
        <f>IF('Master English Sheet'!I30="Pour Over", 1,
IF('Master English Sheet'!I30="Drip", 2,
IF('Master English Sheet'!I30="Latte", 3,
IF('Master English Sheet'!I30="Americano", 4,
IF('Master English Sheet'!I30 = "Cappuccino", 5,
IF('Master English Sheet'!I30 = "Flavored coffee (mocha, vanilla, caramel, etc.)", 6,
IF('Master English Sheet'!I30 = "Cold brew", 7,
IF('Master English Sheet'!I30 = "I don't drink coffee", 8,
IF('Master English Sheet'!I30 = "Other:", 9,
IF('Master English Sheet'!I30 ="", 10, ""))))))))))</f>
        <v>3</v>
      </c>
      <c r="I30" s="1">
        <f>IF('Master English Sheet'!K30="Daily", 1,
IF('Master English Sheet'!K30="Several times a week", 2,
IF('Master English Sheet'!K30="Once a week", 3,
IF('Master English Sheet'!K30 = "Rarely", 4,
IF('Master English Sheet'!K30 = "Never", 5, "")))))</f>
        <v>4</v>
      </c>
      <c r="J30" s="1">
        <f>IF('Master English Sheet'!L30="Usucha", 1,
IF('Master English Sheet'!L30="Koicha", 2,
IF('Master English Sheet'!L30="Matcha Latte", 3,
IF('Master English Sheet'!L30="I don’t drink matcha", 4,
IF('Master English Sheet'!L30 = "Other:", 5,
IF('Master English Sheet'!L30 ="", 6, ""))))))</f>
        <v>1</v>
      </c>
      <c r="K30" s="1">
        <f>IF('Parse of Qs'!A30="Taste/Flavor", 1,
IF('Parse of Qs'!A30="Price", 2,
IF('Parse of Qs'!A30="Energy boost/Caffeine", 3,
IF('Parse of Qs'!A30="Health benefits", 4,
IF('Parse of Qs'!A30 = "Social atmosphere", 5,
IF('Parse of Qs'!A30 ="Routine/Ritual", 6, 
IF('Parse of Qs'!A30 = "Branding/Imagery", 7,
IF('Parse of Qs'!A30 = "Social norms / influence (what people around me usually drink)", 8, 
IF('Parse of Qs'!A30 = "To try new things", 9,
IF('Parse of Qs'!A30 = "Other:", 10, 
IF('Parse of Qs'!A30 = "", 11, "")))))))))))</f>
        <v>6</v>
      </c>
      <c r="L30" s="6">
        <v>12.0</v>
      </c>
      <c r="M30" s="1">
        <f>IF('Parse of Qs'!C30="At cafés", 1,
IF('Parse of Qs'!C30="At home", 2,
IF('Parse of Qs'!C30="From convenience stores (7-Eleven, Lawson, etc.)", 3,
IF('Parse of Qs'!C30="From vending machines", 4,
IF('Parse of Qs'!C30 = "Other:", 5,
IF('Parse of Qs'!C30 = "", 6, ""))))))</f>
        <v>1</v>
      </c>
      <c r="N30" s="1">
        <f>IF('Parse of Qs'!D30="At cafés", 1,
IF('Parse of Qs'!D30="At home", 2,
IF('Parse of Qs'!D30="From convenience stores (7-Eleven, Lawson, etc.)", 3,
IF('Parse of Qs'!D30="From vending machines", 4,
IF('Parse of Qs'!D30 = "Other:", 5,
IF('Parse of Qs'!D30 = "", 6, ""))))))</f>
        <v>2</v>
      </c>
      <c r="O30" s="1">
        <f>IF('Parse of Qs'!E30="At cafés", 1,
IF('Parse of Qs'!E30="At home", 2,
IF('Parse of Qs'!E30="From convenience stores (7-Eleven, Lawson, etc.)", 3,
IF('Parse of Qs'!E30="From vending machines", 4,
IF('Parse of Qs'!E30 = "Other:", 5,
IF('Parse of Qs'!E30 = "", 6, ""))))))</f>
        <v>6</v>
      </c>
      <c r="P30" s="1">
        <f>IF('Parse of Qs'!F30="At cafés", 1,
IF('Parse of Qs'!F30="At home", 2,
IF('Parse of Qs'!F30="From convenience stores (7-Eleven, Lawson, etc.)", 3,
IF('Parse of Qs'!F30="From vending machines", 4,
IF('Parse of Qs'!F30 = "Other:", 5,
IF('Parse of Qs'!F30 = "", 6, ""))))))</f>
        <v>6</v>
      </c>
      <c r="Q30" s="1">
        <f>IF(OR('Master English Sheet'!R30="Every Day",'Master English Sheet'!R30="Daily"), 1,
IF('Master English Sheet'!R30="Several times a week", 2,
IF('Master English Sheet'!R30="Once a week", 3,
IF('Master English Sheet'!R30="A few times a month", 4,
IF('Master English Sheet'!R30="Rarely", 5,
IF('Master English Sheet'!R30="Never", 6, 
IF('Master English Sheet'!R30 = "", 7, "")))))))</f>
        <v>4</v>
      </c>
      <c r="R30" s="1">
        <f>IF('Master English Sheet'!S30="To relax or take a break", 1,
IF('Master English Sheet'!S30="To meet friends", 2,
IF('Master English Sheet'!S30="To study/work", 3,
IF('Master English Sheet'!S30="To try a new drink", 4,
IF('Master English Sheet'!S30="Out of habit", 5,
IF('Master English Sheet'!S30="Other:", 6, 
IF('Master English Sheet'!S30 = "", 7, "")))))))</f>
        <v>2</v>
      </c>
      <c r="S30" s="1">
        <f>IF('Master English Sheet'!U30="Quality of drinks", 1,
IF('Master English Sheet'!U30="Atmosphere", 2,
IF('Master English Sheet'!U30="Service", 3,
IF('Master English Sheet'!U30="Brand image", 4,
IF('Master English Sheet'!U30="Other:", 5, 
IF('Master English Sheet'!U30 = "", 6, ""))))))</f>
        <v>1</v>
      </c>
      <c r="T30" s="1">
        <f>IF('Master English Sheet'!W30="Yes, Western", 1,
IF('Master English Sheet'!W30="Yes, Global", 2,
IF('Master English Sheet'!W30="Yes,  Japanese", 3,
IF('Master English Sheet'!W30="No", 4,
IF('Master English Sheet'!W30="Unsure", 5, 
IF('Master English Sheet'!W30 = "", 6, ""))))))</f>
        <v>2</v>
      </c>
      <c r="U30" s="1">
        <f>IF('Master English Sheet'!X30="Yes, Western", 1,
IF('Master English Sheet'!X30="Yes, Global", 2,
IF('Master English Sheet'!X30="Yes,  Japanese", 3,
IF('Master English Sheet'!X30="No", 4,
IF('Master English Sheet'!X30="Unsure", 5, 
IF('Master English Sheet'!X30 = "", 6, ""))))))</f>
        <v>3</v>
      </c>
      <c r="V30" s="1">
        <f>'Master English Sheet'!Y30</f>
        <v>7</v>
      </c>
      <c r="W30" s="1">
        <f>'Master English Sheet'!Z30</f>
        <v>7</v>
      </c>
      <c r="X30" s="1">
        <f>'Master English Sheet'!AA30</f>
        <v>5</v>
      </c>
    </row>
    <row r="31">
      <c r="A31" s="6">
        <v>30.0</v>
      </c>
      <c r="B31" s="6">
        <v>1.0</v>
      </c>
      <c r="C31" s="1">
        <f>IF('Master English Sheet'!D31="18-25", 1,
IF('Master English Sheet'!D31="26-35", 2,
IF('Master English Sheet'!D31="36-45", 3,
IF('Master English Sheet'!D31="46-55", 4,
IF('Master English Sheet'!D31="56-65", 5,
IF('Master English Sheet'!D31="65+", 6, ""))))))</f>
        <v>4</v>
      </c>
      <c r="D31" s="1">
        <f>IF('Master English Sheet'!E31="Male", 1,
IF('Master English Sheet'!E31="Female", 2,
IF('Master English Sheet'!E31="Nonbinary", 3,
IF('Master English Sheet'!E31="Prefer not to say", 4, ""))))</f>
        <v>1</v>
      </c>
      <c r="E31" s="1">
        <f>IF('Master English Sheet'!F31="Under ¥3,000,000", 1,
IF('Master English Sheet'!F31="¥3,000,000 – ¥5,999,999", 2,
IF('Master English Sheet'!F31="¥6,000,000 – ¥8,999,999", 3,
IF('Master English Sheet'!F31="¥9,000,000 – ¥11,999,999", 4,
IF('Master English Sheet'!F31 = "¥12,000,000 or more", 5,
IF('Master English Sheet'!F31 = "Prefer not to say", 6, ""))))))</f>
        <v>5</v>
      </c>
      <c r="F31" s="1">
        <f>IF('Master English Sheet'!G31="Hokkaido", 1,
IF('Master English Sheet'!G31="Tohoku", 2,
IF('Master English Sheet'!G31="Kanto", 3,
IF('Master English Sheet'!G31="Chubu", 4,
IF('Master English Sheet'!G31 = "Kansai", 5,
IF('Master English Sheet'!G31 = "Chugoku", 6,
IF('Master English Sheet'!G31 = "Shikoku", 7,
IF('Master English Sheet'!G31 = "Kyushu", 8,
IF('Master English Sheet'!G31 = "Okinawa", 9, 
IF('Master English Sheet'!G31 = "I do not live in Japan", 10, ""))))))))))</f>
        <v>3</v>
      </c>
      <c r="G31" s="1">
        <f>IF('Master English Sheet'!H31="Daily", 1,
IF('Master English Sheet'!H31="Several times a week", 2,
IF('Master English Sheet'!H31="Once a week", 3,
IF('Master English Sheet'!H31 = "Rarely", 4,
IF('Master English Sheet'!H31 = "Never", 5, "")))))</f>
        <v>2</v>
      </c>
      <c r="H31" s="1">
        <f>IF('Master English Sheet'!I31="Pour Over", 1,
IF('Master English Sheet'!I31="Drip", 2,
IF('Master English Sheet'!I31="Latte", 3,
IF('Master English Sheet'!I31="Americano", 4,
IF('Master English Sheet'!I31 = "Cappuccino", 5,
IF('Master English Sheet'!I31 = "Flavored coffee (mocha, vanilla, caramel, etc.)", 6,
IF('Master English Sheet'!I31 = "Cold brew", 7,
IF('Master English Sheet'!I31 = "I don't drink coffee", 8,
IF('Master English Sheet'!I31 = "Other:", 9,
IF('Master English Sheet'!I31 ="", 10, ""))))))))))</f>
        <v>2</v>
      </c>
      <c r="I31" s="1">
        <f>IF('Master English Sheet'!K31="Daily", 1,
IF('Master English Sheet'!K31="Several times a week", 2,
IF('Master English Sheet'!K31="Once a week", 3,
IF('Master English Sheet'!K31 = "Rarely", 4,
IF('Master English Sheet'!K31 = "Never", 5, "")))))</f>
        <v>4</v>
      </c>
      <c r="J31" s="1">
        <f>IF('Master English Sheet'!L31="Usucha", 1,
IF('Master English Sheet'!L31="Koicha", 2,
IF('Master English Sheet'!L31="Matcha Latte", 3,
IF('Master English Sheet'!L31="I don’t drink matcha", 4,
IF('Master English Sheet'!L31 = "Other:", 5,
IF('Master English Sheet'!L31 ="", 6, ""))))))</f>
        <v>4</v>
      </c>
      <c r="K31" s="1">
        <f>IF('Parse of Qs'!A31="Taste/Flavor", 1,
IF('Parse of Qs'!A31="Price", 2,
IF('Parse of Qs'!A31="Energy boost/Caffeine", 3,
IF('Parse of Qs'!A31="Health benefits", 4,
IF('Parse of Qs'!A31 = "Social atmosphere", 5,
IF('Parse of Qs'!A31 ="Routine/Ritual", 6, 
IF('Parse of Qs'!A31 = "Branding/Imagery", 7,
IF('Parse of Qs'!A31 = "Social norms / influence (what people around me usually drink)", 8, 
IF('Parse of Qs'!A31 = "To try new things", 9,
IF('Parse of Qs'!A31 = "Other:", 10, 
IF('Parse of Qs'!A31 = "", 11, "")))))))))))</f>
        <v>1</v>
      </c>
      <c r="L31" s="1">
        <f>IF('Parse of Qs'!B31="Taste/Flavor", 1,
IF('Parse of Qs'!B31="Price", 2,
IF('Parse of Qs'!B31="Energy boost/Caffeine", 3,
IF('Parse of Qs'!B31="Health benefits", 4,
IF('Parse of Qs'!B31 = "Social atmosphere", 5,
IF('Parse of Qs'!B31 ="Routine/Ritual", 6, 
IF('Parse of Qs'!B31 = "Branding/Imagery", 7,
IF('Parse of Qs'!B31 = "Social norms / influence (what people around me usually drink)", 8, 
IF('Parse of Qs'!B31 = "To try new things", 9,
IF('Parse of Qs'!B31 = "Other:", 10, 
IF('Parse of Qs'!B31 = "", 11, "")))))))))))</f>
        <v>11</v>
      </c>
      <c r="M31" s="1">
        <f>IF('Parse of Qs'!C31="At cafés", 1,
IF('Parse of Qs'!C31="At home", 2,
IF('Parse of Qs'!C31="From convenience stores (7-Eleven, Lawson, etc.)", 3,
IF('Parse of Qs'!C31="From vending machines", 4,
IF('Parse of Qs'!C31 = "Other:", 5,
IF('Parse of Qs'!C31 = "", 6, ""))))))</f>
        <v>5</v>
      </c>
      <c r="N31" s="1">
        <f>IF('Parse of Qs'!D31="At cafés", 1,
IF('Parse of Qs'!D31="At home", 2,
IF('Parse of Qs'!D31="From convenience stores (7-Eleven, Lawson, etc.)", 3,
IF('Parse of Qs'!D31="From vending machines", 4,
IF('Parse of Qs'!D31 = "Other:", 5,
IF('Parse of Qs'!D31 = "", 6, ""))))))</f>
        <v>6</v>
      </c>
      <c r="O31" s="1">
        <f>IF('Parse of Qs'!E31="At cafés", 1,
IF('Parse of Qs'!E31="At home", 2,
IF('Parse of Qs'!E31="From convenience stores (7-Eleven, Lawson, etc.)", 3,
IF('Parse of Qs'!E31="From vending machines", 4,
IF('Parse of Qs'!E31 = "Other:", 5,
IF('Parse of Qs'!E31 = "", 6, ""))))))</f>
        <v>6</v>
      </c>
      <c r="P31" s="1">
        <f>IF('Parse of Qs'!F31="At cafés", 1,
IF('Parse of Qs'!F31="At home", 2,
IF('Parse of Qs'!F31="From convenience stores (7-Eleven, Lawson, etc.)", 3,
IF('Parse of Qs'!F31="From vending machines", 4,
IF('Parse of Qs'!F31 = "Other:", 5,
IF('Parse of Qs'!F31 = "", 6, ""))))))</f>
        <v>6</v>
      </c>
      <c r="Q31" s="1">
        <f>IF(OR('Master English Sheet'!R31="Every Day",'Master English Sheet'!R31="Daily"), 1,
IF('Master English Sheet'!R31="Several times a week", 2,
IF('Master English Sheet'!R31="Once a week", 3,
IF('Master English Sheet'!R31="A few times a month", 4,
IF('Master English Sheet'!R31="Rarely", 5,
IF('Master English Sheet'!R31="Never", 6, 
IF('Master English Sheet'!R31 = "", 7, "")))))))</f>
        <v>5</v>
      </c>
      <c r="R31" s="1">
        <f>IF('Master English Sheet'!S31="To relax or take a break", 1,
IF('Master English Sheet'!S31="To meet friends", 2,
IF('Master English Sheet'!S31="To study/work", 3,
IF('Master English Sheet'!S31="To try a new drink", 4,
IF('Master English Sheet'!S31="Out of habit", 5,
IF('Master English Sheet'!S31="Other:", 6, 
IF('Master English Sheet'!S31 = "", 7, "")))))))</f>
        <v>7</v>
      </c>
      <c r="S31" s="1">
        <f>IF('Master English Sheet'!U31="Quality of drinks", 1,
IF('Master English Sheet'!U31="Atmosphere", 2,
IF('Master English Sheet'!U31="Service", 3,
IF('Master English Sheet'!U31="Brand image", 4,
IF('Master English Sheet'!U31="Other:", 5, 
IF('Master English Sheet'!U31 = "", 6, ""))))))</f>
        <v>2</v>
      </c>
      <c r="T31" s="1">
        <f>IF('Master English Sheet'!W31="Yes, Western", 1,
IF('Master English Sheet'!W31="Yes, Global", 2,
IF('Master English Sheet'!W31="Yes,  Japanese", 3,
IF('Master English Sheet'!W31="No", 4,
IF('Master English Sheet'!W31="Unsure", 5, 
IF('Master English Sheet'!W31 = "", 6, ""))))))</f>
        <v>4</v>
      </c>
      <c r="U31" s="1">
        <f>IF('Master English Sheet'!X31="Yes, Western", 1,
IF('Master English Sheet'!X31="Yes, Global", 2,
IF('Master English Sheet'!X31="Yes,  Japanese", 3,
IF('Master English Sheet'!X31="No", 4,
IF('Master English Sheet'!X31="Unsure", 5, 
IF('Master English Sheet'!X31 = "", 6, ""))))))</f>
        <v>3</v>
      </c>
      <c r="V31" s="1">
        <f>'Master English Sheet'!Y31</f>
        <v>7</v>
      </c>
      <c r="W31" s="1">
        <f>'Master English Sheet'!Z31</f>
        <v>7</v>
      </c>
      <c r="X31" s="1">
        <f>'Master English Sheet'!AA31</f>
        <v>7</v>
      </c>
    </row>
    <row r="32">
      <c r="A32" s="6">
        <v>31.0</v>
      </c>
      <c r="B32" s="6">
        <v>1.0</v>
      </c>
      <c r="C32" s="1">
        <f>IF('Master English Sheet'!D32="18-25", 1,
IF('Master English Sheet'!D32="26-35", 2,
IF('Master English Sheet'!D32="36-45", 3,
IF('Master English Sheet'!D32="46-55", 4,
IF('Master English Sheet'!D32="56-65", 5,
IF('Master English Sheet'!D32="65+", 6, ""))))))</f>
        <v>6</v>
      </c>
      <c r="D32" s="1">
        <f>IF('Master English Sheet'!E32="Male", 1,
IF('Master English Sheet'!E32="Female", 2,
IF('Master English Sheet'!E32="Nonbinary", 3,
IF('Master English Sheet'!E32="Prefer not to say", 4, ""))))</f>
        <v>2</v>
      </c>
      <c r="E32" s="1">
        <f>IF('Master English Sheet'!F32="Under ¥3,000,000", 1,
IF('Master English Sheet'!F32="¥3,000,000 – ¥5,999,999", 2,
IF('Master English Sheet'!F32="¥6,000,000 – ¥8,999,999", 3,
IF('Master English Sheet'!F32="¥9,000,000 – ¥11,999,999", 4,
IF('Master English Sheet'!F32 = "¥12,000,000 or more", 5,
IF('Master English Sheet'!F32 = "Prefer not to say", 6, ""))))))</f>
        <v>6</v>
      </c>
      <c r="F32" s="1">
        <f>IF('Master English Sheet'!G32="Hokkaido", 1,
IF('Master English Sheet'!G32="Tohoku", 2,
IF('Master English Sheet'!G32="Kanto", 3,
IF('Master English Sheet'!G32="Chubu", 4,
IF('Master English Sheet'!G32 = "Kansai", 5,
IF('Master English Sheet'!G32 = "Chugoku", 6,
IF('Master English Sheet'!G32 = "Shikoku", 7,
IF('Master English Sheet'!G32 = "Kyushu", 8,
IF('Master English Sheet'!G32 = "Okinawa", 9, 
IF('Master English Sheet'!G32 = "I do not live in Japan", 10, ""))))))))))</f>
        <v>4</v>
      </c>
      <c r="G32" s="1">
        <f>IF('Master English Sheet'!H32="Daily", 1,
IF('Master English Sheet'!H32="Several times a week", 2,
IF('Master English Sheet'!H32="Once a week", 3,
IF('Master English Sheet'!H32 = "Rarely", 4,
IF('Master English Sheet'!H32 = "Never", 5, "")))))</f>
        <v>1</v>
      </c>
      <c r="H32" s="1">
        <f>IF('Master English Sheet'!I32="Pour Over", 1,
IF('Master English Sheet'!I32="Drip", 2,
IF('Master English Sheet'!I32="Latte", 3,
IF('Master English Sheet'!I32="Americano", 4,
IF('Master English Sheet'!I32 = "Cappuccino", 5,
IF('Master English Sheet'!I32 = "Flavored coffee (mocha, vanilla, caramel, etc.)", 6,
IF('Master English Sheet'!I32 = "Cold brew", 7,
IF('Master English Sheet'!I32 = "I don't drink coffee", 8,
IF('Master English Sheet'!I32 = "Other:", 9,
IF('Master English Sheet'!I32 ="", 10, ""))))))))))</f>
        <v>2</v>
      </c>
      <c r="I32" s="1">
        <f>IF('Master English Sheet'!K32="Daily", 1,
IF('Master English Sheet'!K32="Several times a week", 2,
IF('Master English Sheet'!K32="Once a week", 3,
IF('Master English Sheet'!K32 = "Rarely", 4,
IF('Master English Sheet'!K32 = "Never", 5, "")))))</f>
        <v>4</v>
      </c>
      <c r="J32" s="1">
        <f>IF('Master English Sheet'!L32="Usucha", 1,
IF('Master English Sheet'!L32="Koicha", 2,
IF('Master English Sheet'!L32="Matcha Latte", 3,
IF('Master English Sheet'!L32="I don’t drink matcha", 4,
IF('Master English Sheet'!L32 = "Other:", 5,
IF('Master English Sheet'!L32 ="", 6, ""))))))</f>
        <v>4</v>
      </c>
      <c r="K32" s="1">
        <f>IF('Parse of Qs'!A32="Taste/Flavor", 1,
IF('Parse of Qs'!A32="Price", 2,
IF('Parse of Qs'!A32="Energy boost/Caffeine", 3,
IF('Parse of Qs'!A32="Health benefits", 4,
IF('Parse of Qs'!A32 = "Social atmosphere", 5,
IF('Parse of Qs'!A32 ="Routine/Ritual", 6, 
IF('Parse of Qs'!A32 = "Branding/Imagery", 7,
IF('Parse of Qs'!A32 = "Social norms / influence (what people around me usually drink)", 8, 
IF('Parse of Qs'!A32 = "To try new things", 9,
IF('Parse of Qs'!A32 = "Other:", 10, 
IF('Parse of Qs'!A32 = "", 11, "")))))))))))</f>
        <v>3</v>
      </c>
      <c r="L32" s="1">
        <f>IF('Parse of Qs'!B32="Taste/Flavor", 1,
IF('Parse of Qs'!B32="Price", 2,
IF('Parse of Qs'!B32="Energy boost/Caffeine", 3,
IF('Parse of Qs'!B32="Health benefits", 4,
IF('Parse of Qs'!B32 = "Social atmosphere", 5,
IF('Parse of Qs'!B32 ="Routine/Ritual", 6, 
IF('Parse of Qs'!B32 = "Branding/Imagery", 7,
IF('Parse of Qs'!B32 = "Social norms / influence (what people around me usually drink)", 8, 
IF('Parse of Qs'!B32 = "To try new things", 9,
IF('Parse of Qs'!B32 = "Other:", 10, 
IF('Parse of Qs'!B32 = "", 11, "")))))))))))</f>
        <v>6</v>
      </c>
      <c r="M32" s="1">
        <f>IF('Parse of Qs'!C32="At cafés", 1,
IF('Parse of Qs'!C32="At home", 2,
IF('Parse of Qs'!C32="From convenience stores (7-Eleven, Lawson, etc.)", 3,
IF('Parse of Qs'!C32="From vending machines", 4,
IF('Parse of Qs'!C32 = "Other:", 5,
IF('Parse of Qs'!C32 = "", 6, ""))))))</f>
        <v>4</v>
      </c>
      <c r="N32" s="1">
        <f>IF('Parse of Qs'!D32="At cafés", 1,
IF('Parse of Qs'!D32="At home", 2,
IF('Parse of Qs'!D32="From convenience stores (7-Eleven, Lawson, etc.)", 3,
IF('Parse of Qs'!D32="From vending machines", 4,
IF('Parse of Qs'!D32 = "Other:", 5,
IF('Parse of Qs'!D32 = "", 6, ""))))))</f>
        <v>2</v>
      </c>
      <c r="O32" s="1">
        <f>IF('Parse of Qs'!E32="At cafés", 1,
IF('Parse of Qs'!E32="At home", 2,
IF('Parse of Qs'!E32="From convenience stores (7-Eleven, Lawson, etc.)", 3,
IF('Parse of Qs'!E32="From vending machines", 4,
IF('Parse of Qs'!E32 = "Other:", 5,
IF('Parse of Qs'!E32 = "", 6, ""))))))</f>
        <v>1</v>
      </c>
      <c r="P32" s="1">
        <f>IF('Parse of Qs'!F32="At cafés", 1,
IF('Parse of Qs'!F32="At home", 2,
IF('Parse of Qs'!F32="From convenience stores (7-Eleven, Lawson, etc.)", 3,
IF('Parse of Qs'!F32="From vending machines", 4,
IF('Parse of Qs'!F32 = "Other:", 5,
IF('Parse of Qs'!F32 = "", 6, ""))))))</f>
        <v>6</v>
      </c>
      <c r="Q32" s="1">
        <f>IF(OR('Master English Sheet'!R32="Every Day",'Master English Sheet'!R32="Daily"), 1,
IF('Master English Sheet'!R32="Several times a week", 2,
IF('Master English Sheet'!R32="Once a week", 3,
IF('Master English Sheet'!R32="A few times a month", 4,
IF('Master English Sheet'!R32="Rarely", 5,
IF('Master English Sheet'!R32="Never", 6, 
IF('Master English Sheet'!R32 = "", 7, "")))))))</f>
        <v>5</v>
      </c>
      <c r="R32" s="1">
        <f>IF('Master English Sheet'!S32="To relax or take a break", 1,
IF('Master English Sheet'!S32="To meet friends", 2,
IF('Master English Sheet'!S32="To study/work", 3,
IF('Master English Sheet'!S32="To try a new drink", 4,
IF('Master English Sheet'!S32="Out of habit", 5,
IF('Master English Sheet'!S32="Other:", 6, 
IF('Master English Sheet'!S32 = "", 7, "")))))))</f>
        <v>1</v>
      </c>
      <c r="S32" s="1">
        <f>IF('Master English Sheet'!U32="Quality of drinks", 1,
IF('Master English Sheet'!U32="Atmosphere", 2,
IF('Master English Sheet'!U32="Service", 3,
IF('Master English Sheet'!U32="Brand image", 4,
IF('Master English Sheet'!U32="Other:", 5, 
IF('Master English Sheet'!U32 = "", 6, ""))))))</f>
        <v>2</v>
      </c>
      <c r="T32" s="1">
        <f>IF('Master English Sheet'!W32="Yes, Western", 1,
IF('Master English Sheet'!W32="Yes, Global", 2,
IF('Master English Sheet'!W32="Yes,  Japanese", 3,
IF('Master English Sheet'!W32="No", 4,
IF('Master English Sheet'!W32="Unsure", 5, 
IF('Master English Sheet'!W32 = "", 6, ""))))))</f>
        <v>1</v>
      </c>
      <c r="U32" s="1">
        <f>IF('Master English Sheet'!X32="Yes, Western", 1,
IF('Master English Sheet'!X32="Yes, Global", 2,
IF('Master English Sheet'!X32="Yes,  Japanese", 3,
IF('Master English Sheet'!X32="No", 4,
IF('Master English Sheet'!X32="Unsure", 5, 
IF('Master English Sheet'!X32 = "", 6, ""))))))</f>
        <v>3</v>
      </c>
      <c r="V32" s="1">
        <f>'Master English Sheet'!Y32</f>
        <v>7</v>
      </c>
      <c r="W32" s="1">
        <f>'Master English Sheet'!Z32</f>
        <v>7</v>
      </c>
      <c r="X32" s="1">
        <f>'Master English Sheet'!AA32</f>
        <v>7</v>
      </c>
    </row>
    <row r="33">
      <c r="A33" s="6">
        <v>32.0</v>
      </c>
      <c r="B33" s="6">
        <v>1.0</v>
      </c>
      <c r="C33" s="1">
        <f>IF('Master English Sheet'!D33="18-25", 1,
IF('Master English Sheet'!D33="26-35", 2,
IF('Master English Sheet'!D33="36-45", 3,
IF('Master English Sheet'!D33="46-55", 4,
IF('Master English Sheet'!D33="56-65", 5,
IF('Master English Sheet'!D33="65+", 6, ""))))))</f>
        <v>2</v>
      </c>
      <c r="D33" s="1">
        <f>IF('Master English Sheet'!E33="Male", 1,
IF('Master English Sheet'!E33="Female", 2,
IF('Master English Sheet'!E33="Nonbinary", 3,
IF('Master English Sheet'!E33="Prefer not to say", 4, ""))))</f>
        <v>1</v>
      </c>
      <c r="E33" s="1">
        <f>IF('Master English Sheet'!F33="Under ¥3,000,000", 1,
IF('Master English Sheet'!F33="¥3,000,000 – ¥5,999,999", 2,
IF('Master English Sheet'!F33="¥6,000,000 – ¥8,999,999", 3,
IF('Master English Sheet'!F33="¥9,000,000 – ¥11,999,999", 4,
IF('Master English Sheet'!F33 = "¥12,000,000 or more", 5,
IF('Master English Sheet'!F33 = "Prefer not to say", 6, ""))))))</f>
        <v>6</v>
      </c>
      <c r="F33" s="1">
        <f>IF('Master English Sheet'!G33="Hokkaido", 1,
IF('Master English Sheet'!G33="Tohoku", 2,
IF('Master English Sheet'!G33="Kanto", 3,
IF('Master English Sheet'!G33="Chubu", 4,
IF('Master English Sheet'!G33 = "Kansai", 5,
IF('Master English Sheet'!G33 = "Chugoku", 6,
IF('Master English Sheet'!G33 = "Shikoku", 7,
IF('Master English Sheet'!G33 = "Kyushu", 8,
IF('Master English Sheet'!G33 = "Okinawa", 9, 
IF('Master English Sheet'!G33 = "I do not live in Japan", 10, ""))))))))))</f>
        <v>5</v>
      </c>
      <c r="G33" s="1">
        <f>IF('Master English Sheet'!H33="Daily", 1,
IF('Master English Sheet'!H33="Several times a week", 2,
IF('Master English Sheet'!H33="Once a week", 3,
IF('Master English Sheet'!H33 = "Rarely", 4,
IF('Master English Sheet'!H33 = "Never", 5, "")))))</f>
        <v>2</v>
      </c>
      <c r="H33" s="1">
        <f>IF('Master English Sheet'!I33="Pour Over", 1,
IF('Master English Sheet'!I33="Drip", 2,
IF('Master English Sheet'!I33="Latte", 3,
IF('Master English Sheet'!I33="Americano", 4,
IF('Master English Sheet'!I33 = "Cappuccino", 5,
IF('Master English Sheet'!I33 = "Flavored coffee (mocha, vanilla, caramel, etc.)", 6,
IF('Master English Sheet'!I33 = "Cold brew", 7,
IF('Master English Sheet'!I33 = "I don't drink coffee", 8,
IF('Master English Sheet'!I33 = "Other:", 9,
IF('Master English Sheet'!I33 ="", 10, ""))))))))))</f>
        <v>7</v>
      </c>
      <c r="I33" s="1">
        <f>IF('Master English Sheet'!K33="Daily", 1,
IF('Master English Sheet'!K33="Several times a week", 2,
IF('Master English Sheet'!K33="Once a week", 3,
IF('Master English Sheet'!K33 = "Rarely", 4,
IF('Master English Sheet'!K33 = "Never", 5, "")))))</f>
        <v>3</v>
      </c>
      <c r="J33" s="1">
        <f>IF('Master English Sheet'!L33="Usucha", 1,
IF('Master English Sheet'!L33="Koicha", 2,
IF('Master English Sheet'!L33="Matcha Latte", 3,
IF('Master English Sheet'!L33="I don’t drink matcha", 4,
IF('Master English Sheet'!L33 = "Other:", 5,
IF('Master English Sheet'!L33 ="", 6, ""))))))</f>
        <v>3</v>
      </c>
      <c r="K33" s="1">
        <f>IF('Parse of Qs'!A33="Taste/Flavor", 1,
IF('Parse of Qs'!A33="Price", 2,
IF('Parse of Qs'!A33="Energy boost/Caffeine", 3,
IF('Parse of Qs'!A33="Health benefits", 4,
IF('Parse of Qs'!A33 = "Social atmosphere", 5,
IF('Parse of Qs'!A33 ="Routine/Ritual", 6, 
IF('Parse of Qs'!A33 = "Branding/Imagery", 7,
IF('Parse of Qs'!A33 = "Social norms / influence (what people around me usually drink)", 8, 
IF('Parse of Qs'!A33 = "To try new things", 9,
IF('Parse of Qs'!A33 = "Other:", 10, 
IF('Parse of Qs'!A33 = "", 11, "")))))))))))</f>
        <v>1</v>
      </c>
      <c r="L33" s="1">
        <f>IF('Parse of Qs'!B33="Taste/Flavor", 1,
IF('Parse of Qs'!B33="Price", 2,
IF('Parse of Qs'!B33="Energy boost/Caffeine", 3,
IF('Parse of Qs'!B33="Health benefits", 4,
IF('Parse of Qs'!B33 = "Social atmosphere", 5,
IF('Parse of Qs'!B33 ="Routine/Ritual", 6, 
IF('Parse of Qs'!B33 = "Branding/Imagery", 7,
IF('Parse of Qs'!B33 = "Social norms / influence (what people around me usually drink)", 8, 
IF('Parse of Qs'!B33 = "To try new things", 9,
IF('Parse of Qs'!B33 = "Other:", 10, 
IF('Parse of Qs'!B33 = "", 11, "")))))))))))</f>
        <v>5</v>
      </c>
      <c r="M33" s="1">
        <f>IF('Parse of Qs'!C33="At cafés", 1,
IF('Parse of Qs'!C33="At home", 2,
IF('Parse of Qs'!C33="From convenience stores (7-Eleven, Lawson, etc.)", 3,
IF('Parse of Qs'!C33="From vending machines", 4,
IF('Parse of Qs'!C33 = "Other:", 5,
IF('Parse of Qs'!C33 = "", 6, ""))))))</f>
        <v>6</v>
      </c>
      <c r="N33" s="1">
        <f>IF('Parse of Qs'!D33="At cafés", 1,
IF('Parse of Qs'!D33="At home", 2,
IF('Parse of Qs'!D33="From convenience stores (7-Eleven, Lawson, etc.)", 3,
IF('Parse of Qs'!D33="From vending machines", 4,
IF('Parse of Qs'!D33 = "Other:", 5,
IF('Parse of Qs'!D33 = "", 6, ""))))))</f>
        <v>6</v>
      </c>
      <c r="O33" s="1">
        <f>IF('Parse of Qs'!E33="At cafés", 1,
IF('Parse of Qs'!E33="At home", 2,
IF('Parse of Qs'!E33="From convenience stores (7-Eleven, Lawson, etc.)", 3,
IF('Parse of Qs'!E33="From vending machines", 4,
IF('Parse of Qs'!E33 = "Other:", 5,
IF('Parse of Qs'!E33 = "", 6, ""))))))</f>
        <v>6</v>
      </c>
      <c r="P33" s="1">
        <f>IF('Parse of Qs'!F33="At cafés", 1,
IF('Parse of Qs'!F33="At home", 2,
IF('Parse of Qs'!F33="From convenience stores (7-Eleven, Lawson, etc.)", 3,
IF('Parse of Qs'!F33="From vending machines", 4,
IF('Parse of Qs'!F33 = "Other:", 5,
IF('Parse of Qs'!F33 = "", 6, ""))))))</f>
        <v>6</v>
      </c>
      <c r="Q33" s="1">
        <f>IF(OR('Master English Sheet'!R33="Every Day",'Master English Sheet'!R33="Daily"), 1,
IF('Master English Sheet'!R33="Several times a week", 2,
IF('Master English Sheet'!R33="Once a week", 3,
IF('Master English Sheet'!R33="A few times a month", 4,
IF('Master English Sheet'!R33="Rarely", 5,
IF('Master English Sheet'!R33="Never", 6, 
IF('Master English Sheet'!R33 = "", 7, "")))))))</f>
        <v>2</v>
      </c>
      <c r="R33" s="1">
        <f>IF('Master English Sheet'!S33="To relax or take a break", 1,
IF('Master English Sheet'!S33="To meet friends", 2,
IF('Master English Sheet'!S33="To study/work", 3,
IF('Master English Sheet'!S33="To try a new drink", 4,
IF('Master English Sheet'!S33="Out of habit", 5,
IF('Master English Sheet'!S33="Other:", 6, 
IF('Master English Sheet'!S33 = "", 7, "")))))))</f>
        <v>1</v>
      </c>
      <c r="S33" s="1">
        <f>IF('Master English Sheet'!U33="Quality of drinks", 1,
IF('Master English Sheet'!U33="Atmosphere", 2,
IF('Master English Sheet'!U33="Service", 3,
IF('Master English Sheet'!U33="Brand image", 4,
IF('Master English Sheet'!U33="Other:", 5, 
IF('Master English Sheet'!U33 = "", 6, ""))))))</f>
        <v>1</v>
      </c>
      <c r="T33" s="1">
        <f>IF('Master English Sheet'!W33="Yes, Western", 1,
IF('Master English Sheet'!W33="Yes, Global", 2,
IF('Master English Sheet'!W33="Yes,  Japanese", 3,
IF('Master English Sheet'!W33="No", 4,
IF('Master English Sheet'!W33="Unsure", 5, 
IF('Master English Sheet'!W33 = "", 6, ""))))))</f>
        <v>2</v>
      </c>
      <c r="U33" s="1">
        <f>IF('Master English Sheet'!X33="Yes, Western", 1,
IF('Master English Sheet'!X33="Yes, Global", 2,
IF('Master English Sheet'!X33="Yes,  Japanese", 3,
IF('Master English Sheet'!X33="No", 4,
IF('Master English Sheet'!X33="Unsure", 5, 
IF('Master English Sheet'!X33 = "", 6, ""))))))</f>
        <v>3</v>
      </c>
      <c r="V33" s="1">
        <f>'Master English Sheet'!Y33</f>
        <v>6</v>
      </c>
      <c r="W33" s="1">
        <f>'Master English Sheet'!Z33</f>
        <v>6</v>
      </c>
      <c r="X33" s="1">
        <f>'Master English Sheet'!AA33</f>
        <v>5</v>
      </c>
    </row>
    <row r="34">
      <c r="A34" s="6">
        <v>33.0</v>
      </c>
      <c r="B34" s="6">
        <v>1.0</v>
      </c>
      <c r="C34" s="1">
        <f>IF('Master English Sheet'!D34="18-25", 1,
IF('Master English Sheet'!D34="26-35", 2,
IF('Master English Sheet'!D34="36-45", 3,
IF('Master English Sheet'!D34="46-55", 4,
IF('Master English Sheet'!D34="56-65", 5,
IF('Master English Sheet'!D34="65+", 6, ""))))))</f>
        <v>3</v>
      </c>
      <c r="D34" s="1">
        <f>IF('Master English Sheet'!E34="Male", 1,
IF('Master English Sheet'!E34="Female", 2,
IF('Master English Sheet'!E34="Nonbinary", 3,
IF('Master English Sheet'!E34="Prefer not to say", 4, ""))))</f>
        <v>2</v>
      </c>
      <c r="E34" s="1">
        <f>IF('Master English Sheet'!F34="Under ¥3,000,000", 1,
IF('Master English Sheet'!F34="¥3,000,000 – ¥5,999,999", 2,
IF('Master English Sheet'!F34="¥6,000,000 – ¥8,999,999", 3,
IF('Master English Sheet'!F34="¥9,000,000 – ¥11,999,999", 4,
IF('Master English Sheet'!F34 = "¥12,000,000 or more", 5,
IF('Master English Sheet'!F34 = "Prefer not to say", 6, ""))))))</f>
        <v>3</v>
      </c>
      <c r="F34" s="1">
        <f>IF('Master English Sheet'!G34="Hokkaido", 1,
IF('Master English Sheet'!G34="Tohoku", 2,
IF('Master English Sheet'!G34="Kanto", 3,
IF('Master English Sheet'!G34="Chubu", 4,
IF('Master English Sheet'!G34 = "Kansai", 5,
IF('Master English Sheet'!G34 = "Chugoku", 6,
IF('Master English Sheet'!G34 = "Shikoku", 7,
IF('Master English Sheet'!G34 = "Kyushu", 8,
IF('Master English Sheet'!G34 = "Okinawa", 9, 
IF('Master English Sheet'!G34 = "I do not live in Japan", 10, ""))))))))))</f>
        <v>3</v>
      </c>
      <c r="G34" s="1">
        <f>IF('Master English Sheet'!H34="Daily", 1,
IF('Master English Sheet'!H34="Several times a week", 2,
IF('Master English Sheet'!H34="Once a week", 3,
IF('Master English Sheet'!H34 = "Rarely", 4,
IF('Master English Sheet'!H34 = "Never", 5, "")))))</f>
        <v>1</v>
      </c>
      <c r="H34" s="1">
        <f>IF('Master English Sheet'!I34="Pour Over", 1,
IF('Master English Sheet'!I34="Drip", 2,
IF('Master English Sheet'!I34="Latte", 3,
IF('Master English Sheet'!I34="Americano", 4,
IF('Master English Sheet'!I34 = "Cappuccino", 5,
IF('Master English Sheet'!I34 = "Flavored coffee (mocha, vanilla, caramel, etc.)", 6,
IF('Master English Sheet'!I34 = "Cold brew", 7,
IF('Master English Sheet'!I34 = "I don't drink coffee", 8,
IF('Master English Sheet'!I34 = "Other:", 9,
IF('Master English Sheet'!I34 ="", 10, ""))))))))))</f>
        <v>4</v>
      </c>
      <c r="I34" s="1">
        <f>IF('Master English Sheet'!K34="Daily", 1,
IF('Master English Sheet'!K34="Several times a week", 2,
IF('Master English Sheet'!K34="Once a week", 3,
IF('Master English Sheet'!K34 = "Rarely", 4,
IF('Master English Sheet'!K34 = "Never", 5, "")))))</f>
        <v>5</v>
      </c>
      <c r="J34" s="1">
        <f>IF('Master English Sheet'!L34="Usucha", 1,
IF('Master English Sheet'!L34="Koicha", 2,
IF('Master English Sheet'!L34="Matcha Latte", 3,
IF('Master English Sheet'!L34="I don’t drink matcha", 4,
IF('Master English Sheet'!L34 = "Other:", 5,
IF('Master English Sheet'!L34 ="", 6, ""))))))</f>
        <v>6</v>
      </c>
      <c r="K34" s="1">
        <f>IF('Parse of Qs'!A34="Taste/Flavor", 1,
IF('Parse of Qs'!A34="Price", 2,
IF('Parse of Qs'!A34="Energy boost/Caffeine", 3,
IF('Parse of Qs'!A34="Health benefits", 4,
IF('Parse of Qs'!A34 = "Social atmosphere", 5,
IF('Parse of Qs'!A34 ="Routine/Ritual", 6, 
IF('Parse of Qs'!A34 = "Branding/Imagery", 7,
IF('Parse of Qs'!A34 = "Social norms / influence (what people around me usually drink)", 8, 
IF('Parse of Qs'!A34 = "To try new things", 9,
IF('Parse of Qs'!A34 = "Other:", 10, 
IF('Parse of Qs'!A34 = "", 11, "")))))))))))</f>
        <v>2</v>
      </c>
      <c r="L34" s="1">
        <f>IF('Parse of Qs'!B34="Taste/Flavor", 1,
IF('Parse of Qs'!B34="Price", 2,
IF('Parse of Qs'!B34="Energy boost/Caffeine", 3,
IF('Parse of Qs'!B34="Health benefits", 4,
IF('Parse of Qs'!B34 = "Social atmosphere", 5,
IF('Parse of Qs'!B34 ="Routine/Ritual", 6, 
IF('Parse of Qs'!B34 = "Branding/Imagery", 7,
IF('Parse of Qs'!B34 = "Social norms / influence (what people around me usually drink)", 8, 
IF('Parse of Qs'!B34 = "To try new things", 9,
IF('Parse of Qs'!B34 = "Other:", 10, 
IF('Parse of Qs'!B34 = "", 11, "")))))))))))</f>
        <v>7</v>
      </c>
      <c r="M34" s="1">
        <f>IF('Parse of Qs'!C34="At cafés", 1,
IF('Parse of Qs'!C34="At home", 2,
IF('Parse of Qs'!C34="From convenience stores (7-Eleven, Lawson, etc.)", 3,
IF('Parse of Qs'!C34="From vending machines", 4,
IF('Parse of Qs'!C34 = "Other:", 5,
IF('Parse of Qs'!C34 = "", 6, ""))))))</f>
        <v>1</v>
      </c>
      <c r="N34" s="1">
        <f>IF('Parse of Qs'!D34="At cafés", 1,
IF('Parse of Qs'!D34="At home", 2,
IF('Parse of Qs'!D34="From convenience stores (7-Eleven, Lawson, etc.)", 3,
IF('Parse of Qs'!D34="From vending machines", 4,
IF('Parse of Qs'!D34 = "Other:", 5,
IF('Parse of Qs'!D34 = "", 6, ""))))))</f>
        <v>2</v>
      </c>
      <c r="O34" s="1">
        <f>IF('Parse of Qs'!E34="At cafés", 1,
IF('Parse of Qs'!E34="At home", 2,
IF('Parse of Qs'!E34="From convenience stores (7-Eleven, Lawson, etc.)", 3,
IF('Parse of Qs'!E34="From vending machines", 4,
IF('Parse of Qs'!E34 = "Other:", 5,
IF('Parse of Qs'!E34 = "", 6, ""))))))</f>
        <v>5</v>
      </c>
      <c r="P34" s="1">
        <f>IF('Parse of Qs'!F34="At cafés", 1,
IF('Parse of Qs'!F34="At home", 2,
IF('Parse of Qs'!F34="From convenience stores (7-Eleven, Lawson, etc.)", 3,
IF('Parse of Qs'!F34="From vending machines", 4,
IF('Parse of Qs'!F34 = "Other:", 5,
IF('Parse of Qs'!F34 = "", 6, ""))))))</f>
        <v>6</v>
      </c>
      <c r="Q34" s="1">
        <f>IF(OR('Master English Sheet'!R34="Every Day",'Master English Sheet'!R34="Daily"), 1,
IF('Master English Sheet'!R34="Several times a week", 2,
IF('Master English Sheet'!R34="Once a week", 3,
IF('Master English Sheet'!R34="A few times a month", 4,
IF('Master English Sheet'!R34="Rarely", 5,
IF('Master English Sheet'!R34="Never", 6, 
IF('Master English Sheet'!R34 = "", 7, "")))))))</f>
        <v>2</v>
      </c>
      <c r="R34" s="1">
        <f>IF('Master English Sheet'!S34="To relax or take a break", 1,
IF('Master English Sheet'!S34="To meet friends", 2,
IF('Master English Sheet'!S34="To study/work", 3,
IF('Master English Sheet'!S34="To try a new drink", 4,
IF('Master English Sheet'!S34="Out of habit", 5,
IF('Master English Sheet'!S34="Other:", 6, 
IF('Master English Sheet'!S34 = "", 7, "")))))))</f>
        <v>2</v>
      </c>
      <c r="S34" s="1">
        <f>IF('Master English Sheet'!U34="Quality of drinks", 1,
IF('Master English Sheet'!U34="Atmosphere", 2,
IF('Master English Sheet'!U34="Service", 3,
IF('Master English Sheet'!U34="Brand image", 4,
IF('Master English Sheet'!U34="Other:", 5, 
IF('Master English Sheet'!U34 = "", 6, ""))))))</f>
        <v>2</v>
      </c>
      <c r="T34" s="1">
        <f>IF('Master English Sheet'!W34="Yes, Western", 1,
IF('Master English Sheet'!W34="Yes, Global", 2,
IF('Master English Sheet'!W34="Yes,  Japanese", 3,
IF('Master English Sheet'!W34="No", 4,
IF('Master English Sheet'!W34="Unsure", 5, 
IF('Master English Sheet'!W34 = "", 6, ""))))))</f>
        <v>2</v>
      </c>
      <c r="U34" s="1">
        <f>IF('Master English Sheet'!X34="Yes, Western", 1,
IF('Master English Sheet'!X34="Yes, Global", 2,
IF('Master English Sheet'!X34="Yes,  Japanese", 3,
IF('Master English Sheet'!X34="No", 4,
IF('Master English Sheet'!X34="Unsure", 5, 
IF('Master English Sheet'!X34 = "", 6, ""))))))</f>
        <v>3</v>
      </c>
      <c r="V34" s="1">
        <f>'Master English Sheet'!Y34</f>
        <v>7</v>
      </c>
      <c r="W34" s="1">
        <f>'Master English Sheet'!Z34</f>
        <v>3</v>
      </c>
      <c r="X34" s="1">
        <f>'Master English Sheet'!AA34</f>
        <v>7</v>
      </c>
    </row>
    <row r="35">
      <c r="A35" s="6">
        <v>34.0</v>
      </c>
      <c r="B35" s="6">
        <v>1.0</v>
      </c>
      <c r="C35" s="1">
        <f>IF('Master English Sheet'!D35="18-25", 1,
IF('Master English Sheet'!D35="26-35", 2,
IF('Master English Sheet'!D35="36-45", 3,
IF('Master English Sheet'!D35="46-55", 4,
IF('Master English Sheet'!D35="56-65", 5,
IF('Master English Sheet'!D35="65+", 6, ""))))))</f>
        <v>3</v>
      </c>
      <c r="D35" s="1">
        <f>IF('Master English Sheet'!E35="Male", 1,
IF('Master English Sheet'!E35="Female", 2,
IF('Master English Sheet'!E35="Nonbinary", 3,
IF('Master English Sheet'!E35="Prefer not to say", 4, ""))))</f>
        <v>2</v>
      </c>
      <c r="E35" s="1">
        <f>IF('Master English Sheet'!F35="Under ¥3,000,000", 1,
IF('Master English Sheet'!F35="¥3,000,000 – ¥5,999,999", 2,
IF('Master English Sheet'!F35="¥6,000,000 – ¥8,999,999", 3,
IF('Master English Sheet'!F35="¥9,000,000 – ¥11,999,999", 4,
IF('Master English Sheet'!F35 = "¥12,000,000 or more", 5,
IF('Master English Sheet'!F35 = "Prefer not to say", 6, ""))))))</f>
        <v>2</v>
      </c>
      <c r="F35" s="1">
        <f>IF('Master English Sheet'!G35="Hokkaido", 1,
IF('Master English Sheet'!G35="Tohoku", 2,
IF('Master English Sheet'!G35="Kanto", 3,
IF('Master English Sheet'!G35="Chubu", 4,
IF('Master English Sheet'!G35 = "Kansai", 5,
IF('Master English Sheet'!G35 = "Chugoku", 6,
IF('Master English Sheet'!G35 = "Shikoku", 7,
IF('Master English Sheet'!G35 = "Kyushu", 8,
IF('Master English Sheet'!G35 = "Okinawa", 9, 
IF('Master English Sheet'!G35 = "I do not live in Japan", 10, ""))))))))))</f>
        <v>3</v>
      </c>
      <c r="G35" s="1">
        <f>IF('Master English Sheet'!H35="Daily", 1,
IF('Master English Sheet'!H35="Several times a week", 2,
IF('Master English Sheet'!H35="Once a week", 3,
IF('Master English Sheet'!H35 = "Rarely", 4,
IF('Master English Sheet'!H35 = "Never", 5, "")))))</f>
        <v>4</v>
      </c>
      <c r="H35" s="1">
        <f>IF('Master English Sheet'!I35="Pour Over", 1,
IF('Master English Sheet'!I35="Drip", 2,
IF('Master English Sheet'!I35="Latte", 3,
IF('Master English Sheet'!I35="Americano", 4,
IF('Master English Sheet'!I35 = "Cappuccino", 5,
IF('Master English Sheet'!I35 = "Flavored coffee (mocha, vanilla, caramel, etc.)", 6,
IF('Master English Sheet'!I35 = "Cold brew", 7,
IF('Master English Sheet'!I35 = "I don't drink coffee", 8,
IF('Master English Sheet'!I35 = "Other:", 9,
IF('Master English Sheet'!I35 ="", 10, ""))))))))))</f>
        <v>3</v>
      </c>
      <c r="I35" s="1">
        <f>IF('Master English Sheet'!K35="Daily", 1,
IF('Master English Sheet'!K35="Several times a week", 2,
IF('Master English Sheet'!K35="Once a week", 3,
IF('Master English Sheet'!K35 = "Rarely", 4,
IF('Master English Sheet'!K35 = "Never", 5, "")))))</f>
        <v>5</v>
      </c>
      <c r="J35" s="1">
        <f>IF('Master English Sheet'!L35="Usucha", 1,
IF('Master English Sheet'!L35="Koicha", 2,
IF('Master English Sheet'!L35="Matcha Latte", 3,
IF('Master English Sheet'!L35="I don’t drink matcha", 4,
IF('Master English Sheet'!L35 = "Other:", 5,
IF('Master English Sheet'!L35 ="", 6, ""))))))</f>
        <v>6</v>
      </c>
      <c r="K35" s="1">
        <f>IF('Parse of Qs'!A35="Taste/Flavor", 1,
IF('Parse of Qs'!A35="Price", 2,
IF('Parse of Qs'!A35="Energy boost/Caffeine", 3,
IF('Parse of Qs'!A35="Health benefits", 4,
IF('Parse of Qs'!A35 = "Social atmosphere", 5,
IF('Parse of Qs'!A35 ="Routine/Ritual", 6, 
IF('Parse of Qs'!A35 = "Branding/Imagery", 7,
IF('Parse of Qs'!A35 = "Social norms / influence (what people around me usually drink)", 8, 
IF('Parse of Qs'!A35 = "To try new things", 9,
IF('Parse of Qs'!A35 = "Other:", 10, 
IF('Parse of Qs'!A35 = "", 11, "")))))))))))</f>
        <v>3</v>
      </c>
      <c r="L35" s="1">
        <f>IF('Parse of Qs'!B35="Taste/Flavor", 1,
IF('Parse of Qs'!B35="Price", 2,
IF('Parse of Qs'!B35="Energy boost/Caffeine", 3,
IF('Parse of Qs'!B35="Health benefits", 4,
IF('Parse of Qs'!B35 = "Social atmosphere", 5,
IF('Parse of Qs'!B35 ="Routine/Ritual", 6, 
IF('Parse of Qs'!B35 = "Branding/Imagery", 7,
IF('Parse of Qs'!B35 = "Social norms / influence (what people around me usually drink)", 8, 
IF('Parse of Qs'!B35 = "To try new things", 9,
IF('Parse of Qs'!B35 = "Other:", 10, 
IF('Parse of Qs'!B35 = "", 11, "")))))))))))</f>
        <v>1</v>
      </c>
      <c r="M35" s="1">
        <f>IF('Parse of Qs'!C35="At cafés", 1,
IF('Parse of Qs'!C35="At home", 2,
IF('Parse of Qs'!C35="From convenience stores (7-Eleven, Lawson, etc.)", 3,
IF('Parse of Qs'!C35="From vending machines", 4,
IF('Parse of Qs'!C35 = "Other:", 5,
IF('Parse of Qs'!C35 = "", 6, ""))))))</f>
        <v>1</v>
      </c>
      <c r="N35" s="1">
        <f>IF('Parse of Qs'!D35="At cafés", 1,
IF('Parse of Qs'!D35="At home", 2,
IF('Parse of Qs'!D35="From convenience stores (7-Eleven, Lawson, etc.)", 3,
IF('Parse of Qs'!D35="From vending machines", 4,
IF('Parse of Qs'!D35 = "Other:", 5,
IF('Parse of Qs'!D35 = "", 6, ""))))))</f>
        <v>6</v>
      </c>
      <c r="O35" s="1">
        <f>IF('Parse of Qs'!E35="At cafés", 1,
IF('Parse of Qs'!E35="At home", 2,
IF('Parse of Qs'!E35="From convenience stores (7-Eleven, Lawson, etc.)", 3,
IF('Parse of Qs'!E35="From vending machines", 4,
IF('Parse of Qs'!E35 = "Other:", 5,
IF('Parse of Qs'!E35 = "", 6, ""))))))</f>
        <v>6</v>
      </c>
      <c r="P35" s="1">
        <f>IF('Parse of Qs'!F35="At cafés", 1,
IF('Parse of Qs'!F35="At home", 2,
IF('Parse of Qs'!F35="From convenience stores (7-Eleven, Lawson, etc.)", 3,
IF('Parse of Qs'!F35="From vending machines", 4,
IF('Parse of Qs'!F35 = "Other:", 5,
IF('Parse of Qs'!F35 = "", 6, ""))))))</f>
        <v>6</v>
      </c>
      <c r="Q35" s="1">
        <f>IF(OR('Master English Sheet'!R35="Every Day",'Master English Sheet'!R35="Daily"), 1,
IF('Master English Sheet'!R35="Several times a week", 2,
IF('Master English Sheet'!R35="Once a week", 3,
IF('Master English Sheet'!R35="A few times a month", 4,
IF('Master English Sheet'!R35="Rarely", 5,
IF('Master English Sheet'!R35="Never", 6, 
IF('Master English Sheet'!R35 = "", 7, "")))))))</f>
        <v>5</v>
      </c>
      <c r="R35" s="1">
        <f>IF('Master English Sheet'!S35="To relax or take a break", 1,
IF('Master English Sheet'!S35="To meet friends", 2,
IF('Master English Sheet'!S35="To study/work", 3,
IF('Master English Sheet'!S35="To try a new drink", 4,
IF('Master English Sheet'!S35="Out of habit", 5,
IF('Master English Sheet'!S35="Other:", 6, 
IF('Master English Sheet'!S35 = "", 7, "")))))))</f>
        <v>2</v>
      </c>
      <c r="S35" s="1">
        <f>IF('Master English Sheet'!U35="Quality of drinks", 1,
IF('Master English Sheet'!U35="Atmosphere", 2,
IF('Master English Sheet'!U35="Service", 3,
IF('Master English Sheet'!U35="Brand image", 4,
IF('Master English Sheet'!U35="Other:", 5, 
IF('Master English Sheet'!U35 = "", 6, ""))))))</f>
        <v>1</v>
      </c>
      <c r="T35" s="1">
        <f>IF('Master English Sheet'!W35="Yes, Western", 1,
IF('Master English Sheet'!W35="Yes, Global", 2,
IF('Master English Sheet'!W35="Yes,  Japanese", 3,
IF('Master English Sheet'!W35="No", 4,
IF('Master English Sheet'!W35="Unsure", 5, 
IF('Master English Sheet'!W35 = "", 6, ""))))))</f>
        <v>2</v>
      </c>
      <c r="U35" s="1">
        <f>IF('Master English Sheet'!X35="Yes, Western", 1,
IF('Master English Sheet'!X35="Yes, Global", 2,
IF('Master English Sheet'!X35="Yes,  Japanese", 3,
IF('Master English Sheet'!X35="No", 4,
IF('Master English Sheet'!X35="Unsure", 5, 
IF('Master English Sheet'!X35 = "", 6, ""))))))</f>
        <v>3</v>
      </c>
      <c r="V35" s="1">
        <f>'Master English Sheet'!Y35</f>
        <v>6</v>
      </c>
      <c r="W35" s="1">
        <f>'Master English Sheet'!Z35</f>
        <v>7</v>
      </c>
      <c r="X35" s="1">
        <f>'Master English Sheet'!AA35</f>
        <v>7</v>
      </c>
    </row>
    <row r="36">
      <c r="A36" s="6">
        <v>35.0</v>
      </c>
      <c r="B36" s="6">
        <v>1.0</v>
      </c>
      <c r="C36" s="1">
        <f>IF('Master English Sheet'!D36="18-25", 1,
IF('Master English Sheet'!D36="26-35", 2,
IF('Master English Sheet'!D36="36-45", 3,
IF('Master English Sheet'!D36="46-55", 4,
IF('Master English Sheet'!D36="56-65", 5,
IF('Master English Sheet'!D36="65+", 6, ""))))))</f>
        <v>2</v>
      </c>
      <c r="D36" s="1">
        <f>IF('Master English Sheet'!E36="Male", 1,
IF('Master English Sheet'!E36="Female", 2,
IF('Master English Sheet'!E36="Nonbinary", 3,
IF('Master English Sheet'!E36="Prefer not to say", 4, ""))))</f>
        <v>1</v>
      </c>
      <c r="E36" s="1">
        <f>IF('Master English Sheet'!F36="Under ¥3,000,000", 1,
IF('Master English Sheet'!F36="¥3,000,000 – ¥5,999,999", 2,
IF('Master English Sheet'!F36="¥6,000,000 – ¥8,999,999", 3,
IF('Master English Sheet'!F36="¥9,000,000 – ¥11,999,999", 4,
IF('Master English Sheet'!F36 = "¥12,000,000 or more", 5,
IF('Master English Sheet'!F36 = "Prefer not to say", 6, ""))))))</f>
        <v>5</v>
      </c>
      <c r="F36" s="1">
        <f>IF('Master English Sheet'!G36="Hokkaido", 1,
IF('Master English Sheet'!G36="Tohoku", 2,
IF('Master English Sheet'!G36="Kanto", 3,
IF('Master English Sheet'!G36="Chubu", 4,
IF('Master English Sheet'!G36 = "Kansai", 5,
IF('Master English Sheet'!G36 = "Chugoku", 6,
IF('Master English Sheet'!G36 = "Shikoku", 7,
IF('Master English Sheet'!G36 = "Kyushu", 8,
IF('Master English Sheet'!G36 = "Okinawa", 9, 
IF('Master English Sheet'!G36 = "I do not live in Japan", 10, ""))))))))))</f>
        <v>3</v>
      </c>
      <c r="G36" s="1">
        <f>IF('Master English Sheet'!H36="Daily", 1,
IF('Master English Sheet'!H36="Several times a week", 2,
IF('Master English Sheet'!H36="Once a week", 3,
IF('Master English Sheet'!H36 = "Rarely", 4,
IF('Master English Sheet'!H36 = "Never", 5, "")))))</f>
        <v>2</v>
      </c>
      <c r="H36" s="1">
        <f>IF('Master English Sheet'!I36="Pour Over", 1,
IF('Master English Sheet'!I36="Drip", 2,
IF('Master English Sheet'!I36="Latte", 3,
IF('Master English Sheet'!I36="Americano", 4,
IF('Master English Sheet'!I36 = "Cappuccino", 5,
IF('Master English Sheet'!I36 = "Flavored coffee (mocha, vanilla, caramel, etc.)", 6,
IF('Master English Sheet'!I36 = "Cold brew", 7,
IF('Master English Sheet'!I36 = "I don't drink coffee", 8,
IF('Master English Sheet'!I36 = "Other:", 9,
IF('Master English Sheet'!I36 ="", 10, ""))))))))))</f>
        <v>2</v>
      </c>
      <c r="I36" s="1">
        <f>IF('Master English Sheet'!K36="Daily", 1,
IF('Master English Sheet'!K36="Several times a week", 2,
IF('Master English Sheet'!K36="Once a week", 3,
IF('Master English Sheet'!K36 = "Rarely", 4,
IF('Master English Sheet'!K36 = "Never", 5, "")))))</f>
        <v>5</v>
      </c>
      <c r="J36" s="1">
        <f>IF('Master English Sheet'!L36="Usucha", 1,
IF('Master English Sheet'!L36="Koicha", 2,
IF('Master English Sheet'!L36="Matcha Latte", 3,
IF('Master English Sheet'!L36="I don’t drink matcha", 4,
IF('Master English Sheet'!L36 = "Other:", 5,
IF('Master English Sheet'!L36 ="", 6, ""))))))</f>
        <v>6</v>
      </c>
      <c r="K36" s="1">
        <f>IF('Parse of Qs'!A36="Taste/Flavor", 1,
IF('Parse of Qs'!A36="Price", 2,
IF('Parse of Qs'!A36="Energy boost/Caffeine", 3,
IF('Parse of Qs'!A36="Health benefits", 4,
IF('Parse of Qs'!A36 = "Social atmosphere", 5,
IF('Parse of Qs'!A36 ="Routine/Ritual", 6, 
IF('Parse of Qs'!A36 = "Branding/Imagery", 7,
IF('Parse of Qs'!A36 = "Social norms / influence (what people around me usually drink)", 8, 
IF('Parse of Qs'!A36 = "To try new things", 9,
IF('Parse of Qs'!A36 = "Other:", 10, 
IF('Parse of Qs'!A36 = "", 11, "")))))))))))</f>
        <v>3</v>
      </c>
      <c r="L36" s="1">
        <f>IF('Parse of Qs'!B36="Taste/Flavor", 1,
IF('Parse of Qs'!B36="Price", 2,
IF('Parse of Qs'!B36="Energy boost/Caffeine", 3,
IF('Parse of Qs'!B36="Health benefits", 4,
IF('Parse of Qs'!B36 = "Social atmosphere", 5,
IF('Parse of Qs'!B36 ="Routine/Ritual", 6, 
IF('Parse of Qs'!B36 = "Branding/Imagery", 7,
IF('Parse of Qs'!B36 = "Social norms / influence (what people around me usually drink)", 8, 
IF('Parse of Qs'!B36 = "To try new things", 9,
IF('Parse of Qs'!B36 = "Other:", 10, 
IF('Parse of Qs'!B36 = "", 11, "")))))))))))</f>
        <v>1</v>
      </c>
      <c r="M36" s="1">
        <f>IF('Parse of Qs'!C36="At cafés", 1,
IF('Parse of Qs'!C36="At home", 2,
IF('Parse of Qs'!C36="From convenience stores (7-Eleven, Lawson, etc.)", 3,
IF('Parse of Qs'!C36="From vending machines", 4,
IF('Parse of Qs'!C36 = "Other:", 5,
IF('Parse of Qs'!C36 = "", 6, ""))))))</f>
        <v>1</v>
      </c>
      <c r="N36" s="1">
        <f>IF('Parse of Qs'!D36="At cafés", 1,
IF('Parse of Qs'!D36="At home", 2,
IF('Parse of Qs'!D36="From convenience stores (7-Eleven, Lawson, etc.)", 3,
IF('Parse of Qs'!D36="From vending machines", 4,
IF('Parse of Qs'!D36 = "Other:", 5,
IF('Parse of Qs'!D36 = "", 6, ""))))))</f>
        <v>2</v>
      </c>
      <c r="O36" s="1">
        <f>IF('Parse of Qs'!E36="At cafés", 1,
IF('Parse of Qs'!E36="At home", 2,
IF('Parse of Qs'!E36="From convenience stores (7-Eleven, Lawson, etc.)", 3,
IF('Parse of Qs'!E36="From vending machines", 4,
IF('Parse of Qs'!E36 = "Other:", 5,
IF('Parse of Qs'!E36 = "", 6, ""))))))</f>
        <v>3</v>
      </c>
      <c r="P36" s="1">
        <f>IF('Parse of Qs'!F36="At cafés", 1,
IF('Parse of Qs'!F36="At home", 2,
IF('Parse of Qs'!F36="From convenience stores (7-Eleven, Lawson, etc.)", 3,
IF('Parse of Qs'!F36="From vending machines", 4,
IF('Parse of Qs'!F36 = "Other:", 5,
IF('Parse of Qs'!F36 = "", 6, ""))))))</f>
        <v>4</v>
      </c>
      <c r="Q36" s="1">
        <f>IF(OR('Master English Sheet'!R36="Every Day",'Master English Sheet'!R36="Daily"), 1,
IF('Master English Sheet'!R36="Several times a week", 2,
IF('Master English Sheet'!R36="Once a week", 3,
IF('Master English Sheet'!R36="A few times a month", 4,
IF('Master English Sheet'!R36="Rarely", 5,
IF('Master English Sheet'!R36="Never", 6, 
IF('Master English Sheet'!R36 = "", 7, "")))))))</f>
        <v>2</v>
      </c>
      <c r="R36" s="1">
        <f>IF('Master English Sheet'!S36="To relax or take a break", 1,
IF('Master English Sheet'!S36="To meet friends", 2,
IF('Master English Sheet'!S36="To study/work", 3,
IF('Master English Sheet'!S36="To try a new drink", 4,
IF('Master English Sheet'!S36="Out of habit", 5,
IF('Master English Sheet'!S36="Other:", 6, 
IF('Master English Sheet'!S36 = "", 7, "")))))))</f>
        <v>3</v>
      </c>
      <c r="S36" s="1">
        <f>IF('Master English Sheet'!U36="Quality of drinks", 1,
IF('Master English Sheet'!U36="Atmosphere", 2,
IF('Master English Sheet'!U36="Service", 3,
IF('Master English Sheet'!U36="Brand image", 4,
IF('Master English Sheet'!U36="Other:", 5, 
IF('Master English Sheet'!U36 = "", 6, ""))))))</f>
        <v>2</v>
      </c>
      <c r="T36" s="1">
        <f>IF('Master English Sheet'!W36="Yes, Western", 1,
IF('Master English Sheet'!W36="Yes, Global", 2,
IF('Master English Sheet'!W36="Yes,  Japanese", 3,
IF('Master English Sheet'!W36="No", 4,
IF('Master English Sheet'!W36="Unsure", 5, 
IF('Master English Sheet'!W36 = "", 6, ""))))))</f>
        <v>1</v>
      </c>
      <c r="U36" s="1">
        <f>IF('Master English Sheet'!X36="Yes, Western", 1,
IF('Master English Sheet'!X36="Yes, Global", 2,
IF('Master English Sheet'!X36="Yes,  Japanese", 3,
IF('Master English Sheet'!X36="No", 4,
IF('Master English Sheet'!X36="Unsure", 5, 
IF('Master English Sheet'!X36 = "", 6, ""))))))</f>
        <v>3</v>
      </c>
      <c r="V36" s="1">
        <f>'Master English Sheet'!Y36</f>
        <v>5</v>
      </c>
      <c r="W36" s="1">
        <f>'Master English Sheet'!Z36</f>
        <v>6</v>
      </c>
      <c r="X36" s="1">
        <f>'Master English Sheet'!AA36</f>
        <v>6</v>
      </c>
    </row>
    <row r="37">
      <c r="A37" s="6">
        <v>36.0</v>
      </c>
      <c r="B37" s="6">
        <v>1.0</v>
      </c>
      <c r="C37" s="1">
        <f>IF('Master English Sheet'!D37="18-25", 1,
IF('Master English Sheet'!D37="26-35", 2,
IF('Master English Sheet'!D37="36-45", 3,
IF('Master English Sheet'!D37="46-55", 4,
IF('Master English Sheet'!D37="56-65", 5,
IF('Master English Sheet'!D37="65+", 6, ""))))))</f>
        <v>2</v>
      </c>
      <c r="D37" s="1">
        <f>IF('Master English Sheet'!E37="Male", 1,
IF('Master English Sheet'!E37="Female", 2,
IF('Master English Sheet'!E37="Nonbinary", 3,
IF('Master English Sheet'!E37="Prefer not to say", 4, ""))))</f>
        <v>2</v>
      </c>
      <c r="E37" s="1">
        <f>IF('Master English Sheet'!F37="Under ¥3,000,000", 1,
IF('Master English Sheet'!F37="¥3,000,000 – ¥5,999,999", 2,
IF('Master English Sheet'!F37="¥6,000,000 – ¥8,999,999", 3,
IF('Master English Sheet'!F37="¥9,000,000 – ¥11,999,999", 4,
IF('Master English Sheet'!F37 = "¥12,000,000 or more", 5,
IF('Master English Sheet'!F37 = "Prefer not to say", 6, ""))))))</f>
        <v>3</v>
      </c>
      <c r="F37" s="1">
        <f>IF('Master English Sheet'!G37="Hokkaido", 1,
IF('Master English Sheet'!G37="Tohoku", 2,
IF('Master English Sheet'!G37="Kanto", 3,
IF('Master English Sheet'!G37="Chubu", 4,
IF('Master English Sheet'!G37 = "Kansai", 5,
IF('Master English Sheet'!G37 = "Chugoku", 6,
IF('Master English Sheet'!G37 = "Shikoku", 7,
IF('Master English Sheet'!G37 = "Kyushu", 8,
IF('Master English Sheet'!G37 = "Okinawa", 9, 
IF('Master English Sheet'!G37 = "I do not live in Japan", 10, ""))))))))))</f>
        <v>5</v>
      </c>
      <c r="G37" s="1">
        <f>IF('Master English Sheet'!H37="Daily", 1,
IF('Master English Sheet'!H37="Several times a week", 2,
IF('Master English Sheet'!H37="Once a week", 3,
IF('Master English Sheet'!H37 = "Rarely", 4,
IF('Master English Sheet'!H37 = "Never", 5, "")))))</f>
        <v>2</v>
      </c>
      <c r="H37" s="1">
        <f>IF('Master English Sheet'!I37="Pour Over", 1,
IF('Master English Sheet'!I37="Drip", 2,
IF('Master English Sheet'!I37="Latte", 3,
IF('Master English Sheet'!I37="Americano", 4,
IF('Master English Sheet'!I37 = "Cappuccino", 5,
IF('Master English Sheet'!I37 = "Flavored coffee (mocha, vanilla, caramel, etc.)", 6,
IF('Master English Sheet'!I37 = "Cold brew", 7,
IF('Master English Sheet'!I37 = "I don't drink coffee", 8,
IF('Master English Sheet'!I37 = "Other:", 9,
IF('Master English Sheet'!I37 ="", 10, ""))))))))))</f>
        <v>2</v>
      </c>
      <c r="I37" s="1">
        <f>IF('Master English Sheet'!K37="Daily", 1,
IF('Master English Sheet'!K37="Several times a week", 2,
IF('Master English Sheet'!K37="Once a week", 3,
IF('Master English Sheet'!K37 = "Rarely", 4,
IF('Master English Sheet'!K37 = "Never", 5, "")))))</f>
        <v>4</v>
      </c>
      <c r="J37" s="1">
        <f>IF('Master English Sheet'!L37="Usucha", 1,
IF('Master English Sheet'!L37="Koicha", 2,
IF('Master English Sheet'!L37="Matcha Latte", 3,
IF('Master English Sheet'!L37="I don’t drink matcha", 4,
IF('Master English Sheet'!L37 = "Other:", 5,
IF('Master English Sheet'!L37 ="", 6, ""))))))</f>
        <v>3</v>
      </c>
      <c r="K37" s="1">
        <f>IF('Parse of Qs'!A37="Taste/Flavor", 1,
IF('Parse of Qs'!A37="Price", 2,
IF('Parse of Qs'!A37="Energy boost/Caffeine", 3,
IF('Parse of Qs'!A37="Health benefits", 4,
IF('Parse of Qs'!A37 = "Social atmosphere", 5,
IF('Parse of Qs'!A37 ="Routine/Ritual", 6, 
IF('Parse of Qs'!A37 = "Branding/Imagery", 7,
IF('Parse of Qs'!A37 = "Social norms / influence (what people around me usually drink)", 8, 
IF('Parse of Qs'!A37 = "To try new things", 9,
IF('Parse of Qs'!A37 = "Other:", 10, 
IF('Parse of Qs'!A37 = "", 11, "")))))))))))</f>
        <v>1</v>
      </c>
      <c r="L37" s="1">
        <f>IF('Parse of Qs'!B37="Taste/Flavor", 1,
IF('Parse of Qs'!B37="Price", 2,
IF('Parse of Qs'!B37="Energy boost/Caffeine", 3,
IF('Parse of Qs'!B37="Health benefits", 4,
IF('Parse of Qs'!B37 = "Social atmosphere", 5,
IF('Parse of Qs'!B37 ="Routine/Ritual", 6, 
IF('Parse of Qs'!B37 = "Branding/Imagery", 7,
IF('Parse of Qs'!B37 = "Social norms / influence (what people around me usually drink)", 8, 
IF('Parse of Qs'!B37 = "To try new things", 9,
IF('Parse of Qs'!B37 = "Other:", 10, 
IF('Parse of Qs'!B37 = "", 11, "")))))))))))</f>
        <v>9</v>
      </c>
      <c r="M37" s="1">
        <f>IF('Parse of Qs'!C37="At cafés", 1,
IF('Parse of Qs'!C37="At home", 2,
IF('Parse of Qs'!C37="From convenience stores (7-Eleven, Lawson, etc.)", 3,
IF('Parse of Qs'!C37="From vending machines", 4,
IF('Parse of Qs'!C37 = "Other:", 5,
IF('Parse of Qs'!C37 = "", 6, ""))))))</f>
        <v>1</v>
      </c>
      <c r="N37" s="1">
        <f>IF('Parse of Qs'!D37="At cafés", 1,
IF('Parse of Qs'!D37="At home", 2,
IF('Parse of Qs'!D37="From convenience stores (7-Eleven, Lawson, etc.)", 3,
IF('Parse of Qs'!D37="From vending machines", 4,
IF('Parse of Qs'!D37 = "Other:", 5,
IF('Parse of Qs'!D37 = "", 6, ""))))))</f>
        <v>2</v>
      </c>
      <c r="O37" s="1">
        <f>IF('Parse of Qs'!E37="At cafés", 1,
IF('Parse of Qs'!E37="At home", 2,
IF('Parse of Qs'!E37="From convenience stores (7-Eleven, Lawson, etc.)", 3,
IF('Parse of Qs'!E37="From vending machines", 4,
IF('Parse of Qs'!E37 = "Other:", 5,
IF('Parse of Qs'!E37 = "", 6, ""))))))</f>
        <v>6</v>
      </c>
      <c r="P37" s="1">
        <f>IF('Parse of Qs'!F37="At cafés", 1,
IF('Parse of Qs'!F37="At home", 2,
IF('Parse of Qs'!F37="From convenience stores (7-Eleven, Lawson, etc.)", 3,
IF('Parse of Qs'!F37="From vending machines", 4,
IF('Parse of Qs'!F37 = "Other:", 5,
IF('Parse of Qs'!F37 = "", 6, ""))))))</f>
        <v>6</v>
      </c>
      <c r="Q37" s="1">
        <f>IF(OR('Master English Sheet'!R37="Every Day",'Master English Sheet'!R37="Daily"), 1,
IF('Master English Sheet'!R37="Several times a week", 2,
IF('Master English Sheet'!R37="Once a week", 3,
IF('Master English Sheet'!R37="A few times a month", 4,
IF('Master English Sheet'!R37="Rarely", 5,
IF('Master English Sheet'!R37="Never", 6, 
IF('Master English Sheet'!R37 = "", 7, "")))))))</f>
        <v>4</v>
      </c>
      <c r="R37" s="1">
        <f>IF('Master English Sheet'!S37="To relax or take a break", 1,
IF('Master English Sheet'!S37="To meet friends", 2,
IF('Master English Sheet'!S37="To study/work", 3,
IF('Master English Sheet'!S37="To try a new drink", 4,
IF('Master English Sheet'!S37="Out of habit", 5,
IF('Master English Sheet'!S37="Other:", 6, 
IF('Master English Sheet'!S37 = "", 7, "")))))))</f>
        <v>4</v>
      </c>
      <c r="S37" s="1">
        <f>IF('Master English Sheet'!U37="Quality of drinks", 1,
IF('Master English Sheet'!U37="Atmosphere", 2,
IF('Master English Sheet'!U37="Service", 3,
IF('Master English Sheet'!U37="Brand image", 4,
IF('Master English Sheet'!U37="Other:", 5, 
IF('Master English Sheet'!U37 = "", 6, ""))))))</f>
        <v>1</v>
      </c>
      <c r="T37" s="1">
        <f>IF('Master English Sheet'!W37="Yes, Western", 1,
IF('Master English Sheet'!W37="Yes, Global", 2,
IF('Master English Sheet'!W37="Yes,  Japanese", 3,
IF('Master English Sheet'!W37="No", 4,
IF('Master English Sheet'!W37="Unsure", 5, 
IF('Master English Sheet'!W37 = "", 6, ""))))))</f>
        <v>4</v>
      </c>
      <c r="U37" s="1">
        <f>IF('Master English Sheet'!X37="Yes, Western", 1,
IF('Master English Sheet'!X37="Yes, Global", 2,
IF('Master English Sheet'!X37="Yes,  Japanese", 3,
IF('Master English Sheet'!X37="No", 4,
IF('Master English Sheet'!X37="Unsure", 5, 
IF('Master English Sheet'!X37 = "", 6, ""))))))</f>
        <v>3</v>
      </c>
      <c r="V37" s="1">
        <f>'Master English Sheet'!Y37</f>
        <v>7</v>
      </c>
      <c r="W37" s="1">
        <f>'Master English Sheet'!Z37</f>
        <v>3</v>
      </c>
      <c r="X37" s="1">
        <f>'Master English Sheet'!AA37</f>
        <v>7</v>
      </c>
    </row>
    <row r="38">
      <c r="A38" s="6">
        <v>37.0</v>
      </c>
      <c r="B38" s="6">
        <v>1.0</v>
      </c>
      <c r="C38" s="1">
        <f>IF('Master English Sheet'!D38="18-25", 1,
IF('Master English Sheet'!D38="26-35", 2,
IF('Master English Sheet'!D38="36-45", 3,
IF('Master English Sheet'!D38="46-55", 4,
IF('Master English Sheet'!D38="56-65", 5,
IF('Master English Sheet'!D38="65+", 6, ""))))))</f>
        <v>5</v>
      </c>
      <c r="D38" s="1">
        <f>IF('Master English Sheet'!E38="Male", 1,
IF('Master English Sheet'!E38="Female", 2,
IF('Master English Sheet'!E38="Nonbinary", 3,
IF('Master English Sheet'!E38="Prefer not to say", 4, ""))))</f>
        <v>1</v>
      </c>
      <c r="E38" s="1">
        <f>IF('Master English Sheet'!F38="Under ¥3,000,000", 1,
IF('Master English Sheet'!F38="¥3,000,000 – ¥5,999,999", 2,
IF('Master English Sheet'!F38="¥6,000,000 – ¥8,999,999", 3,
IF('Master English Sheet'!F38="¥9,000,000 – ¥11,999,999", 4,
IF('Master English Sheet'!F38 = "¥12,000,000 or more", 5,
IF('Master English Sheet'!F38 = "Prefer not to say", 6, ""))))))</f>
        <v>6</v>
      </c>
      <c r="F38" s="1">
        <f>IF('Master English Sheet'!G38="Hokkaido", 1,
IF('Master English Sheet'!G38="Tohoku", 2,
IF('Master English Sheet'!G38="Kanto", 3,
IF('Master English Sheet'!G38="Chubu", 4,
IF('Master English Sheet'!G38 = "Kansai", 5,
IF('Master English Sheet'!G38 = "Chugoku", 6,
IF('Master English Sheet'!G38 = "Shikoku", 7,
IF('Master English Sheet'!G38 = "Kyushu", 8,
IF('Master English Sheet'!G38 = "Okinawa", 9, 
IF('Master English Sheet'!G38 = "I do not live in Japan", 10, ""))))))))))</f>
        <v>5</v>
      </c>
      <c r="G38" s="1">
        <f>IF('Master English Sheet'!H38="Daily", 1,
IF('Master English Sheet'!H38="Several times a week", 2,
IF('Master English Sheet'!H38="Once a week", 3,
IF('Master English Sheet'!H38 = "Rarely", 4,
IF('Master English Sheet'!H38 = "Never", 5, "")))))</f>
        <v>1</v>
      </c>
      <c r="H38" s="1">
        <f>IF('Master English Sheet'!I38="Pour Over", 1,
IF('Master English Sheet'!I38="Drip", 2,
IF('Master English Sheet'!I38="Latte", 3,
IF('Master English Sheet'!I38="Americano", 4,
IF('Master English Sheet'!I38 = "Cappuccino", 5,
IF('Master English Sheet'!I38 = "Flavored coffee (mocha, vanilla, caramel, etc.)", 6,
IF('Master English Sheet'!I38 = "Cold brew", 7,
IF('Master English Sheet'!I38 = "I don't drink coffee", 8,
IF('Master English Sheet'!I38 = "Other:", 9,
IF('Master English Sheet'!I38 ="", 10, ""))))))))))</f>
        <v>2</v>
      </c>
      <c r="I38" s="1">
        <f>IF('Master English Sheet'!K38="Daily", 1,
IF('Master English Sheet'!K38="Several times a week", 2,
IF('Master English Sheet'!K38="Once a week", 3,
IF('Master English Sheet'!K38 = "Rarely", 4,
IF('Master English Sheet'!K38 = "Never", 5, "")))))</f>
        <v>3</v>
      </c>
      <c r="J38" s="1">
        <f>IF('Master English Sheet'!L38="Usucha", 1,
IF('Master English Sheet'!L38="Koicha", 2,
IF('Master English Sheet'!L38="Matcha Latte", 3,
IF('Master English Sheet'!L38="I don’t drink matcha", 4,
IF('Master English Sheet'!L38 = "Other:", 5,
IF('Master English Sheet'!L38 ="", 6, ""))))))</f>
        <v>3</v>
      </c>
      <c r="K38" s="6">
        <v>12.0</v>
      </c>
      <c r="L38" s="1">
        <f>IF('Parse of Qs'!B38="Taste/Flavor", 1,
IF('Parse of Qs'!B38="Price", 2,
IF('Parse of Qs'!B38="Energy boost/Caffeine", 3,
IF('Parse of Qs'!B38="Health benefits", 4,
IF('Parse of Qs'!B38 = "Social atmosphere", 5,
IF('Parse of Qs'!B38 ="Routine/Ritual", 6, 
IF('Parse of Qs'!B38 = "Branding/Imagery", 7,
IF('Parse of Qs'!B38 = "Social norms / influence (what people around me usually drink)", 8, 
IF('Parse of Qs'!B38 = "To try new things", 9,
IF('Parse of Qs'!B38 = "Other:", 10, 
IF('Parse of Qs'!B38 = "", 11, "")))))))))))</f>
        <v>11</v>
      </c>
      <c r="M38" s="1">
        <f>IF('Parse of Qs'!C38="At cafés", 1,
IF('Parse of Qs'!C38="At home", 2,
IF('Parse of Qs'!C38="From convenience stores (7-Eleven, Lawson, etc.)", 3,
IF('Parse of Qs'!C38="From vending machines", 4,
IF('Parse of Qs'!C38 = "Other:", 5,
IF('Parse of Qs'!C38 = "", 6, ""))))))</f>
        <v>1</v>
      </c>
      <c r="N38" s="1">
        <f>IF('Parse of Qs'!D38="At cafés", 1,
IF('Parse of Qs'!D38="At home", 2,
IF('Parse of Qs'!D38="From convenience stores (7-Eleven, Lawson, etc.)", 3,
IF('Parse of Qs'!D38="From vending machines", 4,
IF('Parse of Qs'!D38 = "Other:", 5,
IF('Parse of Qs'!D38 = "", 6, ""))))))</f>
        <v>2</v>
      </c>
      <c r="O38" s="1">
        <f>IF('Parse of Qs'!E38="At cafés", 1,
IF('Parse of Qs'!E38="At home", 2,
IF('Parse of Qs'!E38="From convenience stores (7-Eleven, Lawson, etc.)", 3,
IF('Parse of Qs'!E38="From vending machines", 4,
IF('Parse of Qs'!E38 = "Other:", 5,
IF('Parse of Qs'!E38 = "", 6, ""))))))</f>
        <v>6</v>
      </c>
      <c r="P38" s="1">
        <f>IF('Parse of Qs'!F38="At cafés", 1,
IF('Parse of Qs'!F38="At home", 2,
IF('Parse of Qs'!F38="From convenience stores (7-Eleven, Lawson, etc.)", 3,
IF('Parse of Qs'!F38="From vending machines", 4,
IF('Parse of Qs'!F38 = "Other:", 5,
IF('Parse of Qs'!F38 = "", 6, ""))))))</f>
        <v>6</v>
      </c>
      <c r="Q38" s="1">
        <f>IF(OR('Master English Sheet'!R38="Every Day",'Master English Sheet'!R38="Daily"), 1,
IF('Master English Sheet'!R38="Several times a week", 2,
IF('Master English Sheet'!R38="Once a week", 3,
IF('Master English Sheet'!R38="A few times a month", 4,
IF('Master English Sheet'!R38="Rarely", 5,
IF('Master English Sheet'!R38="Never", 6, 
IF('Master English Sheet'!R38 = "", 7, "")))))))</f>
        <v>3</v>
      </c>
      <c r="R38" s="1">
        <f>IF('Master English Sheet'!S38="To relax or take a break", 1,
IF('Master English Sheet'!S38="To meet friends", 2,
IF('Master English Sheet'!S38="To study/work", 3,
IF('Master English Sheet'!S38="To try a new drink", 4,
IF('Master English Sheet'!S38="Out of habit", 5,
IF('Master English Sheet'!S38="Other:", 6, 
IF('Master English Sheet'!S38 = "", 7, "")))))))</f>
        <v>2</v>
      </c>
      <c r="S38" s="1">
        <f>IF('Master English Sheet'!U38="Quality of drinks", 1,
IF('Master English Sheet'!U38="Atmosphere", 2,
IF('Master English Sheet'!U38="Service", 3,
IF('Master English Sheet'!U38="Brand image", 4,
IF('Master English Sheet'!U38="Other:", 5, 
IF('Master English Sheet'!U38 = "", 6, ""))))))</f>
        <v>1</v>
      </c>
      <c r="T38" s="1">
        <f>IF('Master English Sheet'!W38="Yes, Western", 1,
IF('Master English Sheet'!W38="Yes, Global", 2,
IF('Master English Sheet'!W38="Yes,  Japanese", 3,
IF('Master English Sheet'!W38="No", 4,
IF('Master English Sheet'!W38="Unsure", 5, 
IF('Master English Sheet'!W38 = "", 6, ""))))))</f>
        <v>4</v>
      </c>
      <c r="U38" s="1">
        <f>IF('Master English Sheet'!X38="Yes, Western", 1,
IF('Master English Sheet'!X38="Yes, Global", 2,
IF('Master English Sheet'!X38="Yes,  Japanese", 3,
IF('Master English Sheet'!X38="No", 4,
IF('Master English Sheet'!X38="Unsure", 5, 
IF('Master English Sheet'!X38 = "", 6, ""))))))</f>
        <v>4</v>
      </c>
      <c r="V38" s="1">
        <f>'Master English Sheet'!Y38</f>
        <v>7</v>
      </c>
      <c r="W38" s="1">
        <f>'Master English Sheet'!Z38</f>
        <v>2</v>
      </c>
      <c r="X38" s="1">
        <f>'Master English Sheet'!AA38</f>
        <v>7</v>
      </c>
    </row>
    <row r="39">
      <c r="A39" s="6">
        <v>38.0</v>
      </c>
      <c r="B39" s="6">
        <v>1.0</v>
      </c>
      <c r="C39" s="1">
        <f>IF('Master English Sheet'!D39="18-25", 1,
IF('Master English Sheet'!D39="26-35", 2,
IF('Master English Sheet'!D39="36-45", 3,
IF('Master English Sheet'!D39="46-55", 4,
IF('Master English Sheet'!D39="56-65", 5,
IF('Master English Sheet'!D39="65+", 6, ""))))))</f>
        <v>2</v>
      </c>
      <c r="D39" s="1">
        <f>IF('Master English Sheet'!E39="Male", 1,
IF('Master English Sheet'!E39="Female", 2,
IF('Master English Sheet'!E39="Nonbinary", 3,
IF('Master English Sheet'!E39="Prefer not to say", 4, ""))))</f>
        <v>1</v>
      </c>
      <c r="E39" s="1">
        <f>IF('Master English Sheet'!F39="Under ¥3,000,000", 1,
IF('Master English Sheet'!F39="¥3,000,000 – ¥5,999,999", 2,
IF('Master English Sheet'!F39="¥6,000,000 – ¥8,999,999", 3,
IF('Master English Sheet'!F39="¥9,000,000 – ¥11,999,999", 4,
IF('Master English Sheet'!F39 = "¥12,000,000 or more", 5,
IF('Master English Sheet'!F39 = "Prefer not to say", 6, ""))))))</f>
        <v>2</v>
      </c>
      <c r="F39" s="1">
        <f>IF('Master English Sheet'!G39="Hokkaido", 1,
IF('Master English Sheet'!G39="Tohoku", 2,
IF('Master English Sheet'!G39="Kanto", 3,
IF('Master English Sheet'!G39="Chubu", 4,
IF('Master English Sheet'!G39 = "Kansai", 5,
IF('Master English Sheet'!G39 = "Chugoku", 6,
IF('Master English Sheet'!G39 = "Shikoku", 7,
IF('Master English Sheet'!G39 = "Kyushu", 8,
IF('Master English Sheet'!G39 = "Okinawa", 9, 
IF('Master English Sheet'!G39 = "I do not live in Japan", 10, ""))))))))))</f>
        <v>3</v>
      </c>
      <c r="G39" s="1">
        <f>IF('Master English Sheet'!H39="Daily", 1,
IF('Master English Sheet'!H39="Several times a week", 2,
IF('Master English Sheet'!H39="Once a week", 3,
IF('Master English Sheet'!H39 = "Rarely", 4,
IF('Master English Sheet'!H39 = "Never", 5, "")))))</f>
        <v>1</v>
      </c>
      <c r="H39" s="1">
        <f>IF('Master English Sheet'!I39="Pour Over", 1,
IF('Master English Sheet'!I39="Drip", 2,
IF('Master English Sheet'!I39="Latte", 3,
IF('Master English Sheet'!I39="Americano", 4,
IF('Master English Sheet'!I39 = "Cappuccino", 5,
IF('Master English Sheet'!I39 = "Flavored coffee (mocha, vanilla, caramel, etc.)", 6,
IF('Master English Sheet'!I39 = "Cold brew", 7,
IF('Master English Sheet'!I39 = "I don't drink coffee", 8,
IF('Master English Sheet'!I39 = "Other:", 9,
IF('Master English Sheet'!I39 ="", 10, ""))))))))))</f>
        <v>2</v>
      </c>
      <c r="I39" s="1">
        <f>IF('Master English Sheet'!K39="Daily", 1,
IF('Master English Sheet'!K39="Several times a week", 2,
IF('Master English Sheet'!K39="Once a week", 3,
IF('Master English Sheet'!K39 = "Rarely", 4,
IF('Master English Sheet'!K39 = "Never", 5, "")))))</f>
        <v>4</v>
      </c>
      <c r="J39" s="1">
        <f>IF('Master English Sheet'!L39="Usucha", 1,
IF('Master English Sheet'!L39="Koicha", 2,
IF('Master English Sheet'!L39="Matcha Latte", 3,
IF('Master English Sheet'!L39="I don’t drink matcha", 4,
IF('Master English Sheet'!L39 = "Other:", 5,
IF('Master English Sheet'!L39 ="", 6, ""))))))</f>
        <v>3</v>
      </c>
      <c r="K39" s="1">
        <f>IF('Parse of Qs'!A39="Taste/Flavor", 1,
IF('Parse of Qs'!A39="Price", 2,
IF('Parse of Qs'!A39="Energy boost/Caffeine", 3,
IF('Parse of Qs'!A39="Health benefits", 4,
IF('Parse of Qs'!A39 = "Social atmosphere", 5,
IF('Parse of Qs'!A39 ="Routine/Ritual", 6, 
IF('Parse of Qs'!A39 = "Branding/Imagery", 7,
IF('Parse of Qs'!A39 = "Social norms / influence (what people around me usually drink)", 8, 
IF('Parse of Qs'!A39 = "To try new things", 9,
IF('Parse of Qs'!A39 = "Other:", 10, 
IF('Parse of Qs'!A39 = "", 11, "")))))))))))</f>
        <v>3</v>
      </c>
      <c r="L39" s="1">
        <f>IF('Parse of Qs'!B39="Taste/Flavor", 1,
IF('Parse of Qs'!B39="Price", 2,
IF('Parse of Qs'!B39="Energy boost/Caffeine", 3,
IF('Parse of Qs'!B39="Health benefits", 4,
IF('Parse of Qs'!B39 = "Social atmosphere", 5,
IF('Parse of Qs'!B39 ="Routine/Ritual", 6, 
IF('Parse of Qs'!B39 = "Branding/Imagery", 7,
IF('Parse of Qs'!B39 = "Social norms / influence (what people around me usually drink)", 8, 
IF('Parse of Qs'!B39 = "To try new things", 9,
IF('Parse of Qs'!B39 = "Other:", 10, 
IF('Parse of Qs'!B39 = "", 11, "")))))))))))</f>
        <v>2</v>
      </c>
      <c r="M39" s="1">
        <f>IF('Parse of Qs'!C39="At cafés", 1,
IF('Parse of Qs'!C39="At home", 2,
IF('Parse of Qs'!C39="From convenience stores (7-Eleven, Lawson, etc.)", 3,
IF('Parse of Qs'!C39="From vending machines", 4,
IF('Parse of Qs'!C39 = "Other:", 5,
IF('Parse of Qs'!C39 = "", 6, ""))))))</f>
        <v>1</v>
      </c>
      <c r="N39" s="1">
        <f>IF('Parse of Qs'!D39="At cafés", 1,
IF('Parse of Qs'!D39="At home", 2,
IF('Parse of Qs'!D39="From convenience stores (7-Eleven, Lawson, etc.)", 3,
IF('Parse of Qs'!D39="From vending machines", 4,
IF('Parse of Qs'!D39 = "Other:", 5,
IF('Parse of Qs'!D39 = "", 6, ""))))))</f>
        <v>2</v>
      </c>
      <c r="O39" s="1">
        <f>IF('Parse of Qs'!E39="At cafés", 1,
IF('Parse of Qs'!E39="At home", 2,
IF('Parse of Qs'!E39="From convenience stores (7-Eleven, Lawson, etc.)", 3,
IF('Parse of Qs'!E39="From vending machines", 4,
IF('Parse of Qs'!E39 = "Other:", 5,
IF('Parse of Qs'!E39 = "", 6, ""))))))</f>
        <v>6</v>
      </c>
      <c r="P39" s="1">
        <f>IF('Parse of Qs'!F39="At cafés", 1,
IF('Parse of Qs'!F39="At home", 2,
IF('Parse of Qs'!F39="From convenience stores (7-Eleven, Lawson, etc.)", 3,
IF('Parse of Qs'!F39="From vending machines", 4,
IF('Parse of Qs'!F39 = "Other:", 5,
IF('Parse of Qs'!F39 = "", 6, ""))))))</f>
        <v>6</v>
      </c>
      <c r="Q39" s="1">
        <f>IF(OR('Master English Sheet'!R39="Every Day",'Master English Sheet'!R39="Daily"), 1,
IF('Master English Sheet'!R39="Several times a week", 2,
IF('Master English Sheet'!R39="Once a week", 3,
IF('Master English Sheet'!R39="A few times a month", 4,
IF('Master English Sheet'!R39="Rarely", 5,
IF('Master English Sheet'!R39="Never", 6, 
IF('Master English Sheet'!R39 = "", 7, "")))))))</f>
        <v>3</v>
      </c>
      <c r="R39" s="1">
        <f>IF('Master English Sheet'!S39="To relax or take a break", 1,
IF('Master English Sheet'!S39="To meet friends", 2,
IF('Master English Sheet'!S39="To study/work", 3,
IF('Master English Sheet'!S39="To try a new drink", 4,
IF('Master English Sheet'!S39="Out of habit", 5,
IF('Master English Sheet'!S39="Other:", 6, 
IF('Master English Sheet'!S39 = "", 7, "")))))))</f>
        <v>3</v>
      </c>
      <c r="S39" s="1">
        <f>IF('Master English Sheet'!U39="Quality of drinks", 1,
IF('Master English Sheet'!U39="Atmosphere", 2,
IF('Master English Sheet'!U39="Service", 3,
IF('Master English Sheet'!U39="Brand image", 4,
IF('Master English Sheet'!U39="Other:", 5, 
IF('Master English Sheet'!U39 = "", 6, ""))))))</f>
        <v>2</v>
      </c>
      <c r="T39" s="1">
        <f>IF('Master English Sheet'!W39="Yes, Western", 1,
IF('Master English Sheet'!W39="Yes, Global", 2,
IF('Master English Sheet'!W39="Yes,  Japanese", 3,
IF('Master English Sheet'!W39="No", 4,
IF('Master English Sheet'!W39="Unsure", 5, 
IF('Master English Sheet'!W39 = "", 6, ""))))))</f>
        <v>2</v>
      </c>
      <c r="U39" s="1">
        <f>IF('Master English Sheet'!X39="Yes, Western", 1,
IF('Master English Sheet'!X39="Yes, Global", 2,
IF('Master English Sheet'!X39="Yes,  Japanese", 3,
IF('Master English Sheet'!X39="No", 4,
IF('Master English Sheet'!X39="Unsure", 5, 
IF('Master English Sheet'!X39 = "", 6, ""))))))</f>
        <v>2</v>
      </c>
      <c r="V39" s="1">
        <f>'Master English Sheet'!Y39</f>
        <v>3</v>
      </c>
      <c r="W39" s="1">
        <f>'Master English Sheet'!Z39</f>
        <v>3</v>
      </c>
      <c r="X39" s="1">
        <f>'Master English Sheet'!AA39</f>
        <v>4</v>
      </c>
    </row>
    <row r="40">
      <c r="A40" s="6">
        <v>39.0</v>
      </c>
      <c r="B40" s="6">
        <v>1.0</v>
      </c>
      <c r="C40" s="1">
        <f>IF('Master English Sheet'!D40="18-25", 1,
IF('Master English Sheet'!D40="26-35", 2,
IF('Master English Sheet'!D40="36-45", 3,
IF('Master English Sheet'!D40="46-55", 4,
IF('Master English Sheet'!D40="56-65", 5,
IF('Master English Sheet'!D40="65+", 6, ""))))))</f>
        <v>1</v>
      </c>
      <c r="D40" s="1">
        <f>IF('Master English Sheet'!E40="Male", 1,
IF('Master English Sheet'!E40="Female", 2,
IF('Master English Sheet'!E40="Nonbinary", 3,
IF('Master English Sheet'!E40="Prefer not to say", 4, ""))))</f>
        <v>1</v>
      </c>
      <c r="E40" s="1">
        <f>IF('Master English Sheet'!F40="Under ¥3,000,000", 1,
IF('Master English Sheet'!F40="¥3,000,000 – ¥5,999,999", 2,
IF('Master English Sheet'!F40="¥6,000,000 – ¥8,999,999", 3,
IF('Master English Sheet'!F40="¥9,000,000 – ¥11,999,999", 4,
IF('Master English Sheet'!F40 = "¥12,000,000 or more", 5,
IF('Master English Sheet'!F40 = "Prefer not to say", 6, ""))))))</f>
        <v>1</v>
      </c>
      <c r="F40" s="1">
        <f>IF('Master English Sheet'!G40="Hokkaido", 1,
IF('Master English Sheet'!G40="Tohoku", 2,
IF('Master English Sheet'!G40="Kanto", 3,
IF('Master English Sheet'!G40="Chubu", 4,
IF('Master English Sheet'!G40 = "Kansai", 5,
IF('Master English Sheet'!G40 = "Chugoku", 6,
IF('Master English Sheet'!G40 = "Shikoku", 7,
IF('Master English Sheet'!G40 = "Kyushu", 8,
IF('Master English Sheet'!G40 = "Okinawa", 9, 
IF('Master English Sheet'!G40 = "I do not live in Japan", 10, ""))))))))))</f>
        <v>4</v>
      </c>
      <c r="G40" s="1">
        <f>IF('Master English Sheet'!H40="Daily", 1,
IF('Master English Sheet'!H40="Several times a week", 2,
IF('Master English Sheet'!H40="Once a week", 3,
IF('Master English Sheet'!H40 = "Rarely", 4,
IF('Master English Sheet'!H40 = "Never", 5, "")))))</f>
        <v>1</v>
      </c>
      <c r="H40" s="1">
        <f>IF('Master English Sheet'!I40="Pour Over", 1,
IF('Master English Sheet'!I40="Drip", 2,
IF('Master English Sheet'!I40="Latte", 3,
IF('Master English Sheet'!I40="Americano", 4,
IF('Master English Sheet'!I40 = "Cappuccino", 5,
IF('Master English Sheet'!I40 = "Flavored coffee (mocha, vanilla, caramel, etc.)", 6,
IF('Master English Sheet'!I40 = "Cold brew", 7,
IF('Master English Sheet'!I40 = "I don't drink coffee", 8,
IF('Master English Sheet'!I40 = "Other:", 9,
IF('Master English Sheet'!I40 ="", 10, ""))))))))))</f>
        <v>1</v>
      </c>
      <c r="I40" s="1">
        <f>IF('Master English Sheet'!K40="Daily", 1,
IF('Master English Sheet'!K40="Several times a week", 2,
IF('Master English Sheet'!K40="Once a week", 3,
IF('Master English Sheet'!K40 = "Rarely", 4,
IF('Master English Sheet'!K40 = "Never", 5, "")))))</f>
        <v>4</v>
      </c>
      <c r="J40" s="1">
        <f>IF('Master English Sheet'!L40="Usucha", 1,
IF('Master English Sheet'!L40="Koicha", 2,
IF('Master English Sheet'!L40="Matcha Latte", 3,
IF('Master English Sheet'!L40="I don’t drink matcha", 4,
IF('Master English Sheet'!L40 = "Other:", 5,
IF('Master English Sheet'!L40 ="", 6, ""))))))</f>
        <v>3</v>
      </c>
      <c r="K40" s="1">
        <f>IF('Parse of Qs'!A40="Taste/Flavor", 1,
IF('Parse of Qs'!A40="Price", 2,
IF('Parse of Qs'!A40="Energy boost/Caffeine", 3,
IF('Parse of Qs'!A40="Health benefits", 4,
IF('Parse of Qs'!A40 = "Social atmosphere", 5,
IF('Parse of Qs'!A40 ="Routine/Ritual", 6, 
IF('Parse of Qs'!A40 = "Branding/Imagery", 7,
IF('Parse of Qs'!A40 = "Social norms / influence (what people around me usually drink)", 8, 
IF('Parse of Qs'!A40 = "To try new things", 9,
IF('Parse of Qs'!A40 = "Other:", 10, 
IF('Parse of Qs'!A40 = "", 11, "")))))))))))</f>
        <v>10</v>
      </c>
      <c r="L40" s="1">
        <f>IF('Parse of Qs'!B40="Taste/Flavor", 1,
IF('Parse of Qs'!B40="Price", 2,
IF('Parse of Qs'!B40="Energy boost/Caffeine", 3,
IF('Parse of Qs'!B40="Health benefits", 4,
IF('Parse of Qs'!B40 = "Social atmosphere", 5,
IF('Parse of Qs'!B40 ="Routine/Ritual", 6, 
IF('Parse of Qs'!B40 = "Branding/Imagery", 7,
IF('Parse of Qs'!B40 = "Social norms / influence (what people around me usually drink)", 8, 
IF('Parse of Qs'!B40 = "To try new things", 9,
IF('Parse of Qs'!B40 = "Other:", 10, 
IF('Parse of Qs'!B40 = "", 11, "")))))))))))</f>
        <v>11</v>
      </c>
      <c r="M40" s="1">
        <f>IF('Parse of Qs'!C40="At cafés", 1,
IF('Parse of Qs'!C40="At home", 2,
IF('Parse of Qs'!C40="From convenience stores (7-Eleven, Lawson, etc.)", 3,
IF('Parse of Qs'!C40="From vending machines", 4,
IF('Parse of Qs'!C40 = "Other:", 5,
IF('Parse of Qs'!C40 = "", 6, ""))))))</f>
        <v>2</v>
      </c>
      <c r="N40" s="1">
        <f>IF('Parse of Qs'!D40="At cafés", 1,
IF('Parse of Qs'!D40="At home", 2,
IF('Parse of Qs'!D40="From convenience stores (7-Eleven, Lawson, etc.)", 3,
IF('Parse of Qs'!D40="From vending machines", 4,
IF('Parse of Qs'!D40 = "Other:", 5,
IF('Parse of Qs'!D40 = "", 6, ""))))))</f>
        <v>1</v>
      </c>
      <c r="O40" s="1">
        <f>IF('Parse of Qs'!E40="At cafés", 1,
IF('Parse of Qs'!E40="At home", 2,
IF('Parse of Qs'!E40="From convenience stores (7-Eleven, Lawson, etc.)", 3,
IF('Parse of Qs'!E40="From vending machines", 4,
IF('Parse of Qs'!E40 = "Other:", 5,
IF('Parse of Qs'!E40 = "", 6, ""))))))</f>
        <v>6</v>
      </c>
      <c r="P40" s="1">
        <f>IF('Parse of Qs'!F40="At cafés", 1,
IF('Parse of Qs'!F40="At home", 2,
IF('Parse of Qs'!F40="From convenience stores (7-Eleven, Lawson, etc.)", 3,
IF('Parse of Qs'!F40="From vending machines", 4,
IF('Parse of Qs'!F40 = "Other:", 5,
IF('Parse of Qs'!F40 = "", 6, ""))))))</f>
        <v>6</v>
      </c>
      <c r="Q40" s="1">
        <f>IF(OR('Master English Sheet'!R40="Every Day",'Master English Sheet'!R40="Daily"), 1,
IF('Master English Sheet'!R40="Several times a week", 2,
IF('Master English Sheet'!R40="Once a week", 3,
IF('Master English Sheet'!R40="A few times a month", 4,
IF('Master English Sheet'!R40="Rarely", 5,
IF('Master English Sheet'!R40="Never", 6, 
IF('Master English Sheet'!R40 = "", 7, "")))))))</f>
        <v>4</v>
      </c>
      <c r="R40" s="1">
        <f>IF('Master English Sheet'!S40="To relax or take a break", 1,
IF('Master English Sheet'!S40="To meet friends", 2,
IF('Master English Sheet'!S40="To study/work", 3,
IF('Master English Sheet'!S40="To try a new drink", 4,
IF('Master English Sheet'!S40="Out of habit", 5,
IF('Master English Sheet'!S40="Other:", 6, 
IF('Master English Sheet'!S40 = "", 7, "")))))))</f>
        <v>2</v>
      </c>
      <c r="S40" s="1">
        <f>IF('Master English Sheet'!U40="Quality of drinks", 1,
IF('Master English Sheet'!U40="Atmosphere", 2,
IF('Master English Sheet'!U40="Service", 3,
IF('Master English Sheet'!U40="Brand image", 4,
IF('Master English Sheet'!U40="Other:", 5, 
IF('Master English Sheet'!U40 = "", 6, ""))))))</f>
        <v>1</v>
      </c>
      <c r="T40" s="1">
        <f>IF('Master English Sheet'!W40="Yes, Western", 1,
IF('Master English Sheet'!W40="Yes, Global", 2,
IF('Master English Sheet'!W40="Yes,  Japanese", 3,
IF('Master English Sheet'!W40="No", 4,
IF('Master English Sheet'!W40="Unsure", 5, 
IF('Master English Sheet'!W40 = "", 6, ""))))))</f>
        <v>4</v>
      </c>
      <c r="U40" s="1">
        <f>IF('Master English Sheet'!X40="Yes, Western", 1,
IF('Master English Sheet'!X40="Yes, Global", 2,
IF('Master English Sheet'!X40="Yes,  Japanese", 3,
IF('Master English Sheet'!X40="No", 4,
IF('Master English Sheet'!X40="Unsure", 5, 
IF('Master English Sheet'!X40 = "", 6, ""))))))</f>
        <v>3</v>
      </c>
      <c r="V40" s="1">
        <f>'Master English Sheet'!Y40</f>
        <v>5</v>
      </c>
      <c r="W40" s="1">
        <f>'Master English Sheet'!Z40</f>
        <v>6</v>
      </c>
      <c r="X40" s="1">
        <f>'Master English Sheet'!AA40</f>
        <v>5</v>
      </c>
    </row>
    <row r="41">
      <c r="A41" s="6">
        <v>40.0</v>
      </c>
      <c r="B41" s="6">
        <v>1.0</v>
      </c>
      <c r="C41" s="1">
        <f>IF('Master English Sheet'!D41="18-25", 1,
IF('Master English Sheet'!D41="26-35", 2,
IF('Master English Sheet'!D41="36-45", 3,
IF('Master English Sheet'!D41="46-55", 4,
IF('Master English Sheet'!D41="56-65", 5,
IF('Master English Sheet'!D41="65+", 6, ""))))))</f>
        <v>1</v>
      </c>
      <c r="D41" s="1">
        <f>IF('Master English Sheet'!E41="Male", 1,
IF('Master English Sheet'!E41="Female", 2,
IF('Master English Sheet'!E41="Nonbinary", 3,
IF('Master English Sheet'!E41="Prefer not to say", 4, ""))))</f>
        <v>1</v>
      </c>
      <c r="E41" s="1">
        <f>IF('Master English Sheet'!F41="Under ¥3,000,000", 1,
IF('Master English Sheet'!F41="¥3,000,000 – ¥5,999,999", 2,
IF('Master English Sheet'!F41="¥6,000,000 – ¥8,999,999", 3,
IF('Master English Sheet'!F41="¥9,000,000 – ¥11,999,999", 4,
IF('Master English Sheet'!F41 = "¥12,000,000 or more", 5,
IF('Master English Sheet'!F41 = "Prefer not to say", 6, ""))))))</f>
        <v>6</v>
      </c>
      <c r="F41" s="1">
        <f>IF('Master English Sheet'!G41="Hokkaido", 1,
IF('Master English Sheet'!G41="Tohoku", 2,
IF('Master English Sheet'!G41="Kanto", 3,
IF('Master English Sheet'!G41="Chubu", 4,
IF('Master English Sheet'!G41 = "Kansai", 5,
IF('Master English Sheet'!G41 = "Chugoku", 6,
IF('Master English Sheet'!G41 = "Shikoku", 7,
IF('Master English Sheet'!G41 = "Kyushu", 8,
IF('Master English Sheet'!G41 = "Okinawa", 9, 
IF('Master English Sheet'!G41 = "I do not live in Japan", 10, ""))))))))))</f>
        <v>3</v>
      </c>
      <c r="G41" s="1">
        <f>IF('Master English Sheet'!H41="Daily", 1,
IF('Master English Sheet'!H41="Several times a week", 2,
IF('Master English Sheet'!H41="Once a week", 3,
IF('Master English Sheet'!H41 = "Rarely", 4,
IF('Master English Sheet'!H41 = "Never", 5, "")))))</f>
        <v>4</v>
      </c>
      <c r="H41" s="1">
        <f>IF('Master English Sheet'!I41="Pour Over", 1,
IF('Master English Sheet'!I41="Drip", 2,
IF('Master English Sheet'!I41="Latte", 3,
IF('Master English Sheet'!I41="Americano", 4,
IF('Master English Sheet'!I41 = "Cappuccino", 5,
IF('Master English Sheet'!I41 = "Flavored coffee (mocha, vanilla, caramel, etc.)", 6,
IF('Master English Sheet'!I41 = "Cold brew", 7,
IF('Master English Sheet'!I41 = "I don't drink coffee", 8,
IF('Master English Sheet'!I41 = "Other:", 9,
IF('Master English Sheet'!I41 ="", 10, ""))))))))))</f>
        <v>10</v>
      </c>
      <c r="I41" s="1">
        <f>IF('Master English Sheet'!K41="Daily", 1,
IF('Master English Sheet'!K41="Several times a week", 2,
IF('Master English Sheet'!K41="Once a week", 3,
IF('Master English Sheet'!K41 = "Rarely", 4,
IF('Master English Sheet'!K41 = "Never", 5, "")))))</f>
        <v>3</v>
      </c>
      <c r="J41" s="1">
        <f>IF('Master English Sheet'!L41="Usucha", 1,
IF('Master English Sheet'!L41="Koicha", 2,
IF('Master English Sheet'!L41="Matcha Latte", 3,
IF('Master English Sheet'!L41="I don’t drink matcha", 4,
IF('Master English Sheet'!L41 = "Other:", 5,
IF('Master English Sheet'!L41 ="", 6, ""))))))</f>
        <v>3</v>
      </c>
      <c r="K41" s="1">
        <f>IF('Parse of Qs'!A41="Taste/Flavor", 1,
IF('Parse of Qs'!A41="Price", 2,
IF('Parse of Qs'!A41="Energy boost/Caffeine", 3,
IF('Parse of Qs'!A41="Health benefits", 4,
IF('Parse of Qs'!A41 = "Social atmosphere", 5,
IF('Parse of Qs'!A41 ="Routine/Ritual", 6, 
IF('Parse of Qs'!A41 = "Branding/Imagery", 7,
IF('Parse of Qs'!A41 = "Social norms / influence (what people around me usually drink)", 8, 
IF('Parse of Qs'!A41 = "To try new things", 9,
IF('Parse of Qs'!A41 = "Other:", 10, 
IF('Parse of Qs'!A41 = "", 11, "")))))))))))</f>
        <v>1</v>
      </c>
      <c r="L41" s="1">
        <f>IF('Parse of Qs'!B41="Taste/Flavor", 1,
IF('Parse of Qs'!B41="Price", 2,
IF('Parse of Qs'!B41="Energy boost/Caffeine", 3,
IF('Parse of Qs'!B41="Health benefits", 4,
IF('Parse of Qs'!B41 = "Social atmosphere", 5,
IF('Parse of Qs'!B41 ="Routine/Ritual", 6, 
IF('Parse of Qs'!B41 = "Branding/Imagery", 7,
IF('Parse of Qs'!B41 = "Social norms / influence (what people around me usually drink)", 8, 
IF('Parse of Qs'!B41 = "To try new things", 9,
IF('Parse of Qs'!B41 = "Other:", 10, 
IF('Parse of Qs'!B41 = "", 11, "")))))))))))</f>
        <v>5</v>
      </c>
      <c r="M41" s="1">
        <f>IF('Parse of Qs'!C41="At cafés", 1,
IF('Parse of Qs'!C41="At home", 2,
IF('Parse of Qs'!C41="From convenience stores (7-Eleven, Lawson, etc.)", 3,
IF('Parse of Qs'!C41="From vending machines", 4,
IF('Parse of Qs'!C41 = "Other:", 5,
IF('Parse of Qs'!C41 = "", 6, ""))))))</f>
        <v>1</v>
      </c>
      <c r="N41" s="1">
        <f>IF('Parse of Qs'!D41="At cafés", 1,
IF('Parse of Qs'!D41="At home", 2,
IF('Parse of Qs'!D41="From convenience stores (7-Eleven, Lawson, etc.)", 3,
IF('Parse of Qs'!D41="From vending machines", 4,
IF('Parse of Qs'!D41 = "Other:", 5,
IF('Parse of Qs'!D41 = "", 6, ""))))))</f>
        <v>6</v>
      </c>
      <c r="O41" s="1">
        <f>IF('Parse of Qs'!E41="At cafés", 1,
IF('Parse of Qs'!E41="At home", 2,
IF('Parse of Qs'!E41="From convenience stores (7-Eleven, Lawson, etc.)", 3,
IF('Parse of Qs'!E41="From vending machines", 4,
IF('Parse of Qs'!E41 = "Other:", 5,
IF('Parse of Qs'!E41 = "", 6, ""))))))</f>
        <v>6</v>
      </c>
      <c r="P41" s="1">
        <f>IF('Parse of Qs'!F41="At cafés", 1,
IF('Parse of Qs'!F41="At home", 2,
IF('Parse of Qs'!F41="From convenience stores (7-Eleven, Lawson, etc.)", 3,
IF('Parse of Qs'!F41="From vending machines", 4,
IF('Parse of Qs'!F41 = "Other:", 5,
IF('Parse of Qs'!F41 = "", 6, ""))))))</f>
        <v>6</v>
      </c>
      <c r="Q41" s="1">
        <f>IF(OR('Master English Sheet'!R41="Every Day",'Master English Sheet'!R41="Daily"), 1,
IF('Master English Sheet'!R41="Several times a week", 2,
IF('Master English Sheet'!R41="Once a week", 3,
IF('Master English Sheet'!R41="A few times a month", 4,
IF('Master English Sheet'!R41="Rarely", 5,
IF('Master English Sheet'!R41="Never", 6, 
IF('Master English Sheet'!R41 = "", 7, "")))))))</f>
        <v>4</v>
      </c>
      <c r="R41" s="1">
        <f>IF('Master English Sheet'!S41="To relax or take a break", 1,
IF('Master English Sheet'!S41="To meet friends", 2,
IF('Master English Sheet'!S41="To study/work", 3,
IF('Master English Sheet'!S41="To try a new drink", 4,
IF('Master English Sheet'!S41="Out of habit", 5,
IF('Master English Sheet'!S41="Other:", 6, 
IF('Master English Sheet'!S41 = "", 7, "")))))))</f>
        <v>2</v>
      </c>
      <c r="S41" s="1">
        <f>IF('Master English Sheet'!U41="Quality of drinks", 1,
IF('Master English Sheet'!U41="Atmosphere", 2,
IF('Master English Sheet'!U41="Service", 3,
IF('Master English Sheet'!U41="Brand image", 4,
IF('Master English Sheet'!U41="Other:", 5, 
IF('Master English Sheet'!U41 = "", 6, ""))))))</f>
        <v>2</v>
      </c>
      <c r="T41" s="1">
        <f>IF('Master English Sheet'!W41="Yes, Western", 1,
IF('Master English Sheet'!W41="Yes, Global", 2,
IF('Master English Sheet'!W41="Yes,  Japanese", 3,
IF('Master English Sheet'!W41="No", 4,
IF('Master English Sheet'!W41="Unsure", 5, 
IF('Master English Sheet'!W41 = "", 6, ""))))))</f>
        <v>2</v>
      </c>
      <c r="U41" s="1">
        <f>IF('Master English Sheet'!X41="Yes, Western", 1,
IF('Master English Sheet'!X41="Yes, Global", 2,
IF('Master English Sheet'!X41="Yes,  Japanese", 3,
IF('Master English Sheet'!X41="No", 4,
IF('Master English Sheet'!X41="Unsure", 5, 
IF('Master English Sheet'!X41 = "", 6, ""))))))</f>
        <v>3</v>
      </c>
      <c r="V41" s="1">
        <f>'Master English Sheet'!Y41</f>
        <v>5</v>
      </c>
      <c r="W41" s="1">
        <f>'Master English Sheet'!Z41</f>
        <v>5</v>
      </c>
      <c r="X41" s="1">
        <f>'Master English Sheet'!AA41</f>
        <v>3</v>
      </c>
    </row>
    <row r="42">
      <c r="A42" s="6">
        <v>41.0</v>
      </c>
      <c r="B42" s="6">
        <v>1.0</v>
      </c>
      <c r="C42" s="1">
        <f>IF('Master English Sheet'!D42="18-25", 1,
IF('Master English Sheet'!D42="26-35", 2,
IF('Master English Sheet'!D42="36-45", 3,
IF('Master English Sheet'!D42="46-55", 4,
IF('Master English Sheet'!D42="56-65", 5,
IF('Master English Sheet'!D42="65+", 6, ""))))))</f>
        <v>2</v>
      </c>
      <c r="D42" s="1">
        <f>IF('Master English Sheet'!E42="Male", 1,
IF('Master English Sheet'!E42="Female", 2,
IF('Master English Sheet'!E42="Nonbinary", 3,
IF('Master English Sheet'!E42="Prefer not to say", 4, ""))))</f>
        <v>1</v>
      </c>
      <c r="E42" s="1">
        <f>IF('Master English Sheet'!F42="Under ¥3,000,000", 1,
IF('Master English Sheet'!F42="¥3,000,000 – ¥5,999,999", 2,
IF('Master English Sheet'!F42="¥6,000,000 – ¥8,999,999", 3,
IF('Master English Sheet'!F42="¥9,000,000 – ¥11,999,999", 4,
IF('Master English Sheet'!F42 = "¥12,000,000 or more", 5,
IF('Master English Sheet'!F42 = "Prefer not to say", 6, ""))))))</f>
        <v>2</v>
      </c>
      <c r="F42" s="1">
        <f>IF('Master English Sheet'!G42="Hokkaido", 1,
IF('Master English Sheet'!G42="Tohoku", 2,
IF('Master English Sheet'!G42="Kanto", 3,
IF('Master English Sheet'!G42="Chubu", 4,
IF('Master English Sheet'!G42 = "Kansai", 5,
IF('Master English Sheet'!G42 = "Chugoku", 6,
IF('Master English Sheet'!G42 = "Shikoku", 7,
IF('Master English Sheet'!G42 = "Kyushu", 8,
IF('Master English Sheet'!G42 = "Okinawa", 9, 
IF('Master English Sheet'!G42 = "I do not live in Japan", 10, ""))))))))))</f>
        <v>3</v>
      </c>
      <c r="G42" s="1">
        <f>IF('Master English Sheet'!H42="Daily", 1,
IF('Master English Sheet'!H42="Several times a week", 2,
IF('Master English Sheet'!H42="Once a week", 3,
IF('Master English Sheet'!H42 = "Rarely", 4,
IF('Master English Sheet'!H42 = "Never", 5, "")))))</f>
        <v>1</v>
      </c>
      <c r="H42" s="1">
        <f>IF('Master English Sheet'!I42="Pour Over", 1,
IF('Master English Sheet'!I42="Drip", 2,
IF('Master English Sheet'!I42="Latte", 3,
IF('Master English Sheet'!I42="Americano", 4,
IF('Master English Sheet'!I42 = "Cappuccino", 5,
IF('Master English Sheet'!I42 = "Flavored coffee (mocha, vanilla, caramel, etc.)", 6,
IF('Master English Sheet'!I42 = "Cold brew", 7,
IF('Master English Sheet'!I42 = "I don't drink coffee", 8,
IF('Master English Sheet'!I42 = "Other:", 9,
IF('Master English Sheet'!I42 ="", 10, ""))))))))))</f>
        <v>1</v>
      </c>
      <c r="I42" s="1">
        <f>IF('Master English Sheet'!K42="Daily", 1,
IF('Master English Sheet'!K42="Several times a week", 2,
IF('Master English Sheet'!K42="Once a week", 3,
IF('Master English Sheet'!K42 = "Rarely", 4,
IF('Master English Sheet'!K42 = "Never", 5, "")))))</f>
        <v>4</v>
      </c>
      <c r="J42" s="1">
        <f>IF('Master English Sheet'!L42="Usucha", 1,
IF('Master English Sheet'!L42="Koicha", 2,
IF('Master English Sheet'!L42="Matcha Latte", 3,
IF('Master English Sheet'!L42="I don’t drink matcha", 4,
IF('Master English Sheet'!L42 = "Other:", 5,
IF('Master English Sheet'!L42 ="", 6, ""))))))</f>
        <v>1</v>
      </c>
      <c r="K42" s="1">
        <f>IF('Parse of Qs'!A42="Taste/Flavor", 1,
IF('Parse of Qs'!A42="Price", 2,
IF('Parse of Qs'!A42="Energy boost/Caffeine", 3,
IF('Parse of Qs'!A42="Health benefits", 4,
IF('Parse of Qs'!A42 = "Social atmosphere", 5,
IF('Parse of Qs'!A42 ="Routine/Ritual", 6, 
IF('Parse of Qs'!A42 = "Branding/Imagery", 7,
IF('Parse of Qs'!A42 = "Social norms / influence (what people around me usually drink)", 8, 
IF('Parse of Qs'!A42 = "To try new things", 9,
IF('Parse of Qs'!A42 = "Other:", 10, 
IF('Parse of Qs'!A42 = "", 11, "")))))))))))</f>
        <v>1</v>
      </c>
      <c r="L42" s="6">
        <v>12.0</v>
      </c>
      <c r="M42" s="1">
        <f>IF('Parse of Qs'!C42="At cafés", 1,
IF('Parse of Qs'!C42="At home", 2,
IF('Parse of Qs'!C42="From convenience stores (7-Eleven, Lawson, etc.)", 3,
IF('Parse of Qs'!C42="From vending machines", 4,
IF('Parse of Qs'!C42 = "Other:", 5,
IF('Parse of Qs'!C42 = "", 6, ""))))))</f>
        <v>2</v>
      </c>
      <c r="N42" s="1">
        <f>IF('Parse of Qs'!D42="At cafés", 1,
IF('Parse of Qs'!D42="At home", 2,
IF('Parse of Qs'!D42="From convenience stores (7-Eleven, Lawson, etc.)", 3,
IF('Parse of Qs'!D42="From vending machines", 4,
IF('Parse of Qs'!D42 = "Other:", 5,
IF('Parse of Qs'!D42 = "", 6, ""))))))</f>
        <v>3</v>
      </c>
      <c r="O42" s="1">
        <f>IF('Parse of Qs'!E42="At cafés", 1,
IF('Parse of Qs'!E42="At home", 2,
IF('Parse of Qs'!E42="From convenience stores (7-Eleven, Lawson, etc.)", 3,
IF('Parse of Qs'!E42="From vending machines", 4,
IF('Parse of Qs'!E42 = "Other:", 5,
IF('Parse of Qs'!E42 = "", 6, ""))))))</f>
        <v>4</v>
      </c>
      <c r="P42" s="1">
        <f>IF('Parse of Qs'!F42="At cafés", 1,
IF('Parse of Qs'!F42="At home", 2,
IF('Parse of Qs'!F42="From convenience stores (7-Eleven, Lawson, etc.)", 3,
IF('Parse of Qs'!F42="From vending machines", 4,
IF('Parse of Qs'!F42 = "Other:", 5,
IF('Parse of Qs'!F42 = "", 6, ""))))))</f>
        <v>6</v>
      </c>
      <c r="Q42" s="1">
        <f>IF(OR('Master English Sheet'!R42="Every Day",'Master English Sheet'!R42="Daily"), 1,
IF('Master English Sheet'!R42="Several times a week", 2,
IF('Master English Sheet'!R42="Once a week", 3,
IF('Master English Sheet'!R42="A few times a month", 4,
IF('Master English Sheet'!R42="Rarely", 5,
IF('Master English Sheet'!R42="Never", 6, 
IF('Master English Sheet'!R42 = "", 7, "")))))))</f>
        <v>5</v>
      </c>
      <c r="R42" s="1">
        <f>IF('Master English Sheet'!S42="To relax or take a break", 1,
IF('Master English Sheet'!S42="To meet friends", 2,
IF('Master English Sheet'!S42="To study/work", 3,
IF('Master English Sheet'!S42="To try a new drink", 4,
IF('Master English Sheet'!S42="Out of habit", 5,
IF('Master English Sheet'!S42="Other:", 6, 
IF('Master English Sheet'!S42 = "", 7, "")))))))</f>
        <v>2</v>
      </c>
      <c r="S42" s="1">
        <f>IF('Master English Sheet'!U42="Quality of drinks", 1,
IF('Master English Sheet'!U42="Atmosphere", 2,
IF('Master English Sheet'!U42="Service", 3,
IF('Master English Sheet'!U42="Brand image", 4,
IF('Master English Sheet'!U42="Other:", 5, 
IF('Master English Sheet'!U42 = "", 6, ""))))))</f>
        <v>2</v>
      </c>
      <c r="T42" s="1">
        <f>IF('Master English Sheet'!W42="Yes, Western", 1,
IF('Master English Sheet'!W42="Yes, Global", 2,
IF('Master English Sheet'!W42="Yes,  Japanese", 3,
IF('Master English Sheet'!W42="No", 4,
IF('Master English Sheet'!W42="Unsure", 5, 
IF('Master English Sheet'!W42 = "", 6, ""))))))</f>
        <v>2</v>
      </c>
      <c r="U42" s="1">
        <f>IF('Master English Sheet'!X42="Yes, Western", 1,
IF('Master English Sheet'!X42="Yes, Global", 2,
IF('Master English Sheet'!X42="Yes,  Japanese", 3,
IF('Master English Sheet'!X42="No", 4,
IF('Master English Sheet'!X42="Unsure", 5, 
IF('Master English Sheet'!X42 = "", 6, ""))))))</f>
        <v>3</v>
      </c>
      <c r="V42" s="1">
        <f>'Master English Sheet'!Y42</f>
        <v>5</v>
      </c>
      <c r="W42" s="1">
        <f>'Master English Sheet'!Z42</f>
        <v>5</v>
      </c>
      <c r="X42" s="1">
        <f>'Master English Sheet'!AA42</f>
        <v>6</v>
      </c>
    </row>
    <row r="43">
      <c r="A43" s="6">
        <v>42.0</v>
      </c>
      <c r="B43" s="6">
        <v>1.0</v>
      </c>
      <c r="C43" s="1">
        <f>IF('Master English Sheet'!D43="18-25", 1,
IF('Master English Sheet'!D43="26-35", 2,
IF('Master English Sheet'!D43="36-45", 3,
IF('Master English Sheet'!D43="46-55", 4,
IF('Master English Sheet'!D43="56-65", 5,
IF('Master English Sheet'!D43="65+", 6, ""))))))</f>
        <v>2</v>
      </c>
      <c r="D43" s="1">
        <f>IF('Master English Sheet'!E43="Male", 1,
IF('Master English Sheet'!E43="Female", 2,
IF('Master English Sheet'!E43="Nonbinary", 3,
IF('Master English Sheet'!E43="Prefer not to say", 4, ""))))</f>
        <v>1</v>
      </c>
      <c r="E43" s="1">
        <f>IF('Master English Sheet'!F43="Under ¥3,000,000", 1,
IF('Master English Sheet'!F43="¥3,000,000 – ¥5,999,999", 2,
IF('Master English Sheet'!F43="¥6,000,000 – ¥8,999,999", 3,
IF('Master English Sheet'!F43="¥9,000,000 – ¥11,999,999", 4,
IF('Master English Sheet'!F43 = "¥12,000,000 or more", 5,
IF('Master English Sheet'!F43 = "Prefer not to say", 6, ""))))))</f>
        <v>1</v>
      </c>
      <c r="F43" s="1">
        <f>IF('Master English Sheet'!G43="Hokkaido", 1,
IF('Master English Sheet'!G43="Tohoku", 2,
IF('Master English Sheet'!G43="Kanto", 3,
IF('Master English Sheet'!G43="Chubu", 4,
IF('Master English Sheet'!G43 = "Kansai", 5,
IF('Master English Sheet'!G43 = "Chugoku", 6,
IF('Master English Sheet'!G43 = "Shikoku", 7,
IF('Master English Sheet'!G43 = "Kyushu", 8,
IF('Master English Sheet'!G43 = "Okinawa", 9, 
IF('Master English Sheet'!G43 = "I do not live in Japan", 10, ""))))))))))</f>
        <v>3</v>
      </c>
      <c r="G43" s="1">
        <f>IF('Master English Sheet'!H43="Daily", 1,
IF('Master English Sheet'!H43="Several times a week", 2,
IF('Master English Sheet'!H43="Once a week", 3,
IF('Master English Sheet'!H43 = "Rarely", 4,
IF('Master English Sheet'!H43 = "Never", 5, "")))))</f>
        <v>2</v>
      </c>
      <c r="H43" s="1">
        <f>IF('Master English Sheet'!I43="Pour Over", 1,
IF('Master English Sheet'!I43="Drip", 2,
IF('Master English Sheet'!I43="Latte", 3,
IF('Master English Sheet'!I43="Americano", 4,
IF('Master English Sheet'!I43 = "Cappuccino", 5,
IF('Master English Sheet'!I43 = "Flavored coffee (mocha, vanilla, caramel, etc.)", 6,
IF('Master English Sheet'!I43 = "Cold brew", 7,
IF('Master English Sheet'!I43 = "I don't drink coffee", 8,
IF('Master English Sheet'!I43 = "Other:", 9,
IF('Master English Sheet'!I43 ="", 10, ""))))))))))</f>
        <v>3</v>
      </c>
      <c r="I43" s="1">
        <f>IF('Master English Sheet'!K43="Daily", 1,
IF('Master English Sheet'!K43="Several times a week", 2,
IF('Master English Sheet'!K43="Once a week", 3,
IF('Master English Sheet'!K43 = "Rarely", 4,
IF('Master English Sheet'!K43 = "Never", 5, "")))))</f>
        <v>2</v>
      </c>
      <c r="J43" s="1">
        <f>IF('Master English Sheet'!L43="Usucha", 1,
IF('Master English Sheet'!L43="Koicha", 2,
IF('Master English Sheet'!L43="Matcha Latte", 3,
IF('Master English Sheet'!L43="I don’t drink matcha", 4,
IF('Master English Sheet'!L43 = "Other:", 5,
IF('Master English Sheet'!L43 ="", 6, ""))))))</f>
        <v>3</v>
      </c>
      <c r="K43" s="1">
        <f>IF('Parse of Qs'!A43="Taste/Flavor", 1,
IF('Parse of Qs'!A43="Price", 2,
IF('Parse of Qs'!A43="Energy boost/Caffeine", 3,
IF('Parse of Qs'!A43="Health benefits", 4,
IF('Parse of Qs'!A43 = "Social atmosphere", 5,
IF('Parse of Qs'!A43 ="Routine/Ritual", 6, 
IF('Parse of Qs'!A43 = "Branding/Imagery", 7,
IF('Parse of Qs'!A43 = "Social norms / influence (what people around me usually drink)", 8, 
IF('Parse of Qs'!A43 = "To try new things", 9,
IF('Parse of Qs'!A43 = "Other:", 10, 
IF('Parse of Qs'!A43 = "", 11, "")))))))))))</f>
        <v>1</v>
      </c>
      <c r="L43" s="1">
        <f>IF('Parse of Qs'!B43="Taste/Flavor", 1,
IF('Parse of Qs'!B43="Price", 2,
IF('Parse of Qs'!B43="Energy boost/Caffeine", 3,
IF('Parse of Qs'!B43="Health benefits", 4,
IF('Parse of Qs'!B43 = "Social atmosphere", 5,
IF('Parse of Qs'!B43 ="Routine/Ritual", 6, 
IF('Parse of Qs'!B43 = "Branding/Imagery", 7,
IF('Parse of Qs'!B43 = "Social norms / influence (what people around me usually drink)", 8, 
IF('Parse of Qs'!B43 = "To try new things", 9,
IF('Parse of Qs'!B43 = "Other:", 10, 
IF('Parse of Qs'!B43 = "", 11, "")))))))))))</f>
        <v>6</v>
      </c>
      <c r="M43" s="1">
        <f>IF('Parse of Qs'!C43="At cafés", 1,
IF('Parse of Qs'!C43="At home", 2,
IF('Parse of Qs'!C43="From convenience stores (7-Eleven, Lawson, etc.)", 3,
IF('Parse of Qs'!C43="From vending machines", 4,
IF('Parse of Qs'!C43 = "Other:", 5,
IF('Parse of Qs'!C43 = "", 6, ""))))))</f>
        <v>2</v>
      </c>
      <c r="N43" s="1">
        <f>IF('Parse of Qs'!D43="At cafés", 1,
IF('Parse of Qs'!D43="At home", 2,
IF('Parse of Qs'!D43="From convenience stores (7-Eleven, Lawson, etc.)", 3,
IF('Parse of Qs'!D43="From vending machines", 4,
IF('Parse of Qs'!D43 = "Other:", 5,
IF('Parse of Qs'!D43 = "", 6, ""))))))</f>
        <v>1</v>
      </c>
      <c r="O43" s="1">
        <f>IF('Parse of Qs'!E43="At cafés", 1,
IF('Parse of Qs'!E43="At home", 2,
IF('Parse of Qs'!E43="From convenience stores (7-Eleven, Lawson, etc.)", 3,
IF('Parse of Qs'!E43="From vending machines", 4,
IF('Parse of Qs'!E43 = "Other:", 5,
IF('Parse of Qs'!E43 = "", 6, ""))))))</f>
        <v>6</v>
      </c>
      <c r="P43" s="1">
        <f>IF('Parse of Qs'!F43="At cafés", 1,
IF('Parse of Qs'!F43="At home", 2,
IF('Parse of Qs'!F43="From convenience stores (7-Eleven, Lawson, etc.)", 3,
IF('Parse of Qs'!F43="From vending machines", 4,
IF('Parse of Qs'!F43 = "Other:", 5,
IF('Parse of Qs'!F43 = "", 6, ""))))))</f>
        <v>6</v>
      </c>
      <c r="Q43" s="1">
        <f>IF(OR('Master English Sheet'!R43="Every Day",'Master English Sheet'!R43="Daily"), 1,
IF('Master English Sheet'!R43="Several times a week", 2,
IF('Master English Sheet'!R43="Once a week", 3,
IF('Master English Sheet'!R43="A few times a month", 4,
IF('Master English Sheet'!R43="Rarely", 5,
IF('Master English Sheet'!R43="Never", 6, 
IF('Master English Sheet'!R43 = "", 7, "")))))))</f>
        <v>2</v>
      </c>
      <c r="R43" s="1">
        <f>IF('Master English Sheet'!S43="To relax or take a break", 1,
IF('Master English Sheet'!S43="To meet friends", 2,
IF('Master English Sheet'!S43="To study/work", 3,
IF('Master English Sheet'!S43="To try a new drink", 4,
IF('Master English Sheet'!S43="Out of habit", 5,
IF('Master English Sheet'!S43="Other:", 6, 
IF('Master English Sheet'!S43 = "", 7, "")))))))</f>
        <v>2</v>
      </c>
      <c r="S43" s="1">
        <f>IF('Master English Sheet'!U43="Quality of drinks", 1,
IF('Master English Sheet'!U43="Atmosphere", 2,
IF('Master English Sheet'!U43="Service", 3,
IF('Master English Sheet'!U43="Brand image", 4,
IF('Master English Sheet'!U43="Other:", 5, 
IF('Master English Sheet'!U43 = "", 6, ""))))))</f>
        <v>2</v>
      </c>
      <c r="T43" s="1">
        <f>IF('Master English Sheet'!W43="Yes, Western", 1,
IF('Master English Sheet'!W43="Yes, Global", 2,
IF('Master English Sheet'!W43="Yes,  Japanese", 3,
IF('Master English Sheet'!W43="No", 4,
IF('Master English Sheet'!W43="Unsure", 5, 
IF('Master English Sheet'!W43 = "", 6, ""))))))</f>
        <v>2</v>
      </c>
      <c r="U43" s="1">
        <f>IF('Master English Sheet'!X43="Yes, Western", 1,
IF('Master English Sheet'!X43="Yes, Global", 2,
IF('Master English Sheet'!X43="Yes,  Japanese", 3,
IF('Master English Sheet'!X43="No", 4,
IF('Master English Sheet'!X43="Unsure", 5, 
IF('Master English Sheet'!X43 = "", 6, ""))))))</f>
        <v>3</v>
      </c>
      <c r="V43" s="1">
        <f>'Master English Sheet'!Y43</f>
        <v>6</v>
      </c>
      <c r="W43" s="1">
        <f>'Master English Sheet'!Z43</f>
        <v>6</v>
      </c>
      <c r="X43" s="1">
        <f>'Master English Sheet'!AA43</f>
        <v>6</v>
      </c>
    </row>
    <row r="44">
      <c r="A44" s="6">
        <v>43.0</v>
      </c>
      <c r="B44" s="6">
        <v>1.0</v>
      </c>
      <c r="C44" s="1">
        <f>IF('Master English Sheet'!D44="18-25", 1,
IF('Master English Sheet'!D44="26-35", 2,
IF('Master English Sheet'!D44="36-45", 3,
IF('Master English Sheet'!D44="46-55", 4,
IF('Master English Sheet'!D44="56-65", 5,
IF('Master English Sheet'!D44="65+", 6, ""))))))</f>
        <v>2</v>
      </c>
      <c r="D44" s="1">
        <f>IF('Master English Sheet'!E44="Male", 1,
IF('Master English Sheet'!E44="Female", 2,
IF('Master English Sheet'!E44="Nonbinary", 3,
IF('Master English Sheet'!E44="Prefer not to say", 4, ""))))</f>
        <v>2</v>
      </c>
      <c r="E44" s="1">
        <f>IF('Master English Sheet'!F44="Under ¥3,000,000", 1,
IF('Master English Sheet'!F44="¥3,000,000 – ¥5,999,999", 2,
IF('Master English Sheet'!F44="¥6,000,000 – ¥8,999,999", 3,
IF('Master English Sheet'!F44="¥9,000,000 – ¥11,999,999", 4,
IF('Master English Sheet'!F44 = "¥12,000,000 or more", 5,
IF('Master English Sheet'!F44 = "Prefer not to say", 6, ""))))))</f>
        <v>2</v>
      </c>
      <c r="F44" s="1">
        <f>IF('Master English Sheet'!G44="Hokkaido", 1,
IF('Master English Sheet'!G44="Tohoku", 2,
IF('Master English Sheet'!G44="Kanto", 3,
IF('Master English Sheet'!G44="Chubu", 4,
IF('Master English Sheet'!G44 = "Kansai", 5,
IF('Master English Sheet'!G44 = "Chugoku", 6,
IF('Master English Sheet'!G44 = "Shikoku", 7,
IF('Master English Sheet'!G44 = "Kyushu", 8,
IF('Master English Sheet'!G44 = "Okinawa", 9, 
IF('Master English Sheet'!G44 = "I do not live in Japan", 10, ""))))))))))</f>
        <v>3</v>
      </c>
      <c r="G44" s="1">
        <f>IF('Master English Sheet'!H44="Daily", 1,
IF('Master English Sheet'!H44="Several times a week", 2,
IF('Master English Sheet'!H44="Once a week", 3,
IF('Master English Sheet'!H44 = "Rarely", 4,
IF('Master English Sheet'!H44 = "Never", 5, "")))))</f>
        <v>1</v>
      </c>
      <c r="H44" s="1">
        <f>IF('Master English Sheet'!I44="Pour Over", 1,
IF('Master English Sheet'!I44="Drip", 2,
IF('Master English Sheet'!I44="Latte", 3,
IF('Master English Sheet'!I44="Americano", 4,
IF('Master English Sheet'!I44 = "Cappuccino", 5,
IF('Master English Sheet'!I44 = "Flavored coffee (mocha, vanilla, caramel, etc.)", 6,
IF('Master English Sheet'!I44 = "Cold brew", 7,
IF('Master English Sheet'!I44 = "I don't drink coffee", 8,
IF('Master English Sheet'!I44 = "Other:", 9,
IF('Master English Sheet'!I44 ="", 10, ""))))))))))</f>
        <v>2</v>
      </c>
      <c r="I44" s="1">
        <f>IF('Master English Sheet'!K44="Daily", 1,
IF('Master English Sheet'!K44="Several times a week", 2,
IF('Master English Sheet'!K44="Once a week", 3,
IF('Master English Sheet'!K44 = "Rarely", 4,
IF('Master English Sheet'!K44 = "Never", 5, "")))))</f>
        <v>2</v>
      </c>
      <c r="J44" s="1">
        <f>IF('Master English Sheet'!L44="Usucha", 1,
IF('Master English Sheet'!L44="Koicha", 2,
IF('Master English Sheet'!L44="Matcha Latte", 3,
IF('Master English Sheet'!L44="I don’t drink matcha", 4,
IF('Master English Sheet'!L44 = "Other:", 5,
IF('Master English Sheet'!L44 ="", 6, ""))))))</f>
        <v>2</v>
      </c>
      <c r="K44" s="1">
        <f>IF('Parse of Qs'!A44="Taste/Flavor", 1,
IF('Parse of Qs'!A44="Price", 2,
IF('Parse of Qs'!A44="Energy boost/Caffeine", 3,
IF('Parse of Qs'!A44="Health benefits", 4,
IF('Parse of Qs'!A44 = "Social atmosphere", 5,
IF('Parse of Qs'!A44 ="Routine/Ritual", 6, 
IF('Parse of Qs'!A44 = "Branding/Imagery", 7,
IF('Parse of Qs'!A44 = "Social norms / influence (what people around me usually drink)", 8, 
IF('Parse of Qs'!A44 = "To try new things", 9,
IF('Parse of Qs'!A44 = "Other:", 10, 
IF('Parse of Qs'!A44 = "", 11, "")))))))))))</f>
        <v>3</v>
      </c>
      <c r="L44" s="1">
        <f>IF('Parse of Qs'!B44="Taste/Flavor", 1,
IF('Parse of Qs'!B44="Price", 2,
IF('Parse of Qs'!B44="Energy boost/Caffeine", 3,
IF('Parse of Qs'!B44="Health benefits", 4,
IF('Parse of Qs'!B44 = "Social atmosphere", 5,
IF('Parse of Qs'!B44 ="Routine/Ritual", 6, 
IF('Parse of Qs'!B44 = "Branding/Imagery", 7,
IF('Parse of Qs'!B44 = "Social norms / influence (what people around me usually drink)", 8, 
IF('Parse of Qs'!B44 = "To try new things", 9,
IF('Parse of Qs'!B44 = "Other:", 10, 
IF('Parse of Qs'!B44 = "", 11, "")))))))))))</f>
        <v>8</v>
      </c>
      <c r="M44" s="1">
        <f>IF('Parse of Qs'!C44="At cafés", 1,
IF('Parse of Qs'!C44="At home", 2,
IF('Parse of Qs'!C44="From convenience stores (7-Eleven, Lawson, etc.)", 3,
IF('Parse of Qs'!C44="From vending machines", 4,
IF('Parse of Qs'!C44 = "Other:", 5,
IF('Parse of Qs'!C44 = "", 6, ""))))))</f>
        <v>2</v>
      </c>
      <c r="N44" s="1">
        <f>IF('Parse of Qs'!D44="At cafés", 1,
IF('Parse of Qs'!D44="At home", 2,
IF('Parse of Qs'!D44="From convenience stores (7-Eleven, Lawson, etc.)", 3,
IF('Parse of Qs'!D44="From vending machines", 4,
IF('Parse of Qs'!D44 = "Other:", 5,
IF('Parse of Qs'!D44 = "", 6, ""))))))</f>
        <v>4</v>
      </c>
      <c r="O44" s="1">
        <f>IF('Parse of Qs'!E44="At cafés", 1,
IF('Parse of Qs'!E44="At home", 2,
IF('Parse of Qs'!E44="From convenience stores (7-Eleven, Lawson, etc.)", 3,
IF('Parse of Qs'!E44="From vending machines", 4,
IF('Parse of Qs'!E44 = "Other:", 5,
IF('Parse of Qs'!E44 = "", 6, ""))))))</f>
        <v>3</v>
      </c>
      <c r="P44" s="1">
        <f>IF('Parse of Qs'!F44="At cafés", 1,
IF('Parse of Qs'!F44="At home", 2,
IF('Parse of Qs'!F44="From convenience stores (7-Eleven, Lawson, etc.)", 3,
IF('Parse of Qs'!F44="From vending machines", 4,
IF('Parse of Qs'!F44 = "Other:", 5,
IF('Parse of Qs'!F44 = "", 6, ""))))))</f>
        <v>6</v>
      </c>
      <c r="Q44" s="1">
        <f>IF(OR('Master English Sheet'!R44="Every Day",'Master English Sheet'!R44="Daily"), 1,
IF('Master English Sheet'!R44="Several times a week", 2,
IF('Master English Sheet'!R44="Once a week", 3,
IF('Master English Sheet'!R44="A few times a month", 4,
IF('Master English Sheet'!R44="Rarely", 5,
IF('Master English Sheet'!R44="Never", 6, 
IF('Master English Sheet'!R44 = "", 7, "")))))))</f>
        <v>4</v>
      </c>
      <c r="R44" s="1">
        <f>IF('Master English Sheet'!S44="To relax or take a break", 1,
IF('Master English Sheet'!S44="To meet friends", 2,
IF('Master English Sheet'!S44="To study/work", 3,
IF('Master English Sheet'!S44="To try a new drink", 4,
IF('Master English Sheet'!S44="Out of habit", 5,
IF('Master English Sheet'!S44="Other:", 6, 
IF('Master English Sheet'!S44 = "", 7, "")))))))</f>
        <v>2</v>
      </c>
      <c r="S44" s="1">
        <f>IF('Master English Sheet'!U44="Quality of drinks", 1,
IF('Master English Sheet'!U44="Atmosphere", 2,
IF('Master English Sheet'!U44="Service", 3,
IF('Master English Sheet'!U44="Brand image", 4,
IF('Master English Sheet'!U44="Other:", 5, 
IF('Master English Sheet'!U44 = "", 6, ""))))))</f>
        <v>2</v>
      </c>
      <c r="T44" s="1">
        <f>IF('Master English Sheet'!W44="Yes, Western", 1,
IF('Master English Sheet'!W44="Yes, Global", 2,
IF('Master English Sheet'!W44="Yes,  Japanese", 3,
IF('Master English Sheet'!W44="No", 4,
IF('Master English Sheet'!W44="Unsure", 5, 
IF('Master English Sheet'!W44 = "", 6, ""))))))</f>
        <v>1</v>
      </c>
      <c r="U44" s="1">
        <f>IF('Master English Sheet'!X44="Yes, Western", 1,
IF('Master English Sheet'!X44="Yes, Global", 2,
IF('Master English Sheet'!X44="Yes,  Japanese", 3,
IF('Master English Sheet'!X44="No", 4,
IF('Master English Sheet'!X44="Unsure", 5, 
IF('Master English Sheet'!X44 = "", 6, ""))))))</f>
        <v>3</v>
      </c>
      <c r="V44" s="1">
        <f>'Master English Sheet'!Y44</f>
        <v>5</v>
      </c>
      <c r="W44" s="1">
        <f>'Master English Sheet'!Z44</f>
        <v>7</v>
      </c>
      <c r="X44" s="1">
        <f>'Master English Sheet'!AA44</f>
        <v>3</v>
      </c>
    </row>
    <row r="45">
      <c r="A45" s="6">
        <v>44.0</v>
      </c>
      <c r="B45" s="6">
        <v>1.0</v>
      </c>
      <c r="C45" s="1">
        <f>IF('Master English Sheet'!D45="18-25", 1,
IF('Master English Sheet'!D45="26-35", 2,
IF('Master English Sheet'!D45="36-45", 3,
IF('Master English Sheet'!D45="46-55", 4,
IF('Master English Sheet'!D45="56-65", 5,
IF('Master English Sheet'!D45="65+", 6, ""))))))</f>
        <v>3</v>
      </c>
      <c r="D45" s="1">
        <f>IF('Master English Sheet'!E45="Male", 1,
IF('Master English Sheet'!E45="Female", 2,
IF('Master English Sheet'!E45="Nonbinary", 3,
IF('Master English Sheet'!E45="Prefer not to say", 4, ""))))</f>
        <v>1</v>
      </c>
      <c r="E45" s="1">
        <f>IF('Master English Sheet'!F45="Under ¥3,000,000", 1,
IF('Master English Sheet'!F45="¥3,000,000 – ¥5,999,999", 2,
IF('Master English Sheet'!F45="¥6,000,000 – ¥8,999,999", 3,
IF('Master English Sheet'!F45="¥9,000,000 – ¥11,999,999", 4,
IF('Master English Sheet'!F45 = "¥12,000,000 or more", 5,
IF('Master English Sheet'!F45 = "Prefer not to say", 6, ""))))))</f>
        <v>4</v>
      </c>
      <c r="F45" s="1">
        <f>IF('Master English Sheet'!G45="Hokkaido", 1,
IF('Master English Sheet'!G45="Tohoku", 2,
IF('Master English Sheet'!G45="Kanto", 3,
IF('Master English Sheet'!G45="Chubu", 4,
IF('Master English Sheet'!G45 = "Kansai", 5,
IF('Master English Sheet'!G45 = "Chugoku", 6,
IF('Master English Sheet'!G45 = "Shikoku", 7,
IF('Master English Sheet'!G45 = "Kyushu", 8,
IF('Master English Sheet'!G45 = "Okinawa", 9, 
IF('Master English Sheet'!G45 = "I do not live in Japan", 10, ""))))))))))</f>
        <v>3</v>
      </c>
      <c r="G45" s="1">
        <f>IF('Master English Sheet'!H45="Daily", 1,
IF('Master English Sheet'!H45="Several times a week", 2,
IF('Master English Sheet'!H45="Once a week", 3,
IF('Master English Sheet'!H45 = "Rarely", 4,
IF('Master English Sheet'!H45 = "Never", 5, "")))))</f>
        <v>1</v>
      </c>
      <c r="H45" s="1">
        <f>IF('Master English Sheet'!I45="Pour Over", 1,
IF('Master English Sheet'!I45="Drip", 2,
IF('Master English Sheet'!I45="Latte", 3,
IF('Master English Sheet'!I45="Americano", 4,
IF('Master English Sheet'!I45 = "Cappuccino", 5,
IF('Master English Sheet'!I45 = "Flavored coffee (mocha, vanilla, caramel, etc.)", 6,
IF('Master English Sheet'!I45 = "Cold brew", 7,
IF('Master English Sheet'!I45 = "I don't drink coffee", 8,
IF('Master English Sheet'!I45 = "Other:", 9,
IF('Master English Sheet'!I45 ="", 10, ""))))))))))</f>
        <v>2</v>
      </c>
      <c r="I45" s="1">
        <f>IF('Master English Sheet'!K45="Daily", 1,
IF('Master English Sheet'!K45="Several times a week", 2,
IF('Master English Sheet'!K45="Once a week", 3,
IF('Master English Sheet'!K45 = "Rarely", 4,
IF('Master English Sheet'!K45 = "Never", 5, "")))))</f>
        <v>4</v>
      </c>
      <c r="J45" s="1">
        <f>IF('Master English Sheet'!L45="Usucha", 1,
IF('Master English Sheet'!L45="Koicha", 2,
IF('Master English Sheet'!L45="Matcha Latte", 3,
IF('Master English Sheet'!L45="I don’t drink matcha", 4,
IF('Master English Sheet'!L45 = "Other:", 5,
IF('Master English Sheet'!L45 ="", 6, ""))))))</f>
        <v>1</v>
      </c>
      <c r="K45" s="1">
        <f>IF('Parse of Qs'!A45="Taste/Flavor", 1,
IF('Parse of Qs'!A45="Price", 2,
IF('Parse of Qs'!A45="Energy boost/Caffeine", 3,
IF('Parse of Qs'!A45="Health benefits", 4,
IF('Parse of Qs'!A45 = "Social atmosphere", 5,
IF('Parse of Qs'!A45 ="Routine/Ritual", 6, 
IF('Parse of Qs'!A45 = "Branding/Imagery", 7,
IF('Parse of Qs'!A45 = "Social norms / influence (what people around me usually drink)", 8, 
IF('Parse of Qs'!A45 = "To try new things", 9,
IF('Parse of Qs'!A45 = "Other:", 10, 
IF('Parse of Qs'!A45 = "", 11, "")))))))))))</f>
        <v>1</v>
      </c>
      <c r="L45" s="1">
        <f>IF('Parse of Qs'!B45="Taste/Flavor", 1,
IF('Parse of Qs'!B45="Price", 2,
IF('Parse of Qs'!B45="Energy boost/Caffeine", 3,
IF('Parse of Qs'!B45="Health benefits", 4,
IF('Parse of Qs'!B45 = "Social atmosphere", 5,
IF('Parse of Qs'!B45 ="Routine/Ritual", 6, 
IF('Parse of Qs'!B45 = "Branding/Imagery", 7,
IF('Parse of Qs'!B45 = "Social norms / influence (what people around me usually drink)", 8, 
IF('Parse of Qs'!B45 = "To try new things", 9,
IF('Parse of Qs'!B45 = "Other:", 10, 
IF('Parse of Qs'!B45 = "", 11, "")))))))))))</f>
        <v>2</v>
      </c>
      <c r="M45" s="1">
        <f>IF('Parse of Qs'!C45="At cafés", 1,
IF('Parse of Qs'!C45="At home", 2,
IF('Parse of Qs'!C45="From convenience stores (7-Eleven, Lawson, etc.)", 3,
IF('Parse of Qs'!C45="From vending machines", 4,
IF('Parse of Qs'!C45 = "Other:", 5,
IF('Parse of Qs'!C45 = "", 6, ""))))))</f>
        <v>1</v>
      </c>
      <c r="N45" s="1">
        <f>IF('Parse of Qs'!D45="At cafés", 1,
IF('Parse of Qs'!D45="At home", 2,
IF('Parse of Qs'!D45="From convenience stores (7-Eleven, Lawson, etc.)", 3,
IF('Parse of Qs'!D45="From vending machines", 4,
IF('Parse of Qs'!D45 = "Other:", 5,
IF('Parse of Qs'!D45 = "", 6, ""))))))</f>
        <v>2</v>
      </c>
      <c r="O45" s="1">
        <f>IF('Parse of Qs'!E45="At cafés", 1,
IF('Parse of Qs'!E45="At home", 2,
IF('Parse of Qs'!E45="From convenience stores (7-Eleven, Lawson, etc.)", 3,
IF('Parse of Qs'!E45="From vending machines", 4,
IF('Parse of Qs'!E45 = "Other:", 5,
IF('Parse of Qs'!E45 = "", 6, ""))))))</f>
        <v>3</v>
      </c>
      <c r="P45" s="1">
        <f>IF('Parse of Qs'!F45="At cafés", 1,
IF('Parse of Qs'!F45="At home", 2,
IF('Parse of Qs'!F45="From convenience stores (7-Eleven, Lawson, etc.)", 3,
IF('Parse of Qs'!F45="From vending machines", 4,
IF('Parse of Qs'!F45 = "Other:", 5,
IF('Parse of Qs'!F45 = "", 6, ""))))))</f>
        <v>6</v>
      </c>
      <c r="Q45" s="1">
        <f>IF(OR('Master English Sheet'!R45="Every Day",'Master English Sheet'!R45="Daily"), 1,
IF('Master English Sheet'!R45="Several times a week", 2,
IF('Master English Sheet'!R45="Once a week", 3,
IF('Master English Sheet'!R45="A few times a month", 4,
IF('Master English Sheet'!R45="Rarely", 5,
IF('Master English Sheet'!R45="Never", 6, 
IF('Master English Sheet'!R45 = "", 7, "")))))))</f>
        <v>3</v>
      </c>
      <c r="R45" s="1">
        <f>IF('Master English Sheet'!S45="To relax or take a break", 1,
IF('Master English Sheet'!S45="To meet friends", 2,
IF('Master English Sheet'!S45="To study/work", 3,
IF('Master English Sheet'!S45="To try a new drink", 4,
IF('Master English Sheet'!S45="Out of habit", 5,
IF('Master English Sheet'!S45="Other:", 6, 
IF('Master English Sheet'!S45 = "", 7, "")))))))</f>
        <v>1</v>
      </c>
      <c r="S45" s="1">
        <f>IF('Master English Sheet'!U45="Quality of drinks", 1,
IF('Master English Sheet'!U45="Atmosphere", 2,
IF('Master English Sheet'!U45="Service", 3,
IF('Master English Sheet'!U45="Brand image", 4,
IF('Master English Sheet'!U45="Other:", 5, 
IF('Master English Sheet'!U45 = "", 6, ""))))))</f>
        <v>2</v>
      </c>
      <c r="T45" s="1">
        <f>IF('Master English Sheet'!W45="Yes, Western", 1,
IF('Master English Sheet'!W45="Yes, Global", 2,
IF('Master English Sheet'!W45="Yes,  Japanese", 3,
IF('Master English Sheet'!W45="No", 4,
IF('Master English Sheet'!W45="Unsure", 5, 
IF('Master English Sheet'!W45 = "", 6, ""))))))</f>
        <v>2</v>
      </c>
      <c r="U45" s="1">
        <f>IF('Master English Sheet'!X45="Yes, Western", 1,
IF('Master English Sheet'!X45="Yes, Global", 2,
IF('Master English Sheet'!X45="Yes,  Japanese", 3,
IF('Master English Sheet'!X45="No", 4,
IF('Master English Sheet'!X45="Unsure", 5, 
IF('Master English Sheet'!X45 = "", 6, ""))))))</f>
        <v>3</v>
      </c>
      <c r="V45" s="1">
        <f>'Master English Sheet'!Y45</f>
        <v>2</v>
      </c>
      <c r="W45" s="1">
        <f>'Master English Sheet'!Z45</f>
        <v>2</v>
      </c>
      <c r="X45" s="1">
        <f>'Master English Sheet'!AA45</f>
        <v>4</v>
      </c>
    </row>
    <row r="46">
      <c r="A46" s="6">
        <v>45.0</v>
      </c>
      <c r="B46" s="6">
        <v>1.0</v>
      </c>
      <c r="C46" s="1">
        <f>IF('Master English Sheet'!D46="18-25", 1,
IF('Master English Sheet'!D46="26-35", 2,
IF('Master English Sheet'!D46="36-45", 3,
IF('Master English Sheet'!D46="46-55", 4,
IF('Master English Sheet'!D46="56-65", 5,
IF('Master English Sheet'!D46="65+", 6, ""))))))</f>
        <v>3</v>
      </c>
      <c r="D46" s="1">
        <f>IF('Master English Sheet'!E46="Male", 1,
IF('Master English Sheet'!E46="Female", 2,
IF('Master English Sheet'!E46="Nonbinary", 3,
IF('Master English Sheet'!E46="Prefer not to say", 4, ""))))</f>
        <v>1</v>
      </c>
      <c r="E46" s="1">
        <f>IF('Master English Sheet'!F46="Under ¥3,000,000", 1,
IF('Master English Sheet'!F46="¥3,000,000 – ¥5,999,999", 2,
IF('Master English Sheet'!F46="¥6,000,000 – ¥8,999,999", 3,
IF('Master English Sheet'!F46="¥9,000,000 – ¥11,999,999", 4,
IF('Master English Sheet'!F46 = "¥12,000,000 or more", 5,
IF('Master English Sheet'!F46 = "Prefer not to say", 6, ""))))))</f>
        <v>3</v>
      </c>
      <c r="F46" s="1">
        <f>IF('Master English Sheet'!G46="Hokkaido", 1,
IF('Master English Sheet'!G46="Tohoku", 2,
IF('Master English Sheet'!G46="Kanto", 3,
IF('Master English Sheet'!G46="Chubu", 4,
IF('Master English Sheet'!G46 = "Kansai", 5,
IF('Master English Sheet'!G46 = "Chugoku", 6,
IF('Master English Sheet'!G46 = "Shikoku", 7,
IF('Master English Sheet'!G46 = "Kyushu", 8,
IF('Master English Sheet'!G46 = "Okinawa", 9, 
IF('Master English Sheet'!G46 = "I do not live in Japan", 10, ""))))))))))</f>
        <v>3</v>
      </c>
      <c r="G46" s="1">
        <f>IF('Master English Sheet'!H46="Daily", 1,
IF('Master English Sheet'!H46="Several times a week", 2,
IF('Master English Sheet'!H46="Once a week", 3,
IF('Master English Sheet'!H46 = "Rarely", 4,
IF('Master English Sheet'!H46 = "Never", 5, "")))))</f>
        <v>1</v>
      </c>
      <c r="H46" s="1">
        <f>IF('Master English Sheet'!I46="Pour Over", 1,
IF('Master English Sheet'!I46="Drip", 2,
IF('Master English Sheet'!I46="Latte", 3,
IF('Master English Sheet'!I46="Americano", 4,
IF('Master English Sheet'!I46 = "Cappuccino", 5,
IF('Master English Sheet'!I46 = "Flavored coffee (mocha, vanilla, caramel, etc.)", 6,
IF('Master English Sheet'!I46 = "Cold brew", 7,
IF('Master English Sheet'!I46 = "I don't drink coffee", 8,
IF('Master English Sheet'!I46 = "Other:", 9,
IF('Master English Sheet'!I46 ="", 10, ""))))))))))</f>
        <v>3</v>
      </c>
      <c r="I46" s="1">
        <f>IF('Master English Sheet'!K46="Daily", 1,
IF('Master English Sheet'!K46="Several times a week", 2,
IF('Master English Sheet'!K46="Once a week", 3,
IF('Master English Sheet'!K46 = "Rarely", 4,
IF('Master English Sheet'!K46 = "Never", 5, "")))))</f>
        <v>4</v>
      </c>
      <c r="J46" s="1">
        <f>IF('Master English Sheet'!L46="Usucha", 1,
IF('Master English Sheet'!L46="Koicha", 2,
IF('Master English Sheet'!L46="Matcha Latte", 3,
IF('Master English Sheet'!L46="I don’t drink matcha", 4,
IF('Master English Sheet'!L46 = "Other:", 5,
IF('Master English Sheet'!L46 ="", 6, ""))))))</f>
        <v>6</v>
      </c>
      <c r="K46" s="6">
        <v>12.0</v>
      </c>
      <c r="L46" s="1">
        <f>IF('Parse of Qs'!B46="Taste/Flavor", 1,
IF('Parse of Qs'!B46="Price", 2,
IF('Parse of Qs'!B46="Energy boost/Caffeine", 3,
IF('Parse of Qs'!B46="Health benefits", 4,
IF('Parse of Qs'!B46 = "Social atmosphere", 5,
IF('Parse of Qs'!B46 ="Routine/Ritual", 6, 
IF('Parse of Qs'!B46 = "Branding/Imagery", 7,
IF('Parse of Qs'!B46 = "Social norms / influence (what people around me usually drink)", 8, 
IF('Parse of Qs'!B46 = "To try new things", 9,
IF('Parse of Qs'!B46 = "Other:", 10, 
IF('Parse of Qs'!B46 = "", 11, "")))))))))))</f>
        <v>11</v>
      </c>
      <c r="M46" s="1">
        <f>IF('Parse of Qs'!C46="At cafés", 1,
IF('Parse of Qs'!C46="At home", 2,
IF('Parse of Qs'!C46="From convenience stores (7-Eleven, Lawson, etc.)", 3,
IF('Parse of Qs'!C46="From vending machines", 4,
IF('Parse of Qs'!C46 = "Other:", 5,
IF('Parse of Qs'!C46 = "", 6, ""))))))</f>
        <v>4</v>
      </c>
      <c r="N46" s="1">
        <f>IF('Parse of Qs'!D46="At cafés", 1,
IF('Parse of Qs'!D46="At home", 2,
IF('Parse of Qs'!D46="From convenience stores (7-Eleven, Lawson, etc.)", 3,
IF('Parse of Qs'!D46="From vending machines", 4,
IF('Parse of Qs'!D46 = "Other:", 5,
IF('Parse of Qs'!D46 = "", 6, ""))))))</f>
        <v>6</v>
      </c>
      <c r="O46" s="1">
        <f>IF('Parse of Qs'!E46="At cafés", 1,
IF('Parse of Qs'!E46="At home", 2,
IF('Parse of Qs'!E46="From convenience stores (7-Eleven, Lawson, etc.)", 3,
IF('Parse of Qs'!E46="From vending machines", 4,
IF('Parse of Qs'!E46 = "Other:", 5,
IF('Parse of Qs'!E46 = "", 6, ""))))))</f>
        <v>6</v>
      </c>
      <c r="P46" s="1">
        <f>IF('Parse of Qs'!F46="At cafés", 1,
IF('Parse of Qs'!F46="At home", 2,
IF('Parse of Qs'!F46="From convenience stores (7-Eleven, Lawson, etc.)", 3,
IF('Parse of Qs'!F46="From vending machines", 4,
IF('Parse of Qs'!F46 = "Other:", 5,
IF('Parse of Qs'!F46 = "", 6, ""))))))</f>
        <v>6</v>
      </c>
      <c r="Q46" s="1">
        <f>IF(OR('Master English Sheet'!R46="Every Day",'Master English Sheet'!R46="Daily"), 1,
IF('Master English Sheet'!R46="Several times a week", 2,
IF('Master English Sheet'!R46="Once a week", 3,
IF('Master English Sheet'!R46="A few times a month", 4,
IF('Master English Sheet'!R46="Rarely", 5,
IF('Master English Sheet'!R46="Never", 6, 
IF('Master English Sheet'!R46 = "", 7, "")))))))</f>
        <v>2</v>
      </c>
      <c r="R46" s="1">
        <f>IF('Master English Sheet'!S46="To relax or take a break", 1,
IF('Master English Sheet'!S46="To meet friends", 2,
IF('Master English Sheet'!S46="To study/work", 3,
IF('Master English Sheet'!S46="To try a new drink", 4,
IF('Master English Sheet'!S46="Out of habit", 5,
IF('Master English Sheet'!S46="Other:", 6, 
IF('Master English Sheet'!S46 = "", 7, "")))))))</f>
        <v>1</v>
      </c>
      <c r="S46" s="1">
        <f>IF('Master English Sheet'!U46="Quality of drinks", 1,
IF('Master English Sheet'!U46="Atmosphere", 2,
IF('Master English Sheet'!U46="Service", 3,
IF('Master English Sheet'!U46="Brand image", 4,
IF('Master English Sheet'!U46="Other:", 5, 
IF('Master English Sheet'!U46 = "", 6, ""))))))</f>
        <v>2</v>
      </c>
      <c r="T46" s="1">
        <f>IF('Master English Sheet'!W46="Yes, Western", 1,
IF('Master English Sheet'!W46="Yes, Global", 2,
IF('Master English Sheet'!W46="Yes,  Japanese", 3,
IF('Master English Sheet'!W46="No", 4,
IF('Master English Sheet'!W46="Unsure", 5, 
IF('Master English Sheet'!W46 = "", 6, ""))))))</f>
        <v>2</v>
      </c>
      <c r="U46" s="1">
        <f>IF('Master English Sheet'!X46="Yes, Western", 1,
IF('Master English Sheet'!X46="Yes, Global", 2,
IF('Master English Sheet'!X46="Yes,  Japanese", 3,
IF('Master English Sheet'!X46="No", 4,
IF('Master English Sheet'!X46="Unsure", 5, 
IF('Master English Sheet'!X46 = "", 6, ""))))))</f>
        <v>3</v>
      </c>
      <c r="V46" s="1">
        <f>'Master English Sheet'!Y46</f>
        <v>4</v>
      </c>
      <c r="W46" s="1">
        <f>'Master English Sheet'!Z46</f>
        <v>7</v>
      </c>
      <c r="X46" s="1">
        <f>'Master English Sheet'!AA46</f>
        <v>4</v>
      </c>
    </row>
    <row r="47">
      <c r="A47" s="6">
        <v>46.0</v>
      </c>
      <c r="B47" s="6">
        <v>1.0</v>
      </c>
      <c r="C47" s="1">
        <f>IF('Master English Sheet'!D47="18-25", 1,
IF('Master English Sheet'!D47="26-35", 2,
IF('Master English Sheet'!D47="36-45", 3,
IF('Master English Sheet'!D47="46-55", 4,
IF('Master English Sheet'!D47="56-65", 5,
IF('Master English Sheet'!D47="65+", 6, ""))))))</f>
        <v>3</v>
      </c>
      <c r="D47" s="1">
        <f>IF('Master English Sheet'!E47="Male", 1,
IF('Master English Sheet'!E47="Female", 2,
IF('Master English Sheet'!E47="Nonbinary", 3,
IF('Master English Sheet'!E47="Prefer not to say", 4, ""))))</f>
        <v>2</v>
      </c>
      <c r="E47" s="1">
        <f>IF('Master English Sheet'!F47="Under ¥3,000,000", 1,
IF('Master English Sheet'!F47="¥3,000,000 – ¥5,999,999", 2,
IF('Master English Sheet'!F47="¥6,000,000 – ¥8,999,999", 3,
IF('Master English Sheet'!F47="¥9,000,000 – ¥11,999,999", 4,
IF('Master English Sheet'!F47 = "¥12,000,000 or more", 5,
IF('Master English Sheet'!F47 = "Prefer not to say", 6, ""))))))</f>
        <v>5</v>
      </c>
      <c r="F47" s="1">
        <f>IF('Master English Sheet'!G47="Hokkaido", 1,
IF('Master English Sheet'!G47="Tohoku", 2,
IF('Master English Sheet'!G47="Kanto", 3,
IF('Master English Sheet'!G47="Chubu", 4,
IF('Master English Sheet'!G47 = "Kansai", 5,
IF('Master English Sheet'!G47 = "Chugoku", 6,
IF('Master English Sheet'!G47 = "Shikoku", 7,
IF('Master English Sheet'!G47 = "Kyushu", 8,
IF('Master English Sheet'!G47 = "Okinawa", 9, 
IF('Master English Sheet'!G47 = "I do not live in Japan", 10, ""))))))))))</f>
        <v>3</v>
      </c>
      <c r="G47" s="1">
        <f>IF('Master English Sheet'!H47="Daily", 1,
IF('Master English Sheet'!H47="Several times a week", 2,
IF('Master English Sheet'!H47="Once a week", 3,
IF('Master English Sheet'!H47 = "Rarely", 4,
IF('Master English Sheet'!H47 = "Never", 5, "")))))</f>
        <v>4</v>
      </c>
      <c r="H47" s="1">
        <f>IF('Master English Sheet'!I47="Pour Over", 1,
IF('Master English Sheet'!I47="Drip", 2,
IF('Master English Sheet'!I47="Latte", 3,
IF('Master English Sheet'!I47="Americano", 4,
IF('Master English Sheet'!I47 = "Cappuccino", 5,
IF('Master English Sheet'!I47 = "Flavored coffee (mocha, vanilla, caramel, etc.)", 6,
IF('Master English Sheet'!I47 = "Cold brew", 7,
IF('Master English Sheet'!I47 = "I don't drink coffee", 8,
IF('Master English Sheet'!I47 = "Other:", 9,
IF('Master English Sheet'!I47 ="", 10, ""))))))))))</f>
        <v>3</v>
      </c>
      <c r="I47" s="1">
        <f>IF('Master English Sheet'!K47="Daily", 1,
IF('Master English Sheet'!K47="Several times a week", 2,
IF('Master English Sheet'!K47="Once a week", 3,
IF('Master English Sheet'!K47 = "Rarely", 4,
IF('Master English Sheet'!K47 = "Never", 5, "")))))</f>
        <v>4</v>
      </c>
      <c r="J47" s="1">
        <f>IF('Master English Sheet'!L47="Usucha", 1,
IF('Master English Sheet'!L47="Koicha", 2,
IF('Master English Sheet'!L47="Matcha Latte", 3,
IF('Master English Sheet'!L47="I don’t drink matcha", 4,
IF('Master English Sheet'!L47 = "Other:", 5,
IF('Master English Sheet'!L47 ="", 6, ""))))))</f>
        <v>3</v>
      </c>
      <c r="K47" s="1">
        <f>IF('Parse of Qs'!A47="Taste/Flavor", 1,
IF('Parse of Qs'!A47="Price", 2,
IF('Parse of Qs'!A47="Energy boost/Caffeine", 3,
IF('Parse of Qs'!A47="Health benefits", 4,
IF('Parse of Qs'!A47 = "Social atmosphere", 5,
IF('Parse of Qs'!A47 ="Routine/Ritual", 6, 
IF('Parse of Qs'!A47 = "Branding/Imagery", 7,
IF('Parse of Qs'!A47 = "Social norms / influence (what people around me usually drink)", 8, 
IF('Parse of Qs'!A47 = "To try new things", 9,
IF('Parse of Qs'!A47 = "Other:", 10, 
IF('Parse of Qs'!A47 = "", 11, "")))))))))))</f>
        <v>1</v>
      </c>
      <c r="L47" s="1">
        <f>IF('Parse of Qs'!B47="Taste/Flavor", 1,
IF('Parse of Qs'!B47="Price", 2,
IF('Parse of Qs'!B47="Energy boost/Caffeine", 3,
IF('Parse of Qs'!B47="Health benefits", 4,
IF('Parse of Qs'!B47 = "Social atmosphere", 5,
IF('Parse of Qs'!B47 ="Routine/Ritual", 6, 
IF('Parse of Qs'!B47 = "Branding/Imagery", 7,
IF('Parse of Qs'!B47 = "Social norms / influence (what people around me usually drink)", 8, 
IF('Parse of Qs'!B47 = "To try new things", 9,
IF('Parse of Qs'!B47 = "Other:", 10, 
IF('Parse of Qs'!B47 = "", 11, "")))))))))))</f>
        <v>3</v>
      </c>
      <c r="M47" s="1">
        <f>IF('Parse of Qs'!C47="At cafés", 1,
IF('Parse of Qs'!C47="At home", 2,
IF('Parse of Qs'!C47="From convenience stores (7-Eleven, Lawson, etc.)", 3,
IF('Parse of Qs'!C47="From vending machines", 4,
IF('Parse of Qs'!C47 = "Other:", 5,
IF('Parse of Qs'!C47 = "", 6, ""))))))</f>
        <v>1</v>
      </c>
      <c r="N47" s="1">
        <f>IF('Parse of Qs'!D47="At cafés", 1,
IF('Parse of Qs'!D47="At home", 2,
IF('Parse of Qs'!D47="From convenience stores (7-Eleven, Lawson, etc.)", 3,
IF('Parse of Qs'!D47="From vending machines", 4,
IF('Parse of Qs'!D47 = "Other:", 5,
IF('Parse of Qs'!D47 = "", 6, ""))))))</f>
        <v>5</v>
      </c>
      <c r="O47" s="1">
        <f>IF('Parse of Qs'!E47="At cafés", 1,
IF('Parse of Qs'!E47="At home", 2,
IF('Parse of Qs'!E47="From convenience stores (7-Eleven, Lawson, etc.)", 3,
IF('Parse of Qs'!E47="From vending machines", 4,
IF('Parse of Qs'!E47 = "Other:", 5,
IF('Parse of Qs'!E47 = "", 6, ""))))))</f>
        <v>6</v>
      </c>
      <c r="P47" s="1">
        <f>IF('Parse of Qs'!F47="At cafés", 1,
IF('Parse of Qs'!F47="At home", 2,
IF('Parse of Qs'!F47="From convenience stores (7-Eleven, Lawson, etc.)", 3,
IF('Parse of Qs'!F47="From vending machines", 4,
IF('Parse of Qs'!F47 = "Other:", 5,
IF('Parse of Qs'!F47 = "", 6, ""))))))</f>
        <v>6</v>
      </c>
      <c r="Q47" s="1">
        <f>IF(OR('Master English Sheet'!R47="Every Day",'Master English Sheet'!R47="Daily"), 1,
IF('Master English Sheet'!R47="Several times a week", 2,
IF('Master English Sheet'!R47="Once a week", 3,
IF('Master English Sheet'!R47="A few times a month", 4,
IF('Master English Sheet'!R47="Rarely", 5,
IF('Master English Sheet'!R47="Never", 6, 
IF('Master English Sheet'!R47 = "", 7, "")))))))</f>
        <v>3</v>
      </c>
      <c r="R47" s="1">
        <f>IF('Master English Sheet'!S47="To relax or take a break", 1,
IF('Master English Sheet'!S47="To meet friends", 2,
IF('Master English Sheet'!S47="To study/work", 3,
IF('Master English Sheet'!S47="To try a new drink", 4,
IF('Master English Sheet'!S47="Out of habit", 5,
IF('Master English Sheet'!S47="Other:", 6, 
IF('Master English Sheet'!S47 = "", 7, "")))))))</f>
        <v>1</v>
      </c>
      <c r="S47" s="1">
        <f>IF('Master English Sheet'!U47="Quality of drinks", 1,
IF('Master English Sheet'!U47="Atmosphere", 2,
IF('Master English Sheet'!U47="Service", 3,
IF('Master English Sheet'!U47="Brand image", 4,
IF('Master English Sheet'!U47="Other:", 5, 
IF('Master English Sheet'!U47 = "", 6, ""))))))</f>
        <v>2</v>
      </c>
      <c r="T47" s="1">
        <f>IF('Master English Sheet'!W47="Yes, Western", 1,
IF('Master English Sheet'!W47="Yes, Global", 2,
IF('Master English Sheet'!W47="Yes,  Japanese", 3,
IF('Master English Sheet'!W47="No", 4,
IF('Master English Sheet'!W47="Unsure", 5, 
IF('Master English Sheet'!W47 = "", 6, ""))))))</f>
        <v>4</v>
      </c>
      <c r="U47" s="1">
        <f>IF('Master English Sheet'!X47="Yes, Western", 1,
IF('Master English Sheet'!X47="Yes, Global", 2,
IF('Master English Sheet'!X47="Yes,  Japanese", 3,
IF('Master English Sheet'!X47="No", 4,
IF('Master English Sheet'!X47="Unsure", 5, 
IF('Master English Sheet'!X47 = "", 6, ""))))))</f>
        <v>3</v>
      </c>
      <c r="V47" s="1">
        <f>'Master English Sheet'!Y47</f>
        <v>7</v>
      </c>
      <c r="W47" s="1">
        <f>'Master English Sheet'!Z47</f>
        <v>7</v>
      </c>
      <c r="X47" s="1">
        <f>'Master English Sheet'!AA47</f>
        <v>7</v>
      </c>
    </row>
    <row r="48">
      <c r="A48" s="6">
        <v>47.0</v>
      </c>
      <c r="B48" s="6">
        <v>1.0</v>
      </c>
      <c r="C48" s="1">
        <f>IF('Master English Sheet'!D48="18-25", 1,
IF('Master English Sheet'!D48="26-35", 2,
IF('Master English Sheet'!D48="36-45", 3,
IF('Master English Sheet'!D48="46-55", 4,
IF('Master English Sheet'!D48="56-65", 5,
IF('Master English Sheet'!D48="65+", 6, ""))))))</f>
        <v>1</v>
      </c>
      <c r="D48" s="1">
        <f>IF('Master English Sheet'!E48="Male", 1,
IF('Master English Sheet'!E48="Female", 2,
IF('Master English Sheet'!E48="Nonbinary", 3,
IF('Master English Sheet'!E48="Prefer not to say", 4, ""))))</f>
        <v>1</v>
      </c>
      <c r="E48" s="1">
        <f>IF('Master English Sheet'!F48="Under ¥3,000,000", 1,
IF('Master English Sheet'!F48="¥3,000,000 – ¥5,999,999", 2,
IF('Master English Sheet'!F48="¥6,000,000 – ¥8,999,999", 3,
IF('Master English Sheet'!F48="¥9,000,000 – ¥11,999,999", 4,
IF('Master English Sheet'!F48 = "¥12,000,000 or more", 5,
IF('Master English Sheet'!F48 = "Prefer not to say", 6, ""))))))</f>
        <v>5</v>
      </c>
      <c r="F48" s="1">
        <f>IF('Master English Sheet'!G48="Hokkaido", 1,
IF('Master English Sheet'!G48="Tohoku", 2,
IF('Master English Sheet'!G48="Kanto", 3,
IF('Master English Sheet'!G48="Chubu", 4,
IF('Master English Sheet'!G48 = "Kansai", 5,
IF('Master English Sheet'!G48 = "Chugoku", 6,
IF('Master English Sheet'!G48 = "Shikoku", 7,
IF('Master English Sheet'!G48 = "Kyushu", 8,
IF('Master English Sheet'!G48 = "Okinawa", 9, 
IF('Master English Sheet'!G48 = "I do not live in Japan", 10, ""))))))))))</f>
        <v>3</v>
      </c>
      <c r="G48" s="1">
        <f>IF('Master English Sheet'!H48="Daily", 1,
IF('Master English Sheet'!H48="Several times a week", 2,
IF('Master English Sheet'!H48="Once a week", 3,
IF('Master English Sheet'!H48 = "Rarely", 4,
IF('Master English Sheet'!H48 = "Never", 5, "")))))</f>
        <v>5</v>
      </c>
      <c r="H48" s="1">
        <f>IF('Master English Sheet'!I48="Pour Over", 1,
IF('Master English Sheet'!I48="Drip", 2,
IF('Master English Sheet'!I48="Latte", 3,
IF('Master English Sheet'!I48="Americano", 4,
IF('Master English Sheet'!I48 = "Cappuccino", 5,
IF('Master English Sheet'!I48 = "Flavored coffee (mocha, vanilla, caramel, etc.)", 6,
IF('Master English Sheet'!I48 = "Cold brew", 7,
IF('Master English Sheet'!I48 = "I don't drink coffee", 8,
IF('Master English Sheet'!I48 = "Other:", 9,
IF('Master English Sheet'!I48 ="", 10, ""))))))))))</f>
        <v>10</v>
      </c>
      <c r="I48" s="1">
        <f>IF('Master English Sheet'!K48="Daily", 1,
IF('Master English Sheet'!K48="Several times a week", 2,
IF('Master English Sheet'!K48="Once a week", 3,
IF('Master English Sheet'!K48 = "Rarely", 4,
IF('Master English Sheet'!K48 = "Never", 5, "")))))</f>
        <v>4</v>
      </c>
      <c r="J48" s="1">
        <f>IF('Master English Sheet'!L48="Usucha", 1,
IF('Master English Sheet'!L48="Koicha", 2,
IF('Master English Sheet'!L48="Matcha Latte", 3,
IF('Master English Sheet'!L48="I don’t drink matcha", 4,
IF('Master English Sheet'!L48 = "Other:", 5,
IF('Master English Sheet'!L48 ="", 6, ""))))))</f>
        <v>1</v>
      </c>
      <c r="K48" s="1">
        <f>IF('Parse of Qs'!A48="Taste/Flavor", 1,
IF('Parse of Qs'!A48="Price", 2,
IF('Parse of Qs'!A48="Energy boost/Caffeine", 3,
IF('Parse of Qs'!A48="Health benefits", 4,
IF('Parse of Qs'!A48 = "Social atmosphere", 5,
IF('Parse of Qs'!A48 ="Routine/Ritual", 6, 
IF('Parse of Qs'!A48 = "Branding/Imagery", 7,
IF('Parse of Qs'!A48 = "Social norms / influence (what people around me usually drink)", 8, 
IF('Parse of Qs'!A48 = "To try new things", 9,
IF('Parse of Qs'!A48 = "Other:", 10, 
IF('Parse of Qs'!A48 = "", 11, "")))))))))))</f>
        <v>1</v>
      </c>
      <c r="L48" s="1">
        <f>IF('Parse of Qs'!B48="Taste/Flavor", 1,
IF('Parse of Qs'!B48="Price", 2,
IF('Parse of Qs'!B48="Energy boost/Caffeine", 3,
IF('Parse of Qs'!B48="Health benefits", 4,
IF('Parse of Qs'!B48 = "Social atmosphere", 5,
IF('Parse of Qs'!B48 ="Routine/Ritual", 6, 
IF('Parse of Qs'!B48 = "Branding/Imagery", 7,
IF('Parse of Qs'!B48 = "Social norms / influence (what people around me usually drink)", 8, 
IF('Parse of Qs'!B48 = "To try new things", 9,
IF('Parse of Qs'!B48 = "Other:", 10, 
IF('Parse of Qs'!B48 = "", 11, "")))))))))))</f>
        <v>4</v>
      </c>
      <c r="M48" s="1">
        <f>IF('Parse of Qs'!C48="At cafés", 1,
IF('Parse of Qs'!C48="At home", 2,
IF('Parse of Qs'!C48="From convenience stores (7-Eleven, Lawson, etc.)", 3,
IF('Parse of Qs'!C48="From vending machines", 4,
IF('Parse of Qs'!C48 = "Other:", 5,
IF('Parse of Qs'!C48 = "", 6, ""))))))</f>
        <v>4</v>
      </c>
      <c r="N48" s="1">
        <f>IF('Parse of Qs'!D48="At cafés", 1,
IF('Parse of Qs'!D48="At home", 2,
IF('Parse of Qs'!D48="From convenience stores (7-Eleven, Lawson, etc.)", 3,
IF('Parse of Qs'!D48="From vending machines", 4,
IF('Parse of Qs'!D48 = "Other:", 5,
IF('Parse of Qs'!D48 = "", 6, ""))))))</f>
        <v>3</v>
      </c>
      <c r="O48" s="1">
        <f>IF('Parse of Qs'!E48="At cafés", 1,
IF('Parse of Qs'!E48="At home", 2,
IF('Parse of Qs'!E48="From convenience stores (7-Eleven, Lawson, etc.)", 3,
IF('Parse of Qs'!E48="From vending machines", 4,
IF('Parse of Qs'!E48 = "Other:", 5,
IF('Parse of Qs'!E48 = "", 6, ""))))))</f>
        <v>6</v>
      </c>
      <c r="P48" s="1">
        <f>IF('Parse of Qs'!F48="At cafés", 1,
IF('Parse of Qs'!F48="At home", 2,
IF('Parse of Qs'!F48="From convenience stores (7-Eleven, Lawson, etc.)", 3,
IF('Parse of Qs'!F48="From vending machines", 4,
IF('Parse of Qs'!F48 = "Other:", 5,
IF('Parse of Qs'!F48 = "", 6, ""))))))</f>
        <v>6</v>
      </c>
      <c r="Q48" s="1">
        <f>IF(OR('Master English Sheet'!R48="Every Day",'Master English Sheet'!R48="Daily"), 1,
IF('Master English Sheet'!R48="Several times a week", 2,
IF('Master English Sheet'!R48="Once a week", 3,
IF('Master English Sheet'!R48="A few times a month", 4,
IF('Master English Sheet'!R48="Rarely", 5,
IF('Master English Sheet'!R48="Never", 6, 
IF('Master English Sheet'!R48 = "", 7, "")))))))</f>
        <v>5</v>
      </c>
      <c r="R48" s="1">
        <f>IF('Master English Sheet'!S48="To relax or take a break", 1,
IF('Master English Sheet'!S48="To meet friends", 2,
IF('Master English Sheet'!S48="To study/work", 3,
IF('Master English Sheet'!S48="To try a new drink", 4,
IF('Master English Sheet'!S48="Out of habit", 5,
IF('Master English Sheet'!S48="Other:", 6, 
IF('Master English Sheet'!S48 = "", 7, "")))))))</f>
        <v>2</v>
      </c>
      <c r="S48" s="1">
        <f>IF('Master English Sheet'!U48="Quality of drinks", 1,
IF('Master English Sheet'!U48="Atmosphere", 2,
IF('Master English Sheet'!U48="Service", 3,
IF('Master English Sheet'!U48="Brand image", 4,
IF('Master English Sheet'!U48="Other:", 5, 
IF('Master English Sheet'!U48 = "", 6, ""))))))</f>
        <v>1</v>
      </c>
      <c r="T48" s="1">
        <f>IF('Master English Sheet'!W48="Yes, Western", 1,
IF('Master English Sheet'!W48="Yes, Global", 2,
IF('Master English Sheet'!W48="Yes,  Japanese", 3,
IF('Master English Sheet'!W48="No", 4,
IF('Master English Sheet'!W48="Unsure", 5, 
IF('Master English Sheet'!W48 = "", 6, ""))))))</f>
        <v>1</v>
      </c>
      <c r="U48" s="1">
        <f>IF('Master English Sheet'!X48="Yes, Western", 1,
IF('Master English Sheet'!X48="Yes, Global", 2,
IF('Master English Sheet'!X48="Yes,  Japanese", 3,
IF('Master English Sheet'!X48="No", 4,
IF('Master English Sheet'!X48="Unsure", 5, 
IF('Master English Sheet'!X48 = "", 6, ""))))))</f>
        <v>3</v>
      </c>
      <c r="V48" s="1">
        <f>'Master English Sheet'!Y48</f>
        <v>4</v>
      </c>
      <c r="W48" s="1">
        <f>'Master English Sheet'!Z48</f>
        <v>6</v>
      </c>
      <c r="X48" s="1">
        <f>'Master English Sheet'!AA48</f>
        <v>4</v>
      </c>
    </row>
    <row r="49">
      <c r="A49" s="6">
        <v>48.0</v>
      </c>
      <c r="B49" s="6">
        <v>1.0</v>
      </c>
      <c r="C49" s="1">
        <f>IF('Master English Sheet'!D49="18-25", 1,
IF('Master English Sheet'!D49="26-35", 2,
IF('Master English Sheet'!D49="36-45", 3,
IF('Master English Sheet'!D49="46-55", 4,
IF('Master English Sheet'!D49="56-65", 5,
IF('Master English Sheet'!D49="65+", 6, ""))))))</f>
        <v>2</v>
      </c>
      <c r="D49" s="1">
        <f>IF('Master English Sheet'!E49="Male", 1,
IF('Master English Sheet'!E49="Female", 2,
IF('Master English Sheet'!E49="Nonbinary", 3,
IF('Master English Sheet'!E49="Prefer not to say", 4, ""))))</f>
        <v>2</v>
      </c>
      <c r="E49" s="1">
        <f>IF('Master English Sheet'!F49="Under ¥3,000,000", 1,
IF('Master English Sheet'!F49="¥3,000,000 – ¥5,999,999", 2,
IF('Master English Sheet'!F49="¥6,000,000 – ¥8,999,999", 3,
IF('Master English Sheet'!F49="¥9,000,000 – ¥11,999,999", 4,
IF('Master English Sheet'!F49 = "¥12,000,000 or more", 5,
IF('Master English Sheet'!F49 = "Prefer not to say", 6, ""))))))</f>
        <v>1</v>
      </c>
      <c r="F49" s="1">
        <f>IF('Master English Sheet'!G49="Hokkaido", 1,
IF('Master English Sheet'!G49="Tohoku", 2,
IF('Master English Sheet'!G49="Kanto", 3,
IF('Master English Sheet'!G49="Chubu", 4,
IF('Master English Sheet'!G49 = "Kansai", 5,
IF('Master English Sheet'!G49 = "Chugoku", 6,
IF('Master English Sheet'!G49 = "Shikoku", 7,
IF('Master English Sheet'!G49 = "Kyushu", 8,
IF('Master English Sheet'!G49 = "Okinawa", 9, 
IF('Master English Sheet'!G49 = "I do not live in Japan", 10, ""))))))))))</f>
        <v>3</v>
      </c>
      <c r="G49" s="1">
        <f>IF('Master English Sheet'!H49="Daily", 1,
IF('Master English Sheet'!H49="Several times a week", 2,
IF('Master English Sheet'!H49="Once a week", 3,
IF('Master English Sheet'!H49 = "Rarely", 4,
IF('Master English Sheet'!H49 = "Never", 5, "")))))</f>
        <v>2</v>
      </c>
      <c r="H49" s="1">
        <f>IF('Master English Sheet'!I49="Pour Over", 1,
IF('Master English Sheet'!I49="Drip", 2,
IF('Master English Sheet'!I49="Latte", 3,
IF('Master English Sheet'!I49="Americano", 4,
IF('Master English Sheet'!I49 = "Cappuccino", 5,
IF('Master English Sheet'!I49 = "Flavored coffee (mocha, vanilla, caramel, etc.)", 6,
IF('Master English Sheet'!I49 = "Cold brew", 7,
IF('Master English Sheet'!I49 = "I don't drink coffee", 8,
IF('Master English Sheet'!I49 = "Other:", 9,
IF('Master English Sheet'!I49 ="", 10, ""))))))))))</f>
        <v>2</v>
      </c>
      <c r="I49" s="1">
        <f>IF('Master English Sheet'!K49="Daily", 1,
IF('Master English Sheet'!K49="Several times a week", 2,
IF('Master English Sheet'!K49="Once a week", 3,
IF('Master English Sheet'!K49 = "Rarely", 4,
IF('Master English Sheet'!K49 = "Never", 5, "")))))</f>
        <v>2</v>
      </c>
      <c r="J49" s="1">
        <f>IF('Master English Sheet'!L49="Usucha", 1,
IF('Master English Sheet'!L49="Koicha", 2,
IF('Master English Sheet'!L49="Matcha Latte", 3,
IF('Master English Sheet'!L49="I don’t drink matcha", 4,
IF('Master English Sheet'!L49 = "Other:", 5,
IF('Master English Sheet'!L49 ="", 6, ""))))))</f>
        <v>1</v>
      </c>
      <c r="K49" s="1">
        <f>IF('Parse of Qs'!A49="Taste/Flavor", 1,
IF('Parse of Qs'!A49="Price", 2,
IF('Parse of Qs'!A49="Energy boost/Caffeine", 3,
IF('Parse of Qs'!A49="Health benefits", 4,
IF('Parse of Qs'!A49 = "Social atmosphere", 5,
IF('Parse of Qs'!A49 ="Routine/Ritual", 6, 
IF('Parse of Qs'!A49 = "Branding/Imagery", 7,
IF('Parse of Qs'!A49 = "Social norms / influence (what people around me usually drink)", 8, 
IF('Parse of Qs'!A49 = "To try new things", 9,
IF('Parse of Qs'!A49 = "Other:", 10, 
IF('Parse of Qs'!A49 = "", 11, "")))))))))))</f>
        <v>2</v>
      </c>
      <c r="L49" s="1">
        <f>IF('Parse of Qs'!B49="Taste/Flavor", 1,
IF('Parse of Qs'!B49="Price", 2,
IF('Parse of Qs'!B49="Energy boost/Caffeine", 3,
IF('Parse of Qs'!B49="Health benefits", 4,
IF('Parse of Qs'!B49 = "Social atmosphere", 5,
IF('Parse of Qs'!B49 ="Routine/Ritual", 6, 
IF('Parse of Qs'!B49 = "Branding/Imagery", 7,
IF('Parse of Qs'!B49 = "Social norms / influence (what people around me usually drink)", 8, 
IF('Parse of Qs'!B49 = "To try new things", 9,
IF('Parse of Qs'!B49 = "Other:", 10, 
IF('Parse of Qs'!B49 = "", 11, "")))))))))))</f>
        <v>1</v>
      </c>
      <c r="M49" s="1">
        <f>IF('Parse of Qs'!C49="At cafés", 1,
IF('Parse of Qs'!C49="At home", 2,
IF('Parse of Qs'!C49="From convenience stores (7-Eleven, Lawson, etc.)", 3,
IF('Parse of Qs'!C49="From vending machines", 4,
IF('Parse of Qs'!C49 = "Other:", 5,
IF('Parse of Qs'!C49 = "", 6, ""))))))</f>
        <v>2</v>
      </c>
      <c r="N49" s="1">
        <f>IF('Parse of Qs'!D49="At cafés", 1,
IF('Parse of Qs'!D49="At home", 2,
IF('Parse of Qs'!D49="From convenience stores (7-Eleven, Lawson, etc.)", 3,
IF('Parse of Qs'!D49="From vending machines", 4,
IF('Parse of Qs'!D49 = "Other:", 5,
IF('Parse of Qs'!D49 = "", 6, ""))))))</f>
        <v>6</v>
      </c>
      <c r="O49" s="1">
        <f>IF('Parse of Qs'!E49="At cafés", 1,
IF('Parse of Qs'!E49="At home", 2,
IF('Parse of Qs'!E49="From convenience stores (7-Eleven, Lawson, etc.)", 3,
IF('Parse of Qs'!E49="From vending machines", 4,
IF('Parse of Qs'!E49 = "Other:", 5,
IF('Parse of Qs'!E49 = "", 6, ""))))))</f>
        <v>6</v>
      </c>
      <c r="P49" s="1">
        <f>IF('Parse of Qs'!F49="At cafés", 1,
IF('Parse of Qs'!F49="At home", 2,
IF('Parse of Qs'!F49="From convenience stores (7-Eleven, Lawson, etc.)", 3,
IF('Parse of Qs'!F49="From vending machines", 4,
IF('Parse of Qs'!F49 = "Other:", 5,
IF('Parse of Qs'!F49 = "", 6, ""))))))</f>
        <v>6</v>
      </c>
      <c r="Q49" s="1">
        <f>IF(OR('Master English Sheet'!R49="Every Day",'Master English Sheet'!R49="Daily"), 1,
IF('Master English Sheet'!R49="Several times a week", 2,
IF('Master English Sheet'!R49="Once a week", 3,
IF('Master English Sheet'!R49="A few times a month", 4,
IF('Master English Sheet'!R49="Rarely", 5,
IF('Master English Sheet'!R49="Never", 6, 
IF('Master English Sheet'!R49 = "", 7, "")))))))</f>
        <v>2</v>
      </c>
      <c r="R49" s="1">
        <f>IF('Master English Sheet'!S49="To relax or take a break", 1,
IF('Master English Sheet'!S49="To meet friends", 2,
IF('Master English Sheet'!S49="To study/work", 3,
IF('Master English Sheet'!S49="To try a new drink", 4,
IF('Master English Sheet'!S49="Out of habit", 5,
IF('Master English Sheet'!S49="Other:", 6, 
IF('Master English Sheet'!S49 = "", 7, "")))))))</f>
        <v>2</v>
      </c>
      <c r="S49" s="1">
        <f>IF('Master English Sheet'!U49="Quality of drinks", 1,
IF('Master English Sheet'!U49="Atmosphere", 2,
IF('Master English Sheet'!U49="Service", 3,
IF('Master English Sheet'!U49="Brand image", 4,
IF('Master English Sheet'!U49="Other:", 5, 
IF('Master English Sheet'!U49 = "", 6, ""))))))</f>
        <v>2</v>
      </c>
      <c r="T49" s="1">
        <f>IF('Master English Sheet'!W49="Yes, Western", 1,
IF('Master English Sheet'!W49="Yes, Global", 2,
IF('Master English Sheet'!W49="Yes,  Japanese", 3,
IF('Master English Sheet'!W49="No", 4,
IF('Master English Sheet'!W49="Unsure", 5, 
IF('Master English Sheet'!W49 = "", 6, ""))))))</f>
        <v>1</v>
      </c>
      <c r="U49" s="1">
        <f>IF('Master English Sheet'!X49="Yes, Western", 1,
IF('Master English Sheet'!X49="Yes, Global", 2,
IF('Master English Sheet'!X49="Yes,  Japanese", 3,
IF('Master English Sheet'!X49="No", 4,
IF('Master English Sheet'!X49="Unsure", 5, 
IF('Master English Sheet'!X49 = "", 6, ""))))))</f>
        <v>3</v>
      </c>
      <c r="V49" s="1">
        <f>'Master English Sheet'!Y49</f>
        <v>3</v>
      </c>
      <c r="W49" s="1">
        <f>'Master English Sheet'!Z49</f>
        <v>6</v>
      </c>
      <c r="X49" s="1">
        <f>'Master English Sheet'!AA49</f>
        <v>5</v>
      </c>
    </row>
    <row r="50">
      <c r="A50" s="6">
        <v>49.0</v>
      </c>
      <c r="B50" s="6">
        <v>1.0</v>
      </c>
      <c r="C50" s="1">
        <f>IF('Master English Sheet'!D50="18-25", 1,
IF('Master English Sheet'!D50="26-35", 2,
IF('Master English Sheet'!D50="36-45", 3,
IF('Master English Sheet'!D50="46-55", 4,
IF('Master English Sheet'!D50="56-65", 5,
IF('Master English Sheet'!D50="65+", 6, ""))))))</f>
        <v>1</v>
      </c>
      <c r="D50" s="1">
        <f>IF('Master English Sheet'!E50="Male", 1,
IF('Master English Sheet'!E50="Female", 2,
IF('Master English Sheet'!E50="Nonbinary", 3,
IF('Master English Sheet'!E50="Prefer not to say", 4, ""))))</f>
        <v>1</v>
      </c>
      <c r="E50" s="1">
        <f>IF('Master English Sheet'!F50="Under ¥3,000,000", 1,
IF('Master English Sheet'!F50="¥3,000,000 – ¥5,999,999", 2,
IF('Master English Sheet'!F50="¥6,000,000 – ¥8,999,999", 3,
IF('Master English Sheet'!F50="¥9,000,000 – ¥11,999,999", 4,
IF('Master English Sheet'!F50 = "¥12,000,000 or more", 5,
IF('Master English Sheet'!F50 = "Prefer not to say", 6, ""))))))</f>
        <v>3</v>
      </c>
      <c r="F50" s="1">
        <f>IF('Master English Sheet'!G50="Hokkaido", 1,
IF('Master English Sheet'!G50="Tohoku", 2,
IF('Master English Sheet'!G50="Kanto", 3,
IF('Master English Sheet'!G50="Chubu", 4,
IF('Master English Sheet'!G50 = "Kansai", 5,
IF('Master English Sheet'!G50 = "Chugoku", 6,
IF('Master English Sheet'!G50 = "Shikoku", 7,
IF('Master English Sheet'!G50 = "Kyushu", 8,
IF('Master English Sheet'!G50 = "Okinawa", 9, 
IF('Master English Sheet'!G50 = "I do not live in Japan", 10, ""))))))))))</f>
        <v>3</v>
      </c>
      <c r="G50" s="1">
        <f>IF('Master English Sheet'!H50="Daily", 1,
IF('Master English Sheet'!H50="Several times a week", 2,
IF('Master English Sheet'!H50="Once a week", 3,
IF('Master English Sheet'!H50 = "Rarely", 4,
IF('Master English Sheet'!H50 = "Never", 5, "")))))</f>
        <v>1</v>
      </c>
      <c r="H50" s="1">
        <f>IF('Master English Sheet'!I50="Pour Over", 1,
IF('Master English Sheet'!I50="Drip", 2,
IF('Master English Sheet'!I50="Latte", 3,
IF('Master English Sheet'!I50="Americano", 4,
IF('Master English Sheet'!I50 = "Cappuccino", 5,
IF('Master English Sheet'!I50 = "Flavored coffee (mocha, vanilla, caramel, etc.)", 6,
IF('Master English Sheet'!I50 = "Cold brew", 7,
IF('Master English Sheet'!I50 = "I don't drink coffee", 8,
IF('Master English Sheet'!I50 = "Other:", 9,
IF('Master English Sheet'!I50 ="", 10, ""))))))))))</f>
        <v>2</v>
      </c>
      <c r="I50" s="1">
        <f>IF('Master English Sheet'!K50="Daily", 1,
IF('Master English Sheet'!K50="Several times a week", 2,
IF('Master English Sheet'!K50="Once a week", 3,
IF('Master English Sheet'!K50 = "Rarely", 4,
IF('Master English Sheet'!K50 = "Never", 5, "")))))</f>
        <v>1</v>
      </c>
      <c r="J50" s="1">
        <f>IF('Master English Sheet'!L50="Usucha", 1,
IF('Master English Sheet'!L50="Koicha", 2,
IF('Master English Sheet'!L50="Matcha Latte", 3,
IF('Master English Sheet'!L50="I don’t drink matcha", 4,
IF('Master English Sheet'!L50 = "Other:", 5,
IF('Master English Sheet'!L50 ="", 6, ""))))))</f>
        <v>2</v>
      </c>
      <c r="K50" s="1">
        <f>IF('Parse of Qs'!A50="Taste/Flavor", 1,
IF('Parse of Qs'!A50="Price", 2,
IF('Parse of Qs'!A50="Energy boost/Caffeine", 3,
IF('Parse of Qs'!A50="Health benefits", 4,
IF('Parse of Qs'!A50 = "Social atmosphere", 5,
IF('Parse of Qs'!A50 ="Routine/Ritual", 6, 
IF('Parse of Qs'!A50 = "Branding/Imagery", 7,
IF('Parse of Qs'!A50 = "Social norms / influence (what people around me usually drink)", 8, 
IF('Parse of Qs'!A50 = "To try new things", 9,
IF('Parse of Qs'!A50 = "Other:", 10, 
IF('Parse of Qs'!A50 = "", 11, "")))))))))))</f>
        <v>1</v>
      </c>
      <c r="L50" s="1">
        <f>IF('Parse of Qs'!B50="Taste/Flavor", 1,
IF('Parse of Qs'!B50="Price", 2,
IF('Parse of Qs'!B50="Energy boost/Caffeine", 3,
IF('Parse of Qs'!B50="Health benefits", 4,
IF('Parse of Qs'!B50 = "Social atmosphere", 5,
IF('Parse of Qs'!B50 ="Routine/Ritual", 6, 
IF('Parse of Qs'!B50 = "Branding/Imagery", 7,
IF('Parse of Qs'!B50 = "Social norms / influence (what people around me usually drink)", 8, 
IF('Parse of Qs'!B50 = "To try new things", 9,
IF('Parse of Qs'!B50 = "Other:", 10, 
IF('Parse of Qs'!B50 = "", 11, "")))))))))))</f>
        <v>3</v>
      </c>
      <c r="M50" s="1">
        <f>IF('Parse of Qs'!C50="At cafés", 1,
IF('Parse of Qs'!C50="At home", 2,
IF('Parse of Qs'!C50="From convenience stores (7-Eleven, Lawson, etc.)", 3,
IF('Parse of Qs'!C50="From vending machines", 4,
IF('Parse of Qs'!C50 = "Other:", 5,
IF('Parse of Qs'!C50 = "", 6, ""))))))</f>
        <v>1</v>
      </c>
      <c r="N50" s="1">
        <f>IF('Parse of Qs'!D50="At cafés", 1,
IF('Parse of Qs'!D50="At home", 2,
IF('Parse of Qs'!D50="From convenience stores (7-Eleven, Lawson, etc.)", 3,
IF('Parse of Qs'!D50="From vending machines", 4,
IF('Parse of Qs'!D50 = "Other:", 5,
IF('Parse of Qs'!D50 = "", 6, ""))))))</f>
        <v>2</v>
      </c>
      <c r="O50" s="1">
        <f>IF('Parse of Qs'!E50="At cafés", 1,
IF('Parse of Qs'!E50="At home", 2,
IF('Parse of Qs'!E50="From convenience stores (7-Eleven, Lawson, etc.)", 3,
IF('Parse of Qs'!E50="From vending machines", 4,
IF('Parse of Qs'!E50 = "Other:", 5,
IF('Parse of Qs'!E50 = "", 6, ""))))))</f>
        <v>6</v>
      </c>
      <c r="P50" s="1">
        <f>IF('Parse of Qs'!F50="At cafés", 1,
IF('Parse of Qs'!F50="At home", 2,
IF('Parse of Qs'!F50="From convenience stores (7-Eleven, Lawson, etc.)", 3,
IF('Parse of Qs'!F50="From vending machines", 4,
IF('Parse of Qs'!F50 = "Other:", 5,
IF('Parse of Qs'!F50 = "", 6, ""))))))</f>
        <v>6</v>
      </c>
      <c r="Q50" s="1">
        <f>IF(OR('Master English Sheet'!R50="Every Day",'Master English Sheet'!R50="Daily"), 1,
IF('Master English Sheet'!R50="Several times a week", 2,
IF('Master English Sheet'!R50="Once a week", 3,
IF('Master English Sheet'!R50="A few times a month", 4,
IF('Master English Sheet'!R50="Rarely", 5,
IF('Master English Sheet'!R50="Never", 6, 
IF('Master English Sheet'!R50 = "", 7, "")))))))</f>
        <v>2</v>
      </c>
      <c r="R50" s="1">
        <f>IF('Master English Sheet'!S50="To relax or take a break", 1,
IF('Master English Sheet'!S50="To meet friends", 2,
IF('Master English Sheet'!S50="To study/work", 3,
IF('Master English Sheet'!S50="To try a new drink", 4,
IF('Master English Sheet'!S50="Out of habit", 5,
IF('Master English Sheet'!S50="Other:", 6, 
IF('Master English Sheet'!S50 = "", 7, "")))))))</f>
        <v>4</v>
      </c>
      <c r="S50" s="1">
        <f>IF('Master English Sheet'!U50="Quality of drinks", 1,
IF('Master English Sheet'!U50="Atmosphere", 2,
IF('Master English Sheet'!U50="Service", 3,
IF('Master English Sheet'!U50="Brand image", 4,
IF('Master English Sheet'!U50="Other:", 5, 
IF('Master English Sheet'!U50 = "", 6, ""))))))</f>
        <v>1</v>
      </c>
      <c r="T50" s="1">
        <f>IF('Master English Sheet'!W50="Yes, Western", 1,
IF('Master English Sheet'!W50="Yes, Global", 2,
IF('Master English Sheet'!W50="Yes,  Japanese", 3,
IF('Master English Sheet'!W50="No", 4,
IF('Master English Sheet'!W50="Unsure", 5, 
IF('Master English Sheet'!W50 = "", 6, ""))))))</f>
        <v>2</v>
      </c>
      <c r="U50" s="1">
        <f>IF('Master English Sheet'!X50="Yes, Western", 1,
IF('Master English Sheet'!X50="Yes, Global", 2,
IF('Master English Sheet'!X50="Yes,  Japanese", 3,
IF('Master English Sheet'!X50="No", 4,
IF('Master English Sheet'!X50="Unsure", 5, 
IF('Master English Sheet'!X50 = "", 6, ""))))))</f>
        <v>3</v>
      </c>
      <c r="V50" s="1">
        <f>'Master English Sheet'!Y50</f>
        <v>3</v>
      </c>
      <c r="W50" s="1">
        <f>'Master English Sheet'!Z50</f>
        <v>4</v>
      </c>
      <c r="X50" s="1">
        <f>'Master English Sheet'!AA50</f>
        <v>3</v>
      </c>
    </row>
    <row r="51">
      <c r="A51" s="6">
        <v>50.0</v>
      </c>
      <c r="B51" s="6">
        <v>1.0</v>
      </c>
      <c r="C51" s="1">
        <f>IF('Master English Sheet'!D51="18-25", 1,
IF('Master English Sheet'!D51="26-35", 2,
IF('Master English Sheet'!D51="36-45", 3,
IF('Master English Sheet'!D51="46-55", 4,
IF('Master English Sheet'!D51="56-65", 5,
IF('Master English Sheet'!D51="65+", 6, ""))))))</f>
        <v>3</v>
      </c>
      <c r="D51" s="1">
        <f>IF('Master English Sheet'!E51="Male", 1,
IF('Master English Sheet'!E51="Female", 2,
IF('Master English Sheet'!E51="Nonbinary", 3,
IF('Master English Sheet'!E51="Prefer not to say", 4, ""))))</f>
        <v>1</v>
      </c>
      <c r="E51" s="1">
        <f>IF('Master English Sheet'!F51="Under ¥3,000,000", 1,
IF('Master English Sheet'!F51="¥3,000,000 – ¥5,999,999", 2,
IF('Master English Sheet'!F51="¥6,000,000 – ¥8,999,999", 3,
IF('Master English Sheet'!F51="¥9,000,000 – ¥11,999,999", 4,
IF('Master English Sheet'!F51 = "¥12,000,000 or more", 5,
IF('Master English Sheet'!F51 = "Prefer not to say", 6, ""))))))</f>
        <v>6</v>
      </c>
      <c r="F51" s="1">
        <f>IF('Master English Sheet'!G51="Hokkaido", 1,
IF('Master English Sheet'!G51="Tohoku", 2,
IF('Master English Sheet'!G51="Kanto", 3,
IF('Master English Sheet'!G51="Chubu", 4,
IF('Master English Sheet'!G51 = "Kansai", 5,
IF('Master English Sheet'!G51 = "Chugoku", 6,
IF('Master English Sheet'!G51 = "Shikoku", 7,
IF('Master English Sheet'!G51 = "Kyushu", 8,
IF('Master English Sheet'!G51 = "Okinawa", 9, 
IF('Master English Sheet'!G51 = "I do not live in Japan", 10, ""))))))))))</f>
        <v>3</v>
      </c>
      <c r="G51" s="1">
        <f>IF('Master English Sheet'!H51="Daily", 1,
IF('Master English Sheet'!H51="Several times a week", 2,
IF('Master English Sheet'!H51="Once a week", 3,
IF('Master English Sheet'!H51 = "Rarely", 4,
IF('Master English Sheet'!H51 = "Never", 5, "")))))</f>
        <v>1</v>
      </c>
      <c r="H51" s="1">
        <f>IF('Master English Sheet'!I51="Pour Over", 1,
IF('Master English Sheet'!I51="Drip", 2,
IF('Master English Sheet'!I51="Latte", 3,
IF('Master English Sheet'!I51="Americano", 4,
IF('Master English Sheet'!I51 = "Cappuccino", 5,
IF('Master English Sheet'!I51 = "Flavored coffee (mocha, vanilla, caramel, etc.)", 6,
IF('Master English Sheet'!I51 = "Cold brew", 7,
IF('Master English Sheet'!I51 = "I don't drink coffee", 8,
IF('Master English Sheet'!I51 = "Other:", 9,
IF('Master English Sheet'!I51 ="", 10, ""))))))))))</f>
        <v>1</v>
      </c>
      <c r="I51" s="1">
        <f>IF('Master English Sheet'!K51="Daily", 1,
IF('Master English Sheet'!K51="Several times a week", 2,
IF('Master English Sheet'!K51="Once a week", 3,
IF('Master English Sheet'!K51 = "Rarely", 4,
IF('Master English Sheet'!K51 = "Never", 5, "")))))</f>
        <v>2</v>
      </c>
      <c r="J51" s="1">
        <f>IF('Master English Sheet'!L51="Usucha", 1,
IF('Master English Sheet'!L51="Koicha", 2,
IF('Master English Sheet'!L51="Matcha Latte", 3,
IF('Master English Sheet'!L51="I don’t drink matcha", 4,
IF('Master English Sheet'!L51 = "Other:", 5,
IF('Master English Sheet'!L51 ="", 6, ""))))))</f>
        <v>1</v>
      </c>
      <c r="K51" s="1">
        <f>IF('Parse of Qs'!A51="Taste/Flavor", 1,
IF('Parse of Qs'!A51="Price", 2,
IF('Parse of Qs'!A51="Energy boost/Caffeine", 3,
IF('Parse of Qs'!A51="Health benefits", 4,
IF('Parse of Qs'!A51 = "Social atmosphere", 5,
IF('Parse of Qs'!A51 ="Routine/Ritual", 6, 
IF('Parse of Qs'!A51 = "Branding/Imagery", 7,
IF('Parse of Qs'!A51 = "Social norms / influence (what people around me usually drink)", 8, 
IF('Parse of Qs'!A51 = "To try new things", 9,
IF('Parse of Qs'!A51 = "Other:", 10, 
IF('Parse of Qs'!A51 = "", 11, "")))))))))))</f>
        <v>1</v>
      </c>
      <c r="L51" s="1">
        <f>IF('Parse of Qs'!B51="Taste/Flavor", 1,
IF('Parse of Qs'!B51="Price", 2,
IF('Parse of Qs'!B51="Energy boost/Caffeine", 3,
IF('Parse of Qs'!B51="Health benefits", 4,
IF('Parse of Qs'!B51 = "Social atmosphere", 5,
IF('Parse of Qs'!B51 ="Routine/Ritual", 6, 
IF('Parse of Qs'!B51 = "Branding/Imagery", 7,
IF('Parse of Qs'!B51 = "Social norms / influence (what people around me usually drink)", 8, 
IF('Parse of Qs'!B51 = "To try new things", 9,
IF('Parse of Qs'!B51 = "Other:", 10, 
IF('Parse of Qs'!B51 = "", 11, "")))))))))))</f>
        <v>11</v>
      </c>
      <c r="M51" s="1">
        <f>IF('Parse of Qs'!C51="At cafés", 1,
IF('Parse of Qs'!C51="At home", 2,
IF('Parse of Qs'!C51="From convenience stores (7-Eleven, Lawson, etc.)", 3,
IF('Parse of Qs'!C51="From vending machines", 4,
IF('Parse of Qs'!C51 = "Other:", 5,
IF('Parse of Qs'!C51 = "", 6, ""))))))</f>
        <v>1</v>
      </c>
      <c r="N51" s="1">
        <f>IF('Parse of Qs'!D51="At cafés", 1,
IF('Parse of Qs'!D51="At home", 2,
IF('Parse of Qs'!D51="From convenience stores (7-Eleven, Lawson, etc.)", 3,
IF('Parse of Qs'!D51="From vending machines", 4,
IF('Parse of Qs'!D51 = "Other:", 5,
IF('Parse of Qs'!D51 = "", 6, ""))))))</f>
        <v>6</v>
      </c>
      <c r="O51" s="1">
        <f>IF('Parse of Qs'!E51="At cafés", 1,
IF('Parse of Qs'!E51="At home", 2,
IF('Parse of Qs'!E51="From convenience stores (7-Eleven, Lawson, etc.)", 3,
IF('Parse of Qs'!E51="From vending machines", 4,
IF('Parse of Qs'!E51 = "Other:", 5,
IF('Parse of Qs'!E51 = "", 6, ""))))))</f>
        <v>6</v>
      </c>
      <c r="P51" s="1">
        <f>IF('Parse of Qs'!F51="At cafés", 1,
IF('Parse of Qs'!F51="At home", 2,
IF('Parse of Qs'!F51="From convenience stores (7-Eleven, Lawson, etc.)", 3,
IF('Parse of Qs'!F51="From vending machines", 4,
IF('Parse of Qs'!F51 = "Other:", 5,
IF('Parse of Qs'!F51 = "", 6, ""))))))</f>
        <v>6</v>
      </c>
      <c r="Q51" s="1">
        <f>IF(OR('Master English Sheet'!R51="Every Day",'Master English Sheet'!R51="Daily"), 1,
IF('Master English Sheet'!R51="Several times a week", 2,
IF('Master English Sheet'!R51="Once a week", 3,
IF('Master English Sheet'!R51="A few times a month", 4,
IF('Master English Sheet'!R51="Rarely", 5,
IF('Master English Sheet'!R51="Never", 6, 
IF('Master English Sheet'!R51 = "", 7, "")))))))</f>
        <v>2</v>
      </c>
      <c r="R51" s="1">
        <f>IF('Master English Sheet'!S51="To relax or take a break", 1,
IF('Master English Sheet'!S51="To meet friends", 2,
IF('Master English Sheet'!S51="To study/work", 3,
IF('Master English Sheet'!S51="To try a new drink", 4,
IF('Master English Sheet'!S51="Out of habit", 5,
IF('Master English Sheet'!S51="Other:", 6, 
IF('Master English Sheet'!S51 = "", 7, "")))))))</f>
        <v>6</v>
      </c>
      <c r="S51" s="1">
        <f>IF('Master English Sheet'!U51="Quality of drinks", 1,
IF('Master English Sheet'!U51="Atmosphere", 2,
IF('Master English Sheet'!U51="Service", 3,
IF('Master English Sheet'!U51="Brand image", 4,
IF('Master English Sheet'!U51="Other:", 5, 
IF('Master English Sheet'!U51 = "", 6, ""))))))</f>
        <v>5</v>
      </c>
      <c r="T51" s="1">
        <f>IF('Master English Sheet'!W51="Yes, Western", 1,
IF('Master English Sheet'!W51="Yes, Global", 2,
IF('Master English Sheet'!W51="Yes,  Japanese", 3,
IF('Master English Sheet'!W51="No", 4,
IF('Master English Sheet'!W51="Unsure", 5, 
IF('Master English Sheet'!W51 = "", 6, ""))))))</f>
        <v>2</v>
      </c>
      <c r="U51" s="1">
        <f>IF('Master English Sheet'!X51="Yes, Western", 1,
IF('Master English Sheet'!X51="Yes, Global", 2,
IF('Master English Sheet'!X51="Yes,  Japanese", 3,
IF('Master English Sheet'!X51="No", 4,
IF('Master English Sheet'!X51="Unsure", 5, 
IF('Master English Sheet'!X51 = "", 6, ""))))))</f>
        <v>2</v>
      </c>
      <c r="V51" s="1">
        <f>'Master English Sheet'!Y51</f>
        <v>7</v>
      </c>
      <c r="W51" s="1">
        <f>'Master English Sheet'!Z51</f>
        <v>7</v>
      </c>
      <c r="X51" s="1">
        <f>'Master English Sheet'!AA51</f>
        <v>7</v>
      </c>
    </row>
    <row r="52">
      <c r="A52" s="6">
        <v>51.0</v>
      </c>
      <c r="B52" s="6">
        <v>1.0</v>
      </c>
      <c r="C52" s="1">
        <f>IF('Master English Sheet'!D52="18-25", 1,
IF('Master English Sheet'!D52="26-35", 2,
IF('Master English Sheet'!D52="36-45", 3,
IF('Master English Sheet'!D52="46-55", 4,
IF('Master English Sheet'!D52="56-65", 5,
IF('Master English Sheet'!D52="65+", 6, ""))))))</f>
        <v>1</v>
      </c>
      <c r="D52" s="1">
        <f>IF('Master English Sheet'!E52="Male", 1,
IF('Master English Sheet'!E52="Female", 2,
IF('Master English Sheet'!E52="Nonbinary", 3,
IF('Master English Sheet'!E52="Prefer not to say", 4, ""))))</f>
        <v>2</v>
      </c>
      <c r="E52" s="1">
        <f>IF('Master English Sheet'!F52="Under ¥3,000,000", 1,
IF('Master English Sheet'!F52="¥3,000,000 – ¥5,999,999", 2,
IF('Master English Sheet'!F52="¥6,000,000 – ¥8,999,999", 3,
IF('Master English Sheet'!F52="¥9,000,000 – ¥11,999,999", 4,
IF('Master English Sheet'!F52 = "¥12,000,000 or more", 5,
IF('Master English Sheet'!F52 = "Prefer not to say", 6, ""))))))</f>
        <v>6</v>
      </c>
      <c r="F52" s="1">
        <f>IF('Master English Sheet'!G52="Hokkaido", 1,
IF('Master English Sheet'!G52="Tohoku", 2,
IF('Master English Sheet'!G52="Kanto", 3,
IF('Master English Sheet'!G52="Chubu", 4,
IF('Master English Sheet'!G52 = "Kansai", 5,
IF('Master English Sheet'!G52 = "Chugoku", 6,
IF('Master English Sheet'!G52 = "Shikoku", 7,
IF('Master English Sheet'!G52 = "Kyushu", 8,
IF('Master English Sheet'!G52 = "Okinawa", 9, 
IF('Master English Sheet'!G52 = "I do not live in Japan", 10, ""))))))))))</f>
        <v>3</v>
      </c>
      <c r="G52" s="1">
        <f>IF('Master English Sheet'!H52="Daily", 1,
IF('Master English Sheet'!H52="Several times a week", 2,
IF('Master English Sheet'!H52="Once a week", 3,
IF('Master English Sheet'!H52 = "Rarely", 4,
IF('Master English Sheet'!H52 = "Never", 5, "")))))</f>
        <v>1</v>
      </c>
      <c r="H52" s="1">
        <f>IF('Master English Sheet'!I52="Pour Over", 1,
IF('Master English Sheet'!I52="Drip", 2,
IF('Master English Sheet'!I52="Latte", 3,
IF('Master English Sheet'!I52="Americano", 4,
IF('Master English Sheet'!I52 = "Cappuccino", 5,
IF('Master English Sheet'!I52 = "Flavored coffee (mocha, vanilla, caramel, etc.)", 6,
IF('Master English Sheet'!I52 = "Cold brew", 7,
IF('Master English Sheet'!I52 = "I don't drink coffee", 8,
IF('Master English Sheet'!I52 = "Other:", 9,
IF('Master English Sheet'!I52 ="", 10, ""))))))))))</f>
        <v>2</v>
      </c>
      <c r="I52" s="1">
        <f>IF('Master English Sheet'!K52="Daily", 1,
IF('Master English Sheet'!K52="Several times a week", 2,
IF('Master English Sheet'!K52="Once a week", 3,
IF('Master English Sheet'!K52 = "Rarely", 4,
IF('Master English Sheet'!K52 = "Never", 5, "")))))</f>
        <v>2</v>
      </c>
      <c r="J52" s="1">
        <f>IF('Master English Sheet'!L52="Usucha", 1,
IF('Master English Sheet'!L52="Koicha", 2,
IF('Master English Sheet'!L52="Matcha Latte", 3,
IF('Master English Sheet'!L52="I don’t drink matcha", 4,
IF('Master English Sheet'!L52 = "Other:", 5,
IF('Master English Sheet'!L52 ="", 6, ""))))))</f>
        <v>3</v>
      </c>
      <c r="K52" s="1">
        <f>IF('Parse of Qs'!A52="Taste/Flavor", 1,
IF('Parse of Qs'!A52="Price", 2,
IF('Parse of Qs'!A52="Energy boost/Caffeine", 3,
IF('Parse of Qs'!A52="Health benefits", 4,
IF('Parse of Qs'!A52 = "Social atmosphere", 5,
IF('Parse of Qs'!A52 ="Routine/Ritual", 6, 
IF('Parse of Qs'!A52 = "Branding/Imagery", 7,
IF('Parse of Qs'!A52 = "Social norms / influence (what people around me usually drink)", 8, 
IF('Parse of Qs'!A52 = "To try new things", 9,
IF('Parse of Qs'!A52 = "Other:", 10, 
IF('Parse of Qs'!A52 = "", 11, "")))))))))))</f>
        <v>1</v>
      </c>
      <c r="L52" s="1">
        <f>IF('Parse of Qs'!B52="Taste/Flavor", 1,
IF('Parse of Qs'!B52="Price", 2,
IF('Parse of Qs'!B52="Energy boost/Caffeine", 3,
IF('Parse of Qs'!B52="Health benefits", 4,
IF('Parse of Qs'!B52 = "Social atmosphere", 5,
IF('Parse of Qs'!B52 ="Routine/Ritual", 6, 
IF('Parse of Qs'!B52 = "Branding/Imagery", 7,
IF('Parse of Qs'!B52 = "Social norms / influence (what people around me usually drink)", 8, 
IF('Parse of Qs'!B52 = "To try new things", 9,
IF('Parse of Qs'!B52 = "Other:", 10, 
IF('Parse of Qs'!B52 = "", 11, "")))))))))))</f>
        <v>11</v>
      </c>
      <c r="M52" s="1">
        <f>IF('Parse of Qs'!C52="At cafés", 1,
IF('Parse of Qs'!C52="At home", 2,
IF('Parse of Qs'!C52="From convenience stores (7-Eleven, Lawson, etc.)", 3,
IF('Parse of Qs'!C52="From vending machines", 4,
IF('Parse of Qs'!C52 = "Other:", 5,
IF('Parse of Qs'!C52 = "", 6, ""))))))</f>
        <v>2</v>
      </c>
      <c r="N52" s="1">
        <f>IF('Parse of Qs'!D52="At cafés", 1,
IF('Parse of Qs'!D52="At home", 2,
IF('Parse of Qs'!D52="From convenience stores (7-Eleven, Lawson, etc.)", 3,
IF('Parse of Qs'!D52="From vending machines", 4,
IF('Parse of Qs'!D52 = "Other:", 5,
IF('Parse of Qs'!D52 = "", 6, ""))))))</f>
        <v>6</v>
      </c>
      <c r="O52" s="1">
        <f>IF('Parse of Qs'!E52="At cafés", 1,
IF('Parse of Qs'!E52="At home", 2,
IF('Parse of Qs'!E52="From convenience stores (7-Eleven, Lawson, etc.)", 3,
IF('Parse of Qs'!E52="From vending machines", 4,
IF('Parse of Qs'!E52 = "Other:", 5,
IF('Parse of Qs'!E52 = "", 6, ""))))))</f>
        <v>6</v>
      </c>
      <c r="P52" s="1">
        <f>IF('Parse of Qs'!F52="At cafés", 1,
IF('Parse of Qs'!F52="At home", 2,
IF('Parse of Qs'!F52="From convenience stores (7-Eleven, Lawson, etc.)", 3,
IF('Parse of Qs'!F52="From vending machines", 4,
IF('Parse of Qs'!F52 = "Other:", 5,
IF('Parse of Qs'!F52 = "", 6, ""))))))</f>
        <v>6</v>
      </c>
      <c r="Q52" s="1">
        <f>IF(OR('Master English Sheet'!R52="Every Day",'Master English Sheet'!R52="Daily"), 1,
IF('Master English Sheet'!R52="Several times a week", 2,
IF('Master English Sheet'!R52="Once a week", 3,
IF('Master English Sheet'!R52="A few times a month", 4,
IF('Master English Sheet'!R52="Rarely", 5,
IF('Master English Sheet'!R52="Never", 6, 
IF('Master English Sheet'!R52 = "", 7, "")))))))</f>
        <v>4</v>
      </c>
      <c r="R52" s="1">
        <f>IF('Master English Sheet'!S52="To relax or take a break", 1,
IF('Master English Sheet'!S52="To meet friends", 2,
IF('Master English Sheet'!S52="To study/work", 3,
IF('Master English Sheet'!S52="To try a new drink", 4,
IF('Master English Sheet'!S52="Out of habit", 5,
IF('Master English Sheet'!S52="Other:", 6, 
IF('Master English Sheet'!S52 = "", 7, "")))))))</f>
        <v>1</v>
      </c>
      <c r="S52" s="1">
        <f>IF('Master English Sheet'!U52="Quality of drinks", 1,
IF('Master English Sheet'!U52="Atmosphere", 2,
IF('Master English Sheet'!U52="Service", 3,
IF('Master English Sheet'!U52="Brand image", 4,
IF('Master English Sheet'!U52="Other:", 5, 
IF('Master English Sheet'!U52 = "", 6, ""))))))</f>
        <v>1</v>
      </c>
      <c r="T52" s="1">
        <f>IF('Master English Sheet'!W52="Yes, Western", 1,
IF('Master English Sheet'!W52="Yes, Global", 2,
IF('Master English Sheet'!W52="Yes,  Japanese", 3,
IF('Master English Sheet'!W52="No", 4,
IF('Master English Sheet'!W52="Unsure", 5, 
IF('Master English Sheet'!W52 = "", 6, ""))))))</f>
        <v>1</v>
      </c>
      <c r="U52" s="1">
        <f>IF('Master English Sheet'!X52="Yes, Western", 1,
IF('Master English Sheet'!X52="Yes, Global", 2,
IF('Master English Sheet'!X52="Yes,  Japanese", 3,
IF('Master English Sheet'!X52="No", 4,
IF('Master English Sheet'!X52="Unsure", 5, 
IF('Master English Sheet'!X52 = "", 6, ""))))))</f>
        <v>3</v>
      </c>
      <c r="V52" s="1">
        <f>'Master English Sheet'!Y52</f>
        <v>7</v>
      </c>
      <c r="W52" s="1">
        <f>'Master English Sheet'!Z52</f>
        <v>7</v>
      </c>
      <c r="X52" s="1">
        <f>'Master English Sheet'!AA52</f>
        <v>4</v>
      </c>
    </row>
    <row r="53">
      <c r="A53" s="6">
        <v>52.0</v>
      </c>
      <c r="B53" s="6">
        <v>1.0</v>
      </c>
      <c r="C53" s="1">
        <f>IF('Master English Sheet'!D53="18-25", 1,
IF('Master English Sheet'!D53="26-35", 2,
IF('Master English Sheet'!D53="36-45", 3,
IF('Master English Sheet'!D53="46-55", 4,
IF('Master English Sheet'!D53="56-65", 5,
IF('Master English Sheet'!D53="65+", 6, ""))))))</f>
        <v>1</v>
      </c>
      <c r="D53" s="1">
        <f>IF('Master English Sheet'!E53="Male", 1,
IF('Master English Sheet'!E53="Female", 2,
IF('Master English Sheet'!E53="Nonbinary", 3,
IF('Master English Sheet'!E53="Prefer not to say", 4, ""))))</f>
        <v>2</v>
      </c>
      <c r="E53" s="1">
        <f>IF('Master English Sheet'!F53="Under ¥3,000,000", 1,
IF('Master English Sheet'!F53="¥3,000,000 – ¥5,999,999", 2,
IF('Master English Sheet'!F53="¥6,000,000 – ¥8,999,999", 3,
IF('Master English Sheet'!F53="¥9,000,000 – ¥11,999,999", 4,
IF('Master English Sheet'!F53 = "¥12,000,000 or more", 5,
IF('Master English Sheet'!F53 = "Prefer not to say", 6, ""))))))</f>
        <v>2</v>
      </c>
      <c r="F53" s="1">
        <f>IF('Master English Sheet'!G53="Hokkaido", 1,
IF('Master English Sheet'!G53="Tohoku", 2,
IF('Master English Sheet'!G53="Kanto", 3,
IF('Master English Sheet'!G53="Chubu", 4,
IF('Master English Sheet'!G53 = "Kansai", 5,
IF('Master English Sheet'!G53 = "Chugoku", 6,
IF('Master English Sheet'!G53 = "Shikoku", 7,
IF('Master English Sheet'!G53 = "Kyushu", 8,
IF('Master English Sheet'!G53 = "Okinawa", 9, 
IF('Master English Sheet'!G53 = "I do not live in Japan", 10, ""))))))))))</f>
        <v>3</v>
      </c>
      <c r="G53" s="1">
        <f>IF('Master English Sheet'!H53="Daily", 1,
IF('Master English Sheet'!H53="Several times a week", 2,
IF('Master English Sheet'!H53="Once a week", 3,
IF('Master English Sheet'!H53 = "Rarely", 4,
IF('Master English Sheet'!H53 = "Never", 5, "")))))</f>
        <v>2</v>
      </c>
      <c r="H53" s="1">
        <f>IF('Master English Sheet'!I53="Pour Over", 1,
IF('Master English Sheet'!I53="Drip", 2,
IF('Master English Sheet'!I53="Latte", 3,
IF('Master English Sheet'!I53="Americano", 4,
IF('Master English Sheet'!I53 = "Cappuccino", 5,
IF('Master English Sheet'!I53 = "Flavored coffee (mocha, vanilla, caramel, etc.)", 6,
IF('Master English Sheet'!I53 = "Cold brew", 7,
IF('Master English Sheet'!I53 = "I don't drink coffee", 8,
IF('Master English Sheet'!I53 = "Other:", 9,
IF('Master English Sheet'!I53 ="", 10, ""))))))))))</f>
        <v>3</v>
      </c>
      <c r="I53" s="1">
        <f>IF('Master English Sheet'!K53="Daily", 1,
IF('Master English Sheet'!K53="Several times a week", 2,
IF('Master English Sheet'!K53="Once a week", 3,
IF('Master English Sheet'!K53 = "Rarely", 4,
IF('Master English Sheet'!K53 = "Never", 5, "")))))</f>
        <v>2</v>
      </c>
      <c r="J53" s="1">
        <f>IF('Master English Sheet'!L53="Usucha", 1,
IF('Master English Sheet'!L53="Koicha", 2,
IF('Master English Sheet'!L53="Matcha Latte", 3,
IF('Master English Sheet'!L53="I don’t drink matcha", 4,
IF('Master English Sheet'!L53 = "Other:", 5,
IF('Master English Sheet'!L53 ="", 6, ""))))))</f>
        <v>3</v>
      </c>
      <c r="K53" s="1">
        <f>IF('Parse of Qs'!A53="Taste/Flavor", 1,
IF('Parse of Qs'!A53="Price", 2,
IF('Parse of Qs'!A53="Energy boost/Caffeine", 3,
IF('Parse of Qs'!A53="Health benefits", 4,
IF('Parse of Qs'!A53 = "Social atmosphere", 5,
IF('Parse of Qs'!A53 ="Routine/Ritual", 6, 
IF('Parse of Qs'!A53 = "Branding/Imagery", 7,
IF('Parse of Qs'!A53 = "Social norms / influence (what people around me usually drink)", 8, 
IF('Parse of Qs'!A53 = "To try new things", 9,
IF('Parse of Qs'!A53 = "Other:", 10, 
IF('Parse of Qs'!A53 = "", 11, "")))))))))))</f>
        <v>1</v>
      </c>
      <c r="L53" s="1">
        <f>IF('Parse of Qs'!B53="Taste/Flavor", 1,
IF('Parse of Qs'!B53="Price", 2,
IF('Parse of Qs'!B53="Energy boost/Caffeine", 3,
IF('Parse of Qs'!B53="Health benefits", 4,
IF('Parse of Qs'!B53 = "Social atmosphere", 5,
IF('Parse of Qs'!B53 ="Routine/Ritual", 6, 
IF('Parse of Qs'!B53 = "Branding/Imagery", 7,
IF('Parse of Qs'!B53 = "Social norms / influence (what people around me usually drink)", 8, 
IF('Parse of Qs'!B53 = "To try new things", 9,
IF('Parse of Qs'!B53 = "Other:", 10, 
IF('Parse of Qs'!B53 = "", 11, "")))))))))))</f>
        <v>11</v>
      </c>
      <c r="M53" s="1">
        <f>IF('Parse of Qs'!C53="At cafés", 1,
IF('Parse of Qs'!C53="At home", 2,
IF('Parse of Qs'!C53="From convenience stores (7-Eleven, Lawson, etc.)", 3,
IF('Parse of Qs'!C53="From vending machines", 4,
IF('Parse of Qs'!C53 = "Other:", 5,
IF('Parse of Qs'!C53 = "", 6, ""))))))</f>
        <v>1</v>
      </c>
      <c r="N53" s="1">
        <f>IF('Parse of Qs'!D53="At cafés", 1,
IF('Parse of Qs'!D53="At home", 2,
IF('Parse of Qs'!D53="From convenience stores (7-Eleven, Lawson, etc.)", 3,
IF('Parse of Qs'!D53="From vending machines", 4,
IF('Parse of Qs'!D53 = "Other:", 5,
IF('Parse of Qs'!D53 = "", 6, ""))))))</f>
        <v>2</v>
      </c>
      <c r="O53" s="1">
        <f>IF('Parse of Qs'!E53="At cafés", 1,
IF('Parse of Qs'!E53="At home", 2,
IF('Parse of Qs'!E53="From convenience stores (7-Eleven, Lawson, etc.)", 3,
IF('Parse of Qs'!E53="From vending machines", 4,
IF('Parse of Qs'!E53 = "Other:", 5,
IF('Parse of Qs'!E53 = "", 6, ""))))))</f>
        <v>6</v>
      </c>
      <c r="P53" s="1">
        <f>IF('Parse of Qs'!F53="At cafés", 1,
IF('Parse of Qs'!F53="At home", 2,
IF('Parse of Qs'!F53="From convenience stores (7-Eleven, Lawson, etc.)", 3,
IF('Parse of Qs'!F53="From vending machines", 4,
IF('Parse of Qs'!F53 = "Other:", 5,
IF('Parse of Qs'!F53 = "", 6, ""))))))</f>
        <v>6</v>
      </c>
      <c r="Q53" s="1">
        <f>IF(OR('Master English Sheet'!R53="Every Day",'Master English Sheet'!R53="Daily"), 1,
IF('Master English Sheet'!R53="Several times a week", 2,
IF('Master English Sheet'!R53="Once a week", 3,
IF('Master English Sheet'!R53="A few times a month", 4,
IF('Master English Sheet'!R53="Rarely", 5,
IF('Master English Sheet'!R53="Never", 6, 
IF('Master English Sheet'!R53 = "", 7, "")))))))</f>
        <v>4</v>
      </c>
      <c r="R53" s="1">
        <f>IF('Master English Sheet'!S53="To relax or take a break", 1,
IF('Master English Sheet'!S53="To meet friends", 2,
IF('Master English Sheet'!S53="To study/work", 3,
IF('Master English Sheet'!S53="To try a new drink", 4,
IF('Master English Sheet'!S53="Out of habit", 5,
IF('Master English Sheet'!S53="Other:", 6, 
IF('Master English Sheet'!S53 = "", 7, "")))))))</f>
        <v>4</v>
      </c>
      <c r="S53" s="1">
        <f>IF('Master English Sheet'!U53="Quality of drinks", 1,
IF('Master English Sheet'!U53="Atmosphere", 2,
IF('Master English Sheet'!U53="Service", 3,
IF('Master English Sheet'!U53="Brand image", 4,
IF('Master English Sheet'!U53="Other:", 5, 
IF('Master English Sheet'!U53 = "", 6, ""))))))</f>
        <v>2</v>
      </c>
      <c r="T53" s="1">
        <f>IF('Master English Sheet'!W53="Yes, Western", 1,
IF('Master English Sheet'!W53="Yes, Global", 2,
IF('Master English Sheet'!W53="Yes,  Japanese", 3,
IF('Master English Sheet'!W53="No", 4,
IF('Master English Sheet'!W53="Unsure", 5, 
IF('Master English Sheet'!W53 = "", 6, ""))))))</f>
        <v>5</v>
      </c>
      <c r="U53" s="1">
        <f>IF('Master English Sheet'!X53="Yes, Western", 1,
IF('Master English Sheet'!X53="Yes, Global", 2,
IF('Master English Sheet'!X53="Yes,  Japanese", 3,
IF('Master English Sheet'!X53="No", 4,
IF('Master English Sheet'!X53="Unsure", 5, 
IF('Master English Sheet'!X53 = "", 6, ""))))))</f>
        <v>3</v>
      </c>
      <c r="V53" s="1">
        <f>'Master English Sheet'!Y53</f>
        <v>4</v>
      </c>
      <c r="W53" s="1">
        <f>'Master English Sheet'!Z53</f>
        <v>5</v>
      </c>
      <c r="X53" s="1">
        <f>'Master English Sheet'!AA53</f>
        <v>6</v>
      </c>
    </row>
    <row r="54">
      <c r="A54" s="6">
        <v>53.0</v>
      </c>
      <c r="B54" s="6">
        <v>1.0</v>
      </c>
      <c r="C54" s="1">
        <f>IF('Master English Sheet'!D54="18-25", 1,
IF('Master English Sheet'!D54="26-35", 2,
IF('Master English Sheet'!D54="36-45", 3,
IF('Master English Sheet'!D54="46-55", 4,
IF('Master English Sheet'!D54="56-65", 5,
IF('Master English Sheet'!D54="65+", 6, ""))))))</f>
        <v>1</v>
      </c>
      <c r="D54" s="1">
        <f>IF('Master English Sheet'!E54="Male", 1,
IF('Master English Sheet'!E54="Female", 2,
IF('Master English Sheet'!E54="Nonbinary", 3,
IF('Master English Sheet'!E54="Prefer not to say", 4, ""))))</f>
        <v>2</v>
      </c>
      <c r="E54" s="1">
        <f>IF('Master English Sheet'!F54="Under ¥3,000,000", 1,
IF('Master English Sheet'!F54="¥3,000,000 – ¥5,999,999", 2,
IF('Master English Sheet'!F54="¥6,000,000 – ¥8,999,999", 3,
IF('Master English Sheet'!F54="¥9,000,000 – ¥11,999,999", 4,
IF('Master English Sheet'!F54 = "¥12,000,000 or more", 5,
IF('Master English Sheet'!F54 = "Prefer not to say", 6, ""))))))</f>
        <v>2</v>
      </c>
      <c r="F54" s="1">
        <f>IF('Master English Sheet'!G54="Hokkaido", 1,
IF('Master English Sheet'!G54="Tohoku", 2,
IF('Master English Sheet'!G54="Kanto", 3,
IF('Master English Sheet'!G54="Chubu", 4,
IF('Master English Sheet'!G54 = "Kansai", 5,
IF('Master English Sheet'!G54 = "Chugoku", 6,
IF('Master English Sheet'!G54 = "Shikoku", 7,
IF('Master English Sheet'!G54 = "Kyushu", 8,
IF('Master English Sheet'!G54 = "Okinawa", 9, 
IF('Master English Sheet'!G54 = "I do not live in Japan", 10, ""))))))))))</f>
        <v>3</v>
      </c>
      <c r="G54" s="1">
        <f>IF('Master English Sheet'!H54="Daily", 1,
IF('Master English Sheet'!H54="Several times a week", 2,
IF('Master English Sheet'!H54="Once a week", 3,
IF('Master English Sheet'!H54 = "Rarely", 4,
IF('Master English Sheet'!H54 = "Never", 5, "")))))</f>
        <v>1</v>
      </c>
      <c r="H54" s="1">
        <f>IF('Master English Sheet'!I54="Pour Over", 1,
IF('Master English Sheet'!I54="Drip", 2,
IF('Master English Sheet'!I54="Latte", 3,
IF('Master English Sheet'!I54="Americano", 4,
IF('Master English Sheet'!I54 = "Cappuccino", 5,
IF('Master English Sheet'!I54 = "Flavored coffee (mocha, vanilla, caramel, etc.)", 6,
IF('Master English Sheet'!I54 = "Cold brew", 7,
IF('Master English Sheet'!I54 = "I don't drink coffee", 8,
IF('Master English Sheet'!I54 = "Other:", 9,
IF('Master English Sheet'!I54 ="", 10, ""))))))))))</f>
        <v>1</v>
      </c>
      <c r="I54" s="1">
        <f>IF('Master English Sheet'!K54="Daily", 1,
IF('Master English Sheet'!K54="Several times a week", 2,
IF('Master English Sheet'!K54="Once a week", 3,
IF('Master English Sheet'!K54 = "Rarely", 4,
IF('Master English Sheet'!K54 = "Never", 5, "")))))</f>
        <v>3</v>
      </c>
      <c r="J54" s="1">
        <f>IF('Master English Sheet'!L54="Usucha", 1,
IF('Master English Sheet'!L54="Koicha", 2,
IF('Master English Sheet'!L54="Matcha Latte", 3,
IF('Master English Sheet'!L54="I don’t drink matcha", 4,
IF('Master English Sheet'!L54 = "Other:", 5,
IF('Master English Sheet'!L54 ="", 6, ""))))))</f>
        <v>3</v>
      </c>
      <c r="K54" s="1">
        <f>IF('Parse of Qs'!A54="Taste/Flavor", 1,
IF('Parse of Qs'!A54="Price", 2,
IF('Parse of Qs'!A54="Energy boost/Caffeine", 3,
IF('Parse of Qs'!A54="Health benefits", 4,
IF('Parse of Qs'!A54 = "Social atmosphere", 5,
IF('Parse of Qs'!A54 ="Routine/Ritual", 6, 
IF('Parse of Qs'!A54 = "Branding/Imagery", 7,
IF('Parse of Qs'!A54 = "Social norms / influence (what people around me usually drink)", 8, 
IF('Parse of Qs'!A54 = "To try new things", 9,
IF('Parse of Qs'!A54 = "Other:", 10, 
IF('Parse of Qs'!A54 = "", 11, "")))))))))))</f>
        <v>1</v>
      </c>
      <c r="L54" s="1">
        <f>IF('Parse of Qs'!B54="Taste/Flavor", 1,
IF('Parse of Qs'!B54="Price", 2,
IF('Parse of Qs'!B54="Energy boost/Caffeine", 3,
IF('Parse of Qs'!B54="Health benefits", 4,
IF('Parse of Qs'!B54 = "Social atmosphere", 5,
IF('Parse of Qs'!B54 ="Routine/Ritual", 6, 
IF('Parse of Qs'!B54 = "Branding/Imagery", 7,
IF('Parse of Qs'!B54 = "Social norms / influence (what people around me usually drink)", 8, 
IF('Parse of Qs'!B54 = "To try new things", 9,
IF('Parse of Qs'!B54 = "Other:", 10, 
IF('Parse of Qs'!B54 = "", 11, "")))))))))))</f>
        <v>11</v>
      </c>
      <c r="M54" s="1">
        <f>IF('Parse of Qs'!C54="At cafés", 1,
IF('Parse of Qs'!C54="At home", 2,
IF('Parse of Qs'!C54="From convenience stores (7-Eleven, Lawson, etc.)", 3,
IF('Parse of Qs'!C54="From vending machines", 4,
IF('Parse of Qs'!C54 = "Other:", 5,
IF('Parse of Qs'!C54 = "", 6, ""))))))</f>
        <v>1</v>
      </c>
      <c r="N54" s="1">
        <f>IF('Parse of Qs'!D54="At cafés", 1,
IF('Parse of Qs'!D54="At home", 2,
IF('Parse of Qs'!D54="From convenience stores (7-Eleven, Lawson, etc.)", 3,
IF('Parse of Qs'!D54="From vending machines", 4,
IF('Parse of Qs'!D54 = "Other:", 5,
IF('Parse of Qs'!D54 = "", 6, ""))))))</f>
        <v>6</v>
      </c>
      <c r="O54" s="1">
        <f>IF('Parse of Qs'!E54="At cafés", 1,
IF('Parse of Qs'!E54="At home", 2,
IF('Parse of Qs'!E54="From convenience stores (7-Eleven, Lawson, etc.)", 3,
IF('Parse of Qs'!E54="From vending machines", 4,
IF('Parse of Qs'!E54 = "Other:", 5,
IF('Parse of Qs'!E54 = "", 6, ""))))))</f>
        <v>6</v>
      </c>
      <c r="P54" s="1">
        <f>IF('Parse of Qs'!F54="At cafés", 1,
IF('Parse of Qs'!F54="At home", 2,
IF('Parse of Qs'!F54="From convenience stores (7-Eleven, Lawson, etc.)", 3,
IF('Parse of Qs'!F54="From vending machines", 4,
IF('Parse of Qs'!F54 = "Other:", 5,
IF('Parse of Qs'!F54 = "", 6, ""))))))</f>
        <v>6</v>
      </c>
      <c r="Q54" s="1">
        <f>IF(OR('Master English Sheet'!R54="Every Day",'Master English Sheet'!R54="Daily"), 1,
IF('Master English Sheet'!R54="Several times a week", 2,
IF('Master English Sheet'!R54="Once a week", 3,
IF('Master English Sheet'!R54="A few times a month", 4,
IF('Master English Sheet'!R54="Rarely", 5,
IF('Master English Sheet'!R54="Never", 6, 
IF('Master English Sheet'!R54 = "", 7, "")))))))</f>
        <v>2</v>
      </c>
      <c r="R54" s="1">
        <f>IF('Master English Sheet'!S54="To relax or take a break", 1,
IF('Master English Sheet'!S54="To meet friends", 2,
IF('Master English Sheet'!S54="To study/work", 3,
IF('Master English Sheet'!S54="To try a new drink", 4,
IF('Master English Sheet'!S54="Out of habit", 5,
IF('Master English Sheet'!S54="Other:", 6, 
IF('Master English Sheet'!S54 = "", 7, "")))))))</f>
        <v>1</v>
      </c>
      <c r="S54" s="1">
        <f>IF('Master English Sheet'!U54="Quality of drinks", 1,
IF('Master English Sheet'!U54="Atmosphere", 2,
IF('Master English Sheet'!U54="Service", 3,
IF('Master English Sheet'!U54="Brand image", 4,
IF('Master English Sheet'!U54="Other:", 5, 
IF('Master English Sheet'!U54 = "", 6, ""))))))</f>
        <v>3</v>
      </c>
      <c r="T54" s="1">
        <f>IF('Master English Sheet'!W54="Yes, Western", 1,
IF('Master English Sheet'!W54="Yes, Global", 2,
IF('Master English Sheet'!W54="Yes,  Japanese", 3,
IF('Master English Sheet'!W54="No", 4,
IF('Master English Sheet'!W54="Unsure", 5, 
IF('Master English Sheet'!W54 = "", 6, ""))))))</f>
        <v>2</v>
      </c>
      <c r="U54" s="1">
        <f>IF('Master English Sheet'!X54="Yes, Western", 1,
IF('Master English Sheet'!X54="Yes, Global", 2,
IF('Master English Sheet'!X54="Yes,  Japanese", 3,
IF('Master English Sheet'!X54="No", 4,
IF('Master English Sheet'!X54="Unsure", 5, 
IF('Master English Sheet'!X54 = "", 6, ""))))))</f>
        <v>3</v>
      </c>
      <c r="V54" s="1">
        <f>'Master English Sheet'!Y54</f>
        <v>4</v>
      </c>
      <c r="W54" s="1">
        <f>'Master English Sheet'!Z54</f>
        <v>5</v>
      </c>
      <c r="X54" s="1">
        <f>'Master English Sheet'!AA54</f>
        <v>5</v>
      </c>
    </row>
    <row r="55">
      <c r="A55" s="6">
        <v>54.0</v>
      </c>
      <c r="B55" s="6">
        <v>1.0</v>
      </c>
      <c r="C55" s="1">
        <f>IF('Master English Sheet'!D55="18-25", 1,
IF('Master English Sheet'!D55="26-35", 2,
IF('Master English Sheet'!D55="36-45", 3,
IF('Master English Sheet'!D55="46-55", 4,
IF('Master English Sheet'!D55="56-65", 5,
IF('Master English Sheet'!D55="65+", 6, ""))))))</f>
        <v>2</v>
      </c>
      <c r="D55" s="1">
        <f>IF('Master English Sheet'!E55="Male", 1,
IF('Master English Sheet'!E55="Female", 2,
IF('Master English Sheet'!E55="Nonbinary", 3,
IF('Master English Sheet'!E55="Prefer not to say", 4, ""))))</f>
        <v>2</v>
      </c>
      <c r="E55" s="1">
        <f>IF('Master English Sheet'!F55="Under ¥3,000,000", 1,
IF('Master English Sheet'!F55="¥3,000,000 – ¥5,999,999", 2,
IF('Master English Sheet'!F55="¥6,000,000 – ¥8,999,999", 3,
IF('Master English Sheet'!F55="¥9,000,000 – ¥11,999,999", 4,
IF('Master English Sheet'!F55 = "¥12,000,000 or more", 5,
IF('Master English Sheet'!F55 = "Prefer not to say", 6, ""))))))</f>
        <v>1</v>
      </c>
      <c r="F55" s="1">
        <f>IF('Master English Sheet'!G55="Hokkaido", 1,
IF('Master English Sheet'!G55="Tohoku", 2,
IF('Master English Sheet'!G55="Kanto", 3,
IF('Master English Sheet'!G55="Chubu", 4,
IF('Master English Sheet'!G55 = "Kansai", 5,
IF('Master English Sheet'!G55 = "Chugoku", 6,
IF('Master English Sheet'!G55 = "Shikoku", 7,
IF('Master English Sheet'!G55 = "Kyushu", 8,
IF('Master English Sheet'!G55 = "Okinawa", 9, 
IF('Master English Sheet'!G55 = "I do not live in Japan", 10, ""))))))))))</f>
        <v>3</v>
      </c>
      <c r="G55" s="1">
        <f>IF('Master English Sheet'!H55="Daily", 1,
IF('Master English Sheet'!H55="Several times a week", 2,
IF('Master English Sheet'!H55="Once a week", 3,
IF('Master English Sheet'!H55 = "Rarely", 4,
IF('Master English Sheet'!H55 = "Never", 5, "")))))</f>
        <v>2</v>
      </c>
      <c r="H55" s="1">
        <f>IF('Master English Sheet'!I55="Pour Over", 1,
IF('Master English Sheet'!I55="Drip", 2,
IF('Master English Sheet'!I55="Latte", 3,
IF('Master English Sheet'!I55="Americano", 4,
IF('Master English Sheet'!I55 = "Cappuccino", 5,
IF('Master English Sheet'!I55 = "Flavored coffee (mocha, vanilla, caramel, etc.)", 6,
IF('Master English Sheet'!I55 = "Cold brew", 7,
IF('Master English Sheet'!I55 = "I don't drink coffee", 8,
IF('Master English Sheet'!I55 = "Other:", 9,
IF('Master English Sheet'!I55 ="", 10, ""))))))))))</f>
        <v>3</v>
      </c>
      <c r="I55" s="1">
        <f>IF('Master English Sheet'!K55="Daily", 1,
IF('Master English Sheet'!K55="Several times a week", 2,
IF('Master English Sheet'!K55="Once a week", 3,
IF('Master English Sheet'!K55 = "Rarely", 4,
IF('Master English Sheet'!K55 = "Never", 5, "")))))</f>
        <v>4</v>
      </c>
      <c r="J55" s="1">
        <f>IF('Master English Sheet'!L55="Usucha", 1,
IF('Master English Sheet'!L55="Koicha", 2,
IF('Master English Sheet'!L55="Matcha Latte", 3,
IF('Master English Sheet'!L55="I don’t drink matcha", 4,
IF('Master English Sheet'!L55 = "Other:", 5,
IF('Master English Sheet'!L55 ="", 6, ""))))))</f>
        <v>2</v>
      </c>
      <c r="K55" s="1">
        <f>IF('Parse of Qs'!A55="Taste/Flavor", 1,
IF('Parse of Qs'!A55="Price", 2,
IF('Parse of Qs'!A55="Energy boost/Caffeine", 3,
IF('Parse of Qs'!A55="Health benefits", 4,
IF('Parse of Qs'!A55 = "Social atmosphere", 5,
IF('Parse of Qs'!A55 ="Routine/Ritual", 6, 
IF('Parse of Qs'!A55 = "Branding/Imagery", 7,
IF('Parse of Qs'!A55 = "Social norms / influence (what people around me usually drink)", 8, 
IF('Parse of Qs'!A55 = "To try new things", 9,
IF('Parse of Qs'!A55 = "Other:", 10, 
IF('Parse of Qs'!A55 = "", 11, "")))))))))))</f>
        <v>1</v>
      </c>
      <c r="L55" s="1">
        <f>IF('Parse of Qs'!B55="Taste/Flavor", 1,
IF('Parse of Qs'!B55="Price", 2,
IF('Parse of Qs'!B55="Energy boost/Caffeine", 3,
IF('Parse of Qs'!B55="Health benefits", 4,
IF('Parse of Qs'!B55 = "Social atmosphere", 5,
IF('Parse of Qs'!B55 ="Routine/Ritual", 6, 
IF('Parse of Qs'!B55 = "Branding/Imagery", 7,
IF('Parse of Qs'!B55 = "Social norms / influence (what people around me usually drink)", 8, 
IF('Parse of Qs'!B55 = "To try new things", 9,
IF('Parse of Qs'!B55 = "Other:", 10, 
IF('Parse of Qs'!B55 = "", 11, "")))))))))))</f>
        <v>11</v>
      </c>
      <c r="M55" s="1">
        <f>IF('Parse of Qs'!C55="At cafés", 1,
IF('Parse of Qs'!C55="At home", 2,
IF('Parse of Qs'!C55="From convenience stores (7-Eleven, Lawson, etc.)", 3,
IF('Parse of Qs'!C55="From vending machines", 4,
IF('Parse of Qs'!C55 = "Other:", 5,
IF('Parse of Qs'!C55 = "", 6, ""))))))</f>
        <v>1</v>
      </c>
      <c r="N55" s="1">
        <f>IF('Parse of Qs'!D55="At cafés", 1,
IF('Parse of Qs'!D55="At home", 2,
IF('Parse of Qs'!D55="From convenience stores (7-Eleven, Lawson, etc.)", 3,
IF('Parse of Qs'!D55="From vending machines", 4,
IF('Parse of Qs'!D55 = "Other:", 5,
IF('Parse of Qs'!D55 = "", 6, ""))))))</f>
        <v>3</v>
      </c>
      <c r="O55" s="1">
        <f>IF('Parse of Qs'!E55="At cafés", 1,
IF('Parse of Qs'!E55="At home", 2,
IF('Parse of Qs'!E55="From convenience stores (7-Eleven, Lawson, etc.)", 3,
IF('Parse of Qs'!E55="From vending machines", 4,
IF('Parse of Qs'!E55 = "Other:", 5,
IF('Parse of Qs'!E55 = "", 6, ""))))))</f>
        <v>6</v>
      </c>
      <c r="P55" s="1">
        <f>IF('Parse of Qs'!F55="At cafés", 1,
IF('Parse of Qs'!F55="At home", 2,
IF('Parse of Qs'!F55="From convenience stores (7-Eleven, Lawson, etc.)", 3,
IF('Parse of Qs'!F55="From vending machines", 4,
IF('Parse of Qs'!F55 = "Other:", 5,
IF('Parse of Qs'!F55 = "", 6, ""))))))</f>
        <v>6</v>
      </c>
      <c r="Q55" s="1">
        <f>IF(OR('Master English Sheet'!R55="Every Day",'Master English Sheet'!R55="Daily"), 1,
IF('Master English Sheet'!R55="Several times a week", 2,
IF('Master English Sheet'!R55="Once a week", 3,
IF('Master English Sheet'!R55="A few times a month", 4,
IF('Master English Sheet'!R55="Rarely", 5,
IF('Master English Sheet'!R55="Never", 6, 
IF('Master English Sheet'!R55 = "", 7, "")))))))</f>
        <v>5</v>
      </c>
      <c r="R55" s="1">
        <f>IF('Master English Sheet'!S55="To relax or take a break", 1,
IF('Master English Sheet'!S55="To meet friends", 2,
IF('Master English Sheet'!S55="To study/work", 3,
IF('Master English Sheet'!S55="To try a new drink", 4,
IF('Master English Sheet'!S55="Out of habit", 5,
IF('Master English Sheet'!S55="Other:", 6, 
IF('Master English Sheet'!S55 = "", 7, "")))))))</f>
        <v>3</v>
      </c>
      <c r="S55" s="1">
        <f>IF('Master English Sheet'!U55="Quality of drinks", 1,
IF('Master English Sheet'!U55="Atmosphere", 2,
IF('Master English Sheet'!U55="Service", 3,
IF('Master English Sheet'!U55="Brand image", 4,
IF('Master English Sheet'!U55="Other:", 5, 
IF('Master English Sheet'!U55 = "", 6, ""))))))</f>
        <v>2</v>
      </c>
      <c r="T55" s="1">
        <f>IF('Master English Sheet'!W55="Yes, Western", 1,
IF('Master English Sheet'!W55="Yes, Global", 2,
IF('Master English Sheet'!W55="Yes,  Japanese", 3,
IF('Master English Sheet'!W55="No", 4,
IF('Master English Sheet'!W55="Unsure", 5, 
IF('Master English Sheet'!W55 = "", 6, ""))))))</f>
        <v>1</v>
      </c>
      <c r="U55" s="1">
        <f>IF('Master English Sheet'!X55="Yes, Western", 1,
IF('Master English Sheet'!X55="Yes, Global", 2,
IF('Master English Sheet'!X55="Yes,  Japanese", 3,
IF('Master English Sheet'!X55="No", 4,
IF('Master English Sheet'!X55="Unsure", 5, 
IF('Master English Sheet'!X55 = "", 6, ""))))))</f>
        <v>3</v>
      </c>
      <c r="V55" s="1">
        <f>'Master English Sheet'!Y55</f>
        <v>7</v>
      </c>
      <c r="W55" s="1">
        <f>'Master English Sheet'!Z55</f>
        <v>7</v>
      </c>
      <c r="X55" s="1">
        <f>'Master English Sheet'!AA55</f>
        <v>5</v>
      </c>
    </row>
    <row r="56">
      <c r="A56" s="6">
        <v>55.0</v>
      </c>
      <c r="B56" s="6">
        <v>1.0</v>
      </c>
      <c r="C56" s="1">
        <f>IF('Master English Sheet'!D56="18-25", 1,
IF('Master English Sheet'!D56="26-35", 2,
IF('Master English Sheet'!D56="36-45", 3,
IF('Master English Sheet'!D56="46-55", 4,
IF('Master English Sheet'!D56="56-65", 5,
IF('Master English Sheet'!D56="65+", 6, ""))))))</f>
        <v>1</v>
      </c>
      <c r="D56" s="1">
        <f>IF('Master English Sheet'!E56="Male", 1,
IF('Master English Sheet'!E56="Female", 2,
IF('Master English Sheet'!E56="Nonbinary", 3,
IF('Master English Sheet'!E56="Prefer not to say", 4, ""))))</f>
        <v>2</v>
      </c>
      <c r="E56" s="1">
        <f>IF('Master English Sheet'!F56="Under ¥3,000,000", 1,
IF('Master English Sheet'!F56="¥3,000,000 – ¥5,999,999", 2,
IF('Master English Sheet'!F56="¥6,000,000 – ¥8,999,999", 3,
IF('Master English Sheet'!F56="¥9,000,000 – ¥11,999,999", 4,
IF('Master English Sheet'!F56 = "¥12,000,000 or more", 5,
IF('Master English Sheet'!F56 = "Prefer not to say", 6, ""))))))</f>
        <v>1</v>
      </c>
      <c r="F56" s="1">
        <f>IF('Master English Sheet'!G56="Hokkaido", 1,
IF('Master English Sheet'!G56="Tohoku", 2,
IF('Master English Sheet'!G56="Kanto", 3,
IF('Master English Sheet'!G56="Chubu", 4,
IF('Master English Sheet'!G56 = "Kansai", 5,
IF('Master English Sheet'!G56 = "Chugoku", 6,
IF('Master English Sheet'!G56 = "Shikoku", 7,
IF('Master English Sheet'!G56 = "Kyushu", 8,
IF('Master English Sheet'!G56 = "Okinawa", 9, 
IF('Master English Sheet'!G56 = "I do not live in Japan", 10, ""))))))))))</f>
        <v>4</v>
      </c>
      <c r="G56" s="1">
        <f>IF('Master English Sheet'!H56="Daily", 1,
IF('Master English Sheet'!H56="Several times a week", 2,
IF('Master English Sheet'!H56="Once a week", 3,
IF('Master English Sheet'!H56 = "Rarely", 4,
IF('Master English Sheet'!H56 = "Never", 5, "")))))</f>
        <v>1</v>
      </c>
      <c r="H56" s="1">
        <f>IF('Master English Sheet'!I56="Pour Over", 1,
IF('Master English Sheet'!I56="Drip", 2,
IF('Master English Sheet'!I56="Latte", 3,
IF('Master English Sheet'!I56="Americano", 4,
IF('Master English Sheet'!I56 = "Cappuccino", 5,
IF('Master English Sheet'!I56 = "Flavored coffee (mocha, vanilla, caramel, etc.)", 6,
IF('Master English Sheet'!I56 = "Cold brew", 7,
IF('Master English Sheet'!I56 = "I don't drink coffee", 8,
IF('Master English Sheet'!I56 = "Other:", 9,
IF('Master English Sheet'!I56 ="", 10, ""))))))))))</f>
        <v>3</v>
      </c>
      <c r="I56" s="1">
        <f>IF('Master English Sheet'!K56="Daily", 1,
IF('Master English Sheet'!K56="Several times a week", 2,
IF('Master English Sheet'!K56="Once a week", 3,
IF('Master English Sheet'!K56 = "Rarely", 4,
IF('Master English Sheet'!K56 = "Never", 5, "")))))</f>
        <v>4</v>
      </c>
      <c r="J56" s="1">
        <f>IF('Master English Sheet'!L56="Usucha", 1,
IF('Master English Sheet'!L56="Koicha", 2,
IF('Master English Sheet'!L56="Matcha Latte", 3,
IF('Master English Sheet'!L56="I don’t drink matcha", 4,
IF('Master English Sheet'!L56 = "Other:", 5,
IF('Master English Sheet'!L56 ="", 6, ""))))))</f>
        <v>3</v>
      </c>
      <c r="K56" s="1">
        <f>IF('Parse of Qs'!A56="Taste/Flavor", 1,
IF('Parse of Qs'!A56="Price", 2,
IF('Parse of Qs'!A56="Energy boost/Caffeine", 3,
IF('Parse of Qs'!A56="Health benefits", 4,
IF('Parse of Qs'!A56 = "Social atmosphere", 5,
IF('Parse of Qs'!A56 ="Routine/Ritual", 6, 
IF('Parse of Qs'!A56 = "Branding/Imagery", 7,
IF('Parse of Qs'!A56 = "Social norms / influence (what people around me usually drink)", 8, 
IF('Parse of Qs'!A56 = "To try new things", 9,
IF('Parse of Qs'!A56 = "Other:", 10, 
IF('Parse of Qs'!A56 = "", 11, "")))))))))))</f>
        <v>1</v>
      </c>
      <c r="L56" s="1">
        <f>IF('Parse of Qs'!B56="Taste/Flavor", 1,
IF('Parse of Qs'!B56="Price", 2,
IF('Parse of Qs'!B56="Energy boost/Caffeine", 3,
IF('Parse of Qs'!B56="Health benefits", 4,
IF('Parse of Qs'!B56 = "Social atmosphere", 5,
IF('Parse of Qs'!B56 ="Routine/Ritual", 6, 
IF('Parse of Qs'!B56 = "Branding/Imagery", 7,
IF('Parse of Qs'!B56 = "Social norms / influence (what people around me usually drink)", 8, 
IF('Parse of Qs'!B56 = "To try new things", 9,
IF('Parse of Qs'!B56 = "Other:", 10, 
IF('Parse of Qs'!B56 = "", 11, "")))))))))))</f>
        <v>11</v>
      </c>
      <c r="M56" s="1">
        <f>IF('Parse of Qs'!C56="At cafés", 1,
IF('Parse of Qs'!C56="At home", 2,
IF('Parse of Qs'!C56="From convenience stores (7-Eleven, Lawson, etc.)", 3,
IF('Parse of Qs'!C56="From vending machines", 4,
IF('Parse of Qs'!C56 = "Other:", 5,
IF('Parse of Qs'!C56 = "", 6, ""))))))</f>
        <v>1</v>
      </c>
      <c r="N56" s="1">
        <f>IF('Parse of Qs'!D56="At cafés", 1,
IF('Parse of Qs'!D56="At home", 2,
IF('Parse of Qs'!D56="From convenience stores (7-Eleven, Lawson, etc.)", 3,
IF('Parse of Qs'!D56="From vending machines", 4,
IF('Parse of Qs'!D56 = "Other:", 5,
IF('Parse of Qs'!D56 = "", 6, ""))))))</f>
        <v>6</v>
      </c>
      <c r="O56" s="1">
        <f>IF('Parse of Qs'!E56="At cafés", 1,
IF('Parse of Qs'!E56="At home", 2,
IF('Parse of Qs'!E56="From convenience stores (7-Eleven, Lawson, etc.)", 3,
IF('Parse of Qs'!E56="From vending machines", 4,
IF('Parse of Qs'!E56 = "Other:", 5,
IF('Parse of Qs'!E56 = "", 6, ""))))))</f>
        <v>6</v>
      </c>
      <c r="P56" s="1">
        <f>IF('Parse of Qs'!F56="At cafés", 1,
IF('Parse of Qs'!F56="At home", 2,
IF('Parse of Qs'!F56="From convenience stores (7-Eleven, Lawson, etc.)", 3,
IF('Parse of Qs'!F56="From vending machines", 4,
IF('Parse of Qs'!F56 = "Other:", 5,
IF('Parse of Qs'!F56 = "", 6, ""))))))</f>
        <v>6</v>
      </c>
      <c r="Q56" s="1">
        <f>IF(OR('Master English Sheet'!R56="Every Day",'Master English Sheet'!R56="Daily"), 1,
IF('Master English Sheet'!R56="Several times a week", 2,
IF('Master English Sheet'!R56="Once a week", 3,
IF('Master English Sheet'!R56="A few times a month", 4,
IF('Master English Sheet'!R56="Rarely", 5,
IF('Master English Sheet'!R56="Never", 6, 
IF('Master English Sheet'!R56 = "", 7, "")))))))</f>
        <v>3</v>
      </c>
      <c r="R56" s="1">
        <f>IF('Master English Sheet'!S56="To relax or take a break", 1,
IF('Master English Sheet'!S56="To meet friends", 2,
IF('Master English Sheet'!S56="To study/work", 3,
IF('Master English Sheet'!S56="To try a new drink", 4,
IF('Master English Sheet'!S56="Out of habit", 5,
IF('Master English Sheet'!S56="Other:", 6, 
IF('Master English Sheet'!S56 = "", 7, "")))))))</f>
        <v>3</v>
      </c>
      <c r="S56" s="1">
        <f>IF('Master English Sheet'!U56="Quality of drinks", 1,
IF('Master English Sheet'!U56="Atmosphere", 2,
IF('Master English Sheet'!U56="Service", 3,
IF('Master English Sheet'!U56="Brand image", 4,
IF('Master English Sheet'!U56="Other:", 5, 
IF('Master English Sheet'!U56 = "", 6, ""))))))</f>
        <v>2</v>
      </c>
      <c r="T56" s="1">
        <f>IF('Master English Sheet'!W56="Yes, Western", 1,
IF('Master English Sheet'!W56="Yes, Global", 2,
IF('Master English Sheet'!W56="Yes,  Japanese", 3,
IF('Master English Sheet'!W56="No", 4,
IF('Master English Sheet'!W56="Unsure", 5, 
IF('Master English Sheet'!W56 = "", 6, ""))))))</f>
        <v>2</v>
      </c>
      <c r="U56" s="1">
        <f>IF('Master English Sheet'!X56="Yes, Western", 1,
IF('Master English Sheet'!X56="Yes, Global", 2,
IF('Master English Sheet'!X56="Yes,  Japanese", 3,
IF('Master English Sheet'!X56="No", 4,
IF('Master English Sheet'!X56="Unsure", 5, 
IF('Master English Sheet'!X56 = "", 6, ""))))))</f>
        <v>3</v>
      </c>
      <c r="V56" s="1">
        <f>'Master English Sheet'!Y56</f>
        <v>4</v>
      </c>
      <c r="W56" s="1">
        <f>'Master English Sheet'!Z56</f>
        <v>6</v>
      </c>
      <c r="X56" s="1">
        <f>'Master English Sheet'!AA56</f>
        <v>6</v>
      </c>
    </row>
    <row r="57">
      <c r="A57" s="6">
        <v>56.0</v>
      </c>
      <c r="B57" s="6">
        <v>1.0</v>
      </c>
      <c r="C57" s="1">
        <f>IF('Master English Sheet'!D57="18-25", 1,
IF('Master English Sheet'!D57="26-35", 2,
IF('Master English Sheet'!D57="36-45", 3,
IF('Master English Sheet'!D57="46-55", 4,
IF('Master English Sheet'!D57="56-65", 5,
IF('Master English Sheet'!D57="65+", 6, ""))))))</f>
        <v>1</v>
      </c>
      <c r="D57" s="1">
        <f>IF('Master English Sheet'!E57="Male", 1,
IF('Master English Sheet'!E57="Female", 2,
IF('Master English Sheet'!E57="Nonbinary", 3,
IF('Master English Sheet'!E57="Prefer not to say", 4, ""))))</f>
        <v>1</v>
      </c>
      <c r="E57" s="1">
        <f>IF('Master English Sheet'!F57="Under ¥3,000,000", 1,
IF('Master English Sheet'!F57="¥3,000,000 – ¥5,999,999", 2,
IF('Master English Sheet'!F57="¥6,000,000 – ¥8,999,999", 3,
IF('Master English Sheet'!F57="¥9,000,000 – ¥11,999,999", 4,
IF('Master English Sheet'!F57 = "¥12,000,000 or more", 5,
IF('Master English Sheet'!F57 = "Prefer not to say", 6, ""))))))</f>
        <v>2</v>
      </c>
      <c r="F57" s="1">
        <f>IF('Master English Sheet'!G57="Hokkaido", 1,
IF('Master English Sheet'!G57="Tohoku", 2,
IF('Master English Sheet'!G57="Kanto", 3,
IF('Master English Sheet'!G57="Chubu", 4,
IF('Master English Sheet'!G57 = "Kansai", 5,
IF('Master English Sheet'!G57 = "Chugoku", 6,
IF('Master English Sheet'!G57 = "Shikoku", 7,
IF('Master English Sheet'!G57 = "Kyushu", 8,
IF('Master English Sheet'!G57 = "Okinawa", 9, 
IF('Master English Sheet'!G57 = "I do not live in Japan", 10, ""))))))))))</f>
        <v>3</v>
      </c>
      <c r="G57" s="1">
        <f>IF('Master English Sheet'!H57="Daily", 1,
IF('Master English Sheet'!H57="Several times a week", 2,
IF('Master English Sheet'!H57="Once a week", 3,
IF('Master English Sheet'!H57 = "Rarely", 4,
IF('Master English Sheet'!H57 = "Never", 5, "")))))</f>
        <v>1</v>
      </c>
      <c r="H57" s="1">
        <f>IF('Master English Sheet'!I57="Pour Over", 1,
IF('Master English Sheet'!I57="Drip", 2,
IF('Master English Sheet'!I57="Latte", 3,
IF('Master English Sheet'!I57="Americano", 4,
IF('Master English Sheet'!I57 = "Cappuccino", 5,
IF('Master English Sheet'!I57 = "Flavored coffee (mocha, vanilla, caramel, etc.)", 6,
IF('Master English Sheet'!I57 = "Cold brew", 7,
IF('Master English Sheet'!I57 = "I don't drink coffee", 8,
IF('Master English Sheet'!I57 = "Other:", 9,
IF('Master English Sheet'!I57 ="", 10, ""))))))))))</f>
        <v>1</v>
      </c>
      <c r="I57" s="1">
        <f>IF('Master English Sheet'!K57="Daily", 1,
IF('Master English Sheet'!K57="Several times a week", 2,
IF('Master English Sheet'!K57="Once a week", 3,
IF('Master English Sheet'!K57 = "Rarely", 4,
IF('Master English Sheet'!K57 = "Never", 5, "")))))</f>
        <v>4</v>
      </c>
      <c r="J57" s="1">
        <f>IF('Master English Sheet'!L57="Usucha", 1,
IF('Master English Sheet'!L57="Koicha", 2,
IF('Master English Sheet'!L57="Matcha Latte", 3,
IF('Master English Sheet'!L57="I don’t drink matcha", 4,
IF('Master English Sheet'!L57 = "Other:", 5,
IF('Master English Sheet'!L57 ="", 6, ""))))))</f>
        <v>3</v>
      </c>
      <c r="K57" s="1">
        <f>IF('Parse of Qs'!A57="Taste/Flavor", 1,
IF('Parse of Qs'!A57="Price", 2,
IF('Parse of Qs'!A57="Energy boost/Caffeine", 3,
IF('Parse of Qs'!A57="Health benefits", 4,
IF('Parse of Qs'!A57 = "Social atmosphere", 5,
IF('Parse of Qs'!A57 ="Routine/Ritual", 6, 
IF('Parse of Qs'!A57 = "Branding/Imagery", 7,
IF('Parse of Qs'!A57 = "Social norms / influence (what people around me usually drink)", 8, 
IF('Parse of Qs'!A57 = "To try new things", 9,
IF('Parse of Qs'!A57 = "Other:", 10, 
IF('Parse of Qs'!A57 = "", 11, "")))))))))))</f>
        <v>10</v>
      </c>
      <c r="L57" s="1">
        <f>IF('Parse of Qs'!B57="Taste/Flavor", 1,
IF('Parse of Qs'!B57="Price", 2,
IF('Parse of Qs'!B57="Energy boost/Caffeine", 3,
IF('Parse of Qs'!B57="Health benefits", 4,
IF('Parse of Qs'!B57 = "Social atmosphere", 5,
IF('Parse of Qs'!B57 ="Routine/Ritual", 6, 
IF('Parse of Qs'!B57 = "Branding/Imagery", 7,
IF('Parse of Qs'!B57 = "Social norms / influence (what people around me usually drink)", 8, 
IF('Parse of Qs'!B57 = "To try new things", 9,
IF('Parse of Qs'!B57 = "Other:", 10, 
IF('Parse of Qs'!B57 = "", 11, "")))))))))))</f>
        <v>11</v>
      </c>
      <c r="M57" s="1">
        <f>IF('Parse of Qs'!C57="At cafés", 1,
IF('Parse of Qs'!C57="At home", 2,
IF('Parse of Qs'!C57="From convenience stores (7-Eleven, Lawson, etc.)", 3,
IF('Parse of Qs'!C57="From vending machines", 4,
IF('Parse of Qs'!C57 = "Other:", 5,
IF('Parse of Qs'!C57 = "", 6, ""))))))</f>
        <v>1</v>
      </c>
      <c r="N57" s="1">
        <f>IF('Parse of Qs'!D57="At cafés", 1,
IF('Parse of Qs'!D57="At home", 2,
IF('Parse of Qs'!D57="From convenience stores (7-Eleven, Lawson, etc.)", 3,
IF('Parse of Qs'!D57="From vending machines", 4,
IF('Parse of Qs'!D57 = "Other:", 5,
IF('Parse of Qs'!D57 = "", 6, ""))))))</f>
        <v>2</v>
      </c>
      <c r="O57" s="1">
        <f>IF('Parse of Qs'!E57="At cafés", 1,
IF('Parse of Qs'!E57="At home", 2,
IF('Parse of Qs'!E57="From convenience stores (7-Eleven, Lawson, etc.)", 3,
IF('Parse of Qs'!E57="From vending machines", 4,
IF('Parse of Qs'!E57 = "Other:", 5,
IF('Parse of Qs'!E57 = "", 6, ""))))))</f>
        <v>6</v>
      </c>
      <c r="P57" s="1">
        <f>IF('Parse of Qs'!F57="At cafés", 1,
IF('Parse of Qs'!F57="At home", 2,
IF('Parse of Qs'!F57="From convenience stores (7-Eleven, Lawson, etc.)", 3,
IF('Parse of Qs'!F57="From vending machines", 4,
IF('Parse of Qs'!F57 = "Other:", 5,
IF('Parse of Qs'!F57 = "", 6, ""))))))</f>
        <v>6</v>
      </c>
      <c r="Q57" s="1">
        <f>IF(OR('Master English Sheet'!R57="Every Day",'Master English Sheet'!R57="Daily"), 1,
IF('Master English Sheet'!R57="Several times a week", 2,
IF('Master English Sheet'!R57="Once a week", 3,
IF('Master English Sheet'!R57="A few times a month", 4,
IF('Master English Sheet'!R57="Rarely", 5,
IF('Master English Sheet'!R57="Never", 6, 
IF('Master English Sheet'!R57 = "", 7, "")))))))</f>
        <v>2</v>
      </c>
      <c r="R57" s="1">
        <f>IF('Master English Sheet'!S57="To relax or take a break", 1,
IF('Master English Sheet'!S57="To meet friends", 2,
IF('Master English Sheet'!S57="To study/work", 3,
IF('Master English Sheet'!S57="To try a new drink", 4,
IF('Master English Sheet'!S57="Out of habit", 5,
IF('Master English Sheet'!S57="Other:", 6, 
IF('Master English Sheet'!S57 = "", 7, "")))))))</f>
        <v>5</v>
      </c>
      <c r="S57" s="1">
        <f>IF('Master English Sheet'!U57="Quality of drinks", 1,
IF('Master English Sheet'!U57="Atmosphere", 2,
IF('Master English Sheet'!U57="Service", 3,
IF('Master English Sheet'!U57="Brand image", 4,
IF('Master English Sheet'!U57="Other:", 5, 
IF('Master English Sheet'!U57 = "", 6, ""))))))</f>
        <v>1</v>
      </c>
      <c r="T57" s="1">
        <f>IF('Master English Sheet'!W57="Yes, Western", 1,
IF('Master English Sheet'!W57="Yes, Global", 2,
IF('Master English Sheet'!W57="Yes,  Japanese", 3,
IF('Master English Sheet'!W57="No", 4,
IF('Master English Sheet'!W57="Unsure", 5, 
IF('Master English Sheet'!W57 = "", 6, ""))))))</f>
        <v>2</v>
      </c>
      <c r="U57" s="1">
        <f>IF('Master English Sheet'!X57="Yes, Western", 1,
IF('Master English Sheet'!X57="Yes, Global", 2,
IF('Master English Sheet'!X57="Yes,  Japanese", 3,
IF('Master English Sheet'!X57="No", 4,
IF('Master English Sheet'!X57="Unsure", 5, 
IF('Master English Sheet'!X57 = "", 6, ""))))))</f>
        <v>3</v>
      </c>
      <c r="V57" s="1">
        <f>'Master English Sheet'!Y57</f>
        <v>6</v>
      </c>
      <c r="W57" s="1">
        <f>'Master English Sheet'!Z57</f>
        <v>6</v>
      </c>
      <c r="X57" s="1">
        <f>'Master English Sheet'!AA57</f>
        <v>7</v>
      </c>
    </row>
    <row r="58">
      <c r="A58" s="6">
        <v>57.0</v>
      </c>
      <c r="B58" s="6">
        <v>1.0</v>
      </c>
      <c r="C58" s="1">
        <f>IF('Master English Sheet'!D58="18-25", 1,
IF('Master English Sheet'!D58="26-35", 2,
IF('Master English Sheet'!D58="36-45", 3,
IF('Master English Sheet'!D58="46-55", 4,
IF('Master English Sheet'!D58="56-65", 5,
IF('Master English Sheet'!D58="65+", 6, ""))))))</f>
        <v>6</v>
      </c>
      <c r="D58" s="1">
        <f>IF('Master English Sheet'!E58="Male", 1,
IF('Master English Sheet'!E58="Female", 2,
IF('Master English Sheet'!E58="Nonbinary", 3,
IF('Master English Sheet'!E58="Prefer not to say", 4, ""))))</f>
        <v>1</v>
      </c>
      <c r="E58" s="1">
        <f>IF('Master English Sheet'!F58="Under ¥3,000,000", 1,
IF('Master English Sheet'!F58="¥3,000,000 – ¥5,999,999", 2,
IF('Master English Sheet'!F58="¥6,000,000 – ¥8,999,999", 3,
IF('Master English Sheet'!F58="¥9,000,000 – ¥11,999,999", 4,
IF('Master English Sheet'!F58 = "¥12,000,000 or more", 5,
IF('Master English Sheet'!F58 = "Prefer not to say", 6, ""))))))</f>
        <v>2</v>
      </c>
      <c r="F58" s="1">
        <f>IF('Master English Sheet'!G58="Hokkaido", 1,
IF('Master English Sheet'!G58="Tohoku", 2,
IF('Master English Sheet'!G58="Kanto", 3,
IF('Master English Sheet'!G58="Chubu", 4,
IF('Master English Sheet'!G58 = "Kansai", 5,
IF('Master English Sheet'!G58 = "Chugoku", 6,
IF('Master English Sheet'!G58 = "Shikoku", 7,
IF('Master English Sheet'!G58 = "Kyushu", 8,
IF('Master English Sheet'!G58 = "Okinawa", 9, 
IF('Master English Sheet'!G58 = "I do not live in Japan", 10, ""))))))))))</f>
        <v>3</v>
      </c>
      <c r="G58" s="1">
        <f>IF('Master English Sheet'!H58="Daily", 1,
IF('Master English Sheet'!H58="Several times a week", 2,
IF('Master English Sheet'!H58="Once a week", 3,
IF('Master English Sheet'!H58 = "Rarely", 4,
IF('Master English Sheet'!H58 = "Never", 5, "")))))</f>
        <v>1</v>
      </c>
      <c r="H58" s="1">
        <f>IF('Master English Sheet'!I58="Pour Over", 1,
IF('Master English Sheet'!I58="Drip", 2,
IF('Master English Sheet'!I58="Latte", 3,
IF('Master English Sheet'!I58="Americano", 4,
IF('Master English Sheet'!I58 = "Cappuccino", 5,
IF('Master English Sheet'!I58 = "Flavored coffee (mocha, vanilla, caramel, etc.)", 6,
IF('Master English Sheet'!I58 = "Cold brew", 7,
IF('Master English Sheet'!I58 = "I don't drink coffee", 8,
IF('Master English Sheet'!I58 = "Other:", 9,
IF('Master English Sheet'!I58 ="", 10, ""))))))))))</f>
        <v>2</v>
      </c>
      <c r="I58" s="1">
        <f>IF('Master English Sheet'!K58="Daily", 1,
IF('Master English Sheet'!K58="Several times a week", 2,
IF('Master English Sheet'!K58="Once a week", 3,
IF('Master English Sheet'!K58 = "Rarely", 4,
IF('Master English Sheet'!K58 = "Never", 5, "")))))</f>
        <v>1</v>
      </c>
      <c r="J58" s="1">
        <f>IF('Master English Sheet'!L58="Usucha", 1,
IF('Master English Sheet'!L58="Koicha", 2,
IF('Master English Sheet'!L58="Matcha Latte", 3,
IF('Master English Sheet'!L58="I don’t drink matcha", 4,
IF('Master English Sheet'!L58 = "Other:", 5,
IF('Master English Sheet'!L58 ="", 6, ""))))))</f>
        <v>1</v>
      </c>
      <c r="K58" s="1">
        <f>IF('Parse of Qs'!A58="Taste/Flavor", 1,
IF('Parse of Qs'!A58="Price", 2,
IF('Parse of Qs'!A58="Energy boost/Caffeine", 3,
IF('Parse of Qs'!A58="Health benefits", 4,
IF('Parse of Qs'!A58 = "Social atmosphere", 5,
IF('Parse of Qs'!A58 ="Routine/Ritual", 6, 
IF('Parse of Qs'!A58 = "Branding/Imagery", 7,
IF('Parse of Qs'!A58 = "Social norms / influence (what people around me usually drink)", 8, 
IF('Parse of Qs'!A58 = "To try new things", 9,
IF('Parse of Qs'!A58 = "Other:", 10, 
IF('Parse of Qs'!A58 = "", 11, "")))))))))))</f>
        <v>1</v>
      </c>
      <c r="L58" s="1">
        <f>IF('Parse of Qs'!B58="Taste/Flavor", 1,
IF('Parse of Qs'!B58="Price", 2,
IF('Parse of Qs'!B58="Energy boost/Caffeine", 3,
IF('Parse of Qs'!B58="Health benefits", 4,
IF('Parse of Qs'!B58 = "Social atmosphere", 5,
IF('Parse of Qs'!B58 ="Routine/Ritual", 6, 
IF('Parse of Qs'!B58 = "Branding/Imagery", 7,
IF('Parse of Qs'!B58 = "Social norms / influence (what people around me usually drink)", 8, 
IF('Parse of Qs'!B58 = "To try new things", 9,
IF('Parse of Qs'!B58 = "Other:", 10, 
IF('Parse of Qs'!B58 = "", 11, "")))))))))))</f>
        <v>4</v>
      </c>
      <c r="M58" s="1">
        <f>IF('Parse of Qs'!C58="At cafés", 1,
IF('Parse of Qs'!C58="At home", 2,
IF('Parse of Qs'!C58="From convenience stores (7-Eleven, Lawson, etc.)", 3,
IF('Parse of Qs'!C58="From vending machines", 4,
IF('Parse of Qs'!C58 = "Other:", 5,
IF('Parse of Qs'!C58 = "", 6, ""))))))</f>
        <v>2</v>
      </c>
      <c r="N58" s="1">
        <f>IF('Parse of Qs'!D58="At cafés", 1,
IF('Parse of Qs'!D58="At home", 2,
IF('Parse of Qs'!D58="From convenience stores (7-Eleven, Lawson, etc.)", 3,
IF('Parse of Qs'!D58="From vending machines", 4,
IF('Parse of Qs'!D58 = "Other:", 5,
IF('Parse of Qs'!D58 = "", 6, ""))))))</f>
        <v>4</v>
      </c>
      <c r="O58" s="1">
        <f>IF('Parse of Qs'!E58="At cafés", 1,
IF('Parse of Qs'!E58="At home", 2,
IF('Parse of Qs'!E58="From convenience stores (7-Eleven, Lawson, etc.)", 3,
IF('Parse of Qs'!E58="From vending machines", 4,
IF('Parse of Qs'!E58 = "Other:", 5,
IF('Parse of Qs'!E58 = "", 6, ""))))))</f>
        <v>6</v>
      </c>
      <c r="P58" s="1">
        <f>IF('Parse of Qs'!F58="At cafés", 1,
IF('Parse of Qs'!F58="At home", 2,
IF('Parse of Qs'!F58="From convenience stores (7-Eleven, Lawson, etc.)", 3,
IF('Parse of Qs'!F58="From vending machines", 4,
IF('Parse of Qs'!F58 = "Other:", 5,
IF('Parse of Qs'!F58 = "", 6, ""))))))</f>
        <v>6</v>
      </c>
      <c r="Q58" s="1">
        <f>IF(OR('Master English Sheet'!R58="Every Day",'Master English Sheet'!R58="Daily"), 1,
IF('Master English Sheet'!R58="Several times a week", 2,
IF('Master English Sheet'!R58="Once a week", 3,
IF('Master English Sheet'!R58="A few times a month", 4,
IF('Master English Sheet'!R58="Rarely", 5,
IF('Master English Sheet'!R58="Never", 6, 
IF('Master English Sheet'!R58 = "", 7, "")))))))</f>
        <v>4</v>
      </c>
      <c r="R58" s="1">
        <f>IF('Master English Sheet'!S58="To relax or take a break", 1,
IF('Master English Sheet'!S58="To meet friends", 2,
IF('Master English Sheet'!S58="To study/work", 3,
IF('Master English Sheet'!S58="To try a new drink", 4,
IF('Master English Sheet'!S58="Out of habit", 5,
IF('Master English Sheet'!S58="Other:", 6, 
IF('Master English Sheet'!S58 = "", 7, "")))))))</f>
        <v>5</v>
      </c>
      <c r="S58" s="1">
        <f>IF('Master English Sheet'!U58="Quality of drinks", 1,
IF('Master English Sheet'!U58="Atmosphere", 2,
IF('Master English Sheet'!U58="Service", 3,
IF('Master English Sheet'!U58="Brand image", 4,
IF('Master English Sheet'!U58="Other:", 5, 
IF('Master English Sheet'!U58 = "", 6, ""))))))</f>
        <v>3</v>
      </c>
      <c r="T58" s="1">
        <f>IF('Master English Sheet'!W58="Yes, Western", 1,
IF('Master English Sheet'!W58="Yes, Global", 2,
IF('Master English Sheet'!W58="Yes,  Japanese", 3,
IF('Master English Sheet'!W58="No", 4,
IF('Master English Sheet'!W58="Unsure", 5, 
IF('Master English Sheet'!W58 = "", 6, ""))))))</f>
        <v>2</v>
      </c>
      <c r="U58" s="1">
        <f>IF('Master English Sheet'!X58="Yes, Western", 1,
IF('Master English Sheet'!X58="Yes, Global", 2,
IF('Master English Sheet'!X58="Yes,  Japanese", 3,
IF('Master English Sheet'!X58="No", 4,
IF('Master English Sheet'!X58="Unsure", 5, 
IF('Master English Sheet'!X58 = "", 6, ""))))))</f>
        <v>3</v>
      </c>
      <c r="V58" s="1">
        <f>'Master English Sheet'!Y58</f>
        <v>7</v>
      </c>
      <c r="W58" s="1">
        <f>'Master English Sheet'!Z58</f>
        <v>7</v>
      </c>
      <c r="X58" s="1">
        <f>'Master English Sheet'!AA58</f>
        <v>4</v>
      </c>
    </row>
    <row r="59">
      <c r="A59" s="6">
        <v>58.0</v>
      </c>
      <c r="B59" s="6">
        <v>1.0</v>
      </c>
      <c r="C59" s="1">
        <f>IF('Master English Sheet'!D59="18-25", 1,
IF('Master English Sheet'!D59="26-35", 2,
IF('Master English Sheet'!D59="36-45", 3,
IF('Master English Sheet'!D59="46-55", 4,
IF('Master English Sheet'!D59="56-65", 5,
IF('Master English Sheet'!D59="65+", 6, ""))))))</f>
        <v>5</v>
      </c>
      <c r="D59" s="1">
        <f>IF('Master English Sheet'!E59="Male", 1,
IF('Master English Sheet'!E59="Female", 2,
IF('Master English Sheet'!E59="Nonbinary", 3,
IF('Master English Sheet'!E59="Prefer not to say", 4, ""))))</f>
        <v>1</v>
      </c>
      <c r="E59" s="1">
        <f>IF('Master English Sheet'!F59="Under ¥3,000,000", 1,
IF('Master English Sheet'!F59="¥3,000,000 – ¥5,999,999", 2,
IF('Master English Sheet'!F59="¥6,000,000 – ¥8,999,999", 3,
IF('Master English Sheet'!F59="¥9,000,000 – ¥11,999,999", 4,
IF('Master English Sheet'!F59 = "¥12,000,000 or more", 5,
IF('Master English Sheet'!F59 = "Prefer not to say", 6, ""))))))</f>
        <v>5</v>
      </c>
      <c r="F59" s="1">
        <f>IF('Master English Sheet'!G59="Hokkaido", 1,
IF('Master English Sheet'!G59="Tohoku", 2,
IF('Master English Sheet'!G59="Kanto", 3,
IF('Master English Sheet'!G59="Chubu", 4,
IF('Master English Sheet'!G59 = "Kansai", 5,
IF('Master English Sheet'!G59 = "Chugoku", 6,
IF('Master English Sheet'!G59 = "Shikoku", 7,
IF('Master English Sheet'!G59 = "Kyushu", 8,
IF('Master English Sheet'!G59 = "Okinawa", 9, 
IF('Master English Sheet'!G59 = "I do not live in Japan", 10, ""))))))))))</f>
        <v>5</v>
      </c>
      <c r="G59" s="1">
        <f>IF('Master English Sheet'!H59="Daily", 1,
IF('Master English Sheet'!H59="Several times a week", 2,
IF('Master English Sheet'!H59="Once a week", 3,
IF('Master English Sheet'!H59 = "Rarely", 4,
IF('Master English Sheet'!H59 = "Never", 5, "")))))</f>
        <v>1</v>
      </c>
      <c r="H59" s="1">
        <f>IF('Master English Sheet'!I59="Pour Over", 1,
IF('Master English Sheet'!I59="Drip", 2,
IF('Master English Sheet'!I59="Latte", 3,
IF('Master English Sheet'!I59="Americano", 4,
IF('Master English Sheet'!I59 = "Cappuccino", 5,
IF('Master English Sheet'!I59 = "Flavored coffee (mocha, vanilla, caramel, etc.)", 6,
IF('Master English Sheet'!I59 = "Cold brew", 7,
IF('Master English Sheet'!I59 = "I don't drink coffee", 8,
IF('Master English Sheet'!I59 = "Other:", 9,
IF('Master English Sheet'!I59 ="", 10, ""))))))))))</f>
        <v>2</v>
      </c>
      <c r="I59" s="1">
        <f>IF('Master English Sheet'!K59="Daily", 1,
IF('Master English Sheet'!K59="Several times a week", 2,
IF('Master English Sheet'!K59="Once a week", 3,
IF('Master English Sheet'!K59 = "Rarely", 4,
IF('Master English Sheet'!K59 = "Never", 5, "")))))</f>
        <v>4</v>
      </c>
      <c r="J59" s="1">
        <f>IF('Master English Sheet'!L59="Usucha", 1,
IF('Master English Sheet'!L59="Koicha", 2,
IF('Master English Sheet'!L59="Matcha Latte", 3,
IF('Master English Sheet'!L59="I don’t drink matcha", 4,
IF('Master English Sheet'!L59 = "Other:", 5,
IF('Master English Sheet'!L59 ="", 6, ""))))))</f>
        <v>4</v>
      </c>
      <c r="K59" s="1">
        <f>IF('Parse of Qs'!A59="Taste/Flavor", 1,
IF('Parse of Qs'!A59="Price", 2,
IF('Parse of Qs'!A59="Energy boost/Caffeine", 3,
IF('Parse of Qs'!A59="Health benefits", 4,
IF('Parse of Qs'!A59 = "Social atmosphere", 5,
IF('Parse of Qs'!A59 ="Routine/Ritual", 6, 
IF('Parse of Qs'!A59 = "Branding/Imagery", 7,
IF('Parse of Qs'!A59 = "Social norms / influence (what people around me usually drink)", 8, 
IF('Parse of Qs'!A59 = "To try new things", 9,
IF('Parse of Qs'!A59 = "Other:", 10, 
IF('Parse of Qs'!A59 = "", 11, "")))))))))))</f>
        <v>6</v>
      </c>
      <c r="L59" s="1">
        <f>IF('Parse of Qs'!B59="Taste/Flavor", 1,
IF('Parse of Qs'!B59="Price", 2,
IF('Parse of Qs'!B59="Energy boost/Caffeine", 3,
IF('Parse of Qs'!B59="Health benefits", 4,
IF('Parse of Qs'!B59 = "Social atmosphere", 5,
IF('Parse of Qs'!B59 ="Routine/Ritual", 6, 
IF('Parse of Qs'!B59 = "Branding/Imagery", 7,
IF('Parse of Qs'!B59 = "Social norms / influence (what people around me usually drink)", 8, 
IF('Parse of Qs'!B59 = "To try new things", 9,
IF('Parse of Qs'!B59 = "Other:", 10, 
IF('Parse of Qs'!B59 = "", 11, "")))))))))))</f>
        <v>1</v>
      </c>
      <c r="M59" s="1">
        <f>IF('Parse of Qs'!C59="At cafés", 1,
IF('Parse of Qs'!C59="At home", 2,
IF('Parse of Qs'!C59="From convenience stores (7-Eleven, Lawson, etc.)", 3,
IF('Parse of Qs'!C59="From vending machines", 4,
IF('Parse of Qs'!C59 = "Other:", 5,
IF('Parse of Qs'!C59 = "", 6, ""))))))</f>
        <v>2</v>
      </c>
      <c r="N59" s="1">
        <f>IF('Parse of Qs'!D59="At cafés", 1,
IF('Parse of Qs'!D59="At home", 2,
IF('Parse of Qs'!D59="From convenience stores (7-Eleven, Lawson, etc.)", 3,
IF('Parse of Qs'!D59="From vending machines", 4,
IF('Parse of Qs'!D59 = "Other:", 5,
IF('Parse of Qs'!D59 = "", 6, ""))))))</f>
        <v>5</v>
      </c>
      <c r="O59" s="1">
        <f>IF('Parse of Qs'!E59="At cafés", 1,
IF('Parse of Qs'!E59="At home", 2,
IF('Parse of Qs'!E59="From convenience stores (7-Eleven, Lawson, etc.)", 3,
IF('Parse of Qs'!E59="From vending machines", 4,
IF('Parse of Qs'!E59 = "Other:", 5,
IF('Parse of Qs'!E59 = "", 6, ""))))))</f>
        <v>6</v>
      </c>
      <c r="P59" s="1">
        <f>IF('Parse of Qs'!F59="At cafés", 1,
IF('Parse of Qs'!F59="At home", 2,
IF('Parse of Qs'!F59="From convenience stores (7-Eleven, Lawson, etc.)", 3,
IF('Parse of Qs'!F59="From vending machines", 4,
IF('Parse of Qs'!F59 = "Other:", 5,
IF('Parse of Qs'!F59 = "", 6, ""))))))</f>
        <v>6</v>
      </c>
      <c r="Q59" s="1">
        <f>IF(OR('Master English Sheet'!R59="Every Day",'Master English Sheet'!R59="Daily"), 1,
IF('Master English Sheet'!R59="Several times a week", 2,
IF('Master English Sheet'!R59="Once a week", 3,
IF('Master English Sheet'!R59="A few times a month", 4,
IF('Master English Sheet'!R59="Rarely", 5,
IF('Master English Sheet'!R59="Never", 6, 
IF('Master English Sheet'!R59 = "", 7, "")))))))</f>
        <v>5</v>
      </c>
      <c r="R59" s="1">
        <f>IF('Master English Sheet'!S59="To relax or take a break", 1,
IF('Master English Sheet'!S59="To meet friends", 2,
IF('Master English Sheet'!S59="To study/work", 3,
IF('Master English Sheet'!S59="To try a new drink", 4,
IF('Master English Sheet'!S59="Out of habit", 5,
IF('Master English Sheet'!S59="Other:", 6, 
IF('Master English Sheet'!S59 = "", 7, "")))))))</f>
        <v>1</v>
      </c>
      <c r="S59" s="1">
        <f>IF('Master English Sheet'!U59="Quality of drinks", 1,
IF('Master English Sheet'!U59="Atmosphere", 2,
IF('Master English Sheet'!U59="Service", 3,
IF('Master English Sheet'!U59="Brand image", 4,
IF('Master English Sheet'!U59="Other:", 5, 
IF('Master English Sheet'!U59 = "", 6, ""))))))</f>
        <v>2</v>
      </c>
      <c r="T59" s="1">
        <f>IF('Master English Sheet'!W59="Yes, Western", 1,
IF('Master English Sheet'!W59="Yes, Global", 2,
IF('Master English Sheet'!W59="Yes,  Japanese", 3,
IF('Master English Sheet'!W59="No", 4,
IF('Master English Sheet'!W59="Unsure", 5, 
IF('Master English Sheet'!W59 = "", 6, ""))))))</f>
        <v>1</v>
      </c>
      <c r="U59" s="1">
        <f>IF('Master English Sheet'!X59="Yes, Western", 1,
IF('Master English Sheet'!X59="Yes, Global", 2,
IF('Master English Sheet'!X59="Yes,  Japanese", 3,
IF('Master English Sheet'!X59="No", 4,
IF('Master English Sheet'!X59="Unsure", 5, 
IF('Master English Sheet'!X59 = "", 6, ""))))))</f>
        <v>3</v>
      </c>
      <c r="V59" s="1">
        <f>'Master English Sheet'!Y59</f>
        <v>5</v>
      </c>
      <c r="W59" s="1">
        <f>'Master English Sheet'!Z59</f>
        <v>6</v>
      </c>
      <c r="X59" s="1">
        <f>'Master English Sheet'!AA59</f>
        <v>1</v>
      </c>
    </row>
    <row r="60">
      <c r="A60" s="6">
        <v>59.0</v>
      </c>
      <c r="B60" s="6">
        <v>1.0</v>
      </c>
      <c r="C60" s="1">
        <f>IF('Master English Sheet'!D60="18-25", 1,
IF('Master English Sheet'!D60="26-35", 2,
IF('Master English Sheet'!D60="36-45", 3,
IF('Master English Sheet'!D60="46-55", 4,
IF('Master English Sheet'!D60="56-65", 5,
IF('Master English Sheet'!D60="65+", 6, ""))))))</f>
        <v>4</v>
      </c>
      <c r="D60" s="1">
        <f>IF('Master English Sheet'!E60="Male", 1,
IF('Master English Sheet'!E60="Female", 2,
IF('Master English Sheet'!E60="Nonbinary", 3,
IF('Master English Sheet'!E60="Prefer not to say", 4, ""))))</f>
        <v>2</v>
      </c>
      <c r="E60" s="1">
        <f>IF('Master English Sheet'!F60="Under ¥3,000,000", 1,
IF('Master English Sheet'!F60="¥3,000,000 – ¥5,999,999", 2,
IF('Master English Sheet'!F60="¥6,000,000 – ¥8,999,999", 3,
IF('Master English Sheet'!F60="¥9,000,000 – ¥11,999,999", 4,
IF('Master English Sheet'!F60 = "¥12,000,000 or more", 5,
IF('Master English Sheet'!F60 = "Prefer not to say", 6, ""))))))</f>
        <v>5</v>
      </c>
      <c r="F60" s="1">
        <f>IF('Master English Sheet'!G60="Hokkaido", 1,
IF('Master English Sheet'!G60="Tohoku", 2,
IF('Master English Sheet'!G60="Kanto", 3,
IF('Master English Sheet'!G60="Chubu", 4,
IF('Master English Sheet'!G60 = "Kansai", 5,
IF('Master English Sheet'!G60 = "Chugoku", 6,
IF('Master English Sheet'!G60 = "Shikoku", 7,
IF('Master English Sheet'!G60 = "Kyushu", 8,
IF('Master English Sheet'!G60 = "Okinawa", 9, 
IF('Master English Sheet'!G60 = "I do not live in Japan", 10, ""))))))))))</f>
        <v>3</v>
      </c>
      <c r="G60" s="1">
        <f>IF('Master English Sheet'!H60="Daily", 1,
IF('Master English Sheet'!H60="Several times a week", 2,
IF('Master English Sheet'!H60="Once a week", 3,
IF('Master English Sheet'!H60 = "Rarely", 4,
IF('Master English Sheet'!H60 = "Never", 5, "")))))</f>
        <v>1</v>
      </c>
      <c r="H60" s="1">
        <f>IF('Master English Sheet'!I60="Pour Over", 1,
IF('Master English Sheet'!I60="Drip", 2,
IF('Master English Sheet'!I60="Latte", 3,
IF('Master English Sheet'!I60="Americano", 4,
IF('Master English Sheet'!I60 = "Cappuccino", 5,
IF('Master English Sheet'!I60 = "Flavored coffee (mocha, vanilla, caramel, etc.)", 6,
IF('Master English Sheet'!I60 = "Cold brew", 7,
IF('Master English Sheet'!I60 = "I don't drink coffee", 8,
IF('Master English Sheet'!I60 = "Other:", 9,
IF('Master English Sheet'!I60 ="", 10, ""))))))))))</f>
        <v>2</v>
      </c>
      <c r="I60" s="1">
        <f>IF('Master English Sheet'!K60="Daily", 1,
IF('Master English Sheet'!K60="Several times a week", 2,
IF('Master English Sheet'!K60="Once a week", 3,
IF('Master English Sheet'!K60 = "Rarely", 4,
IF('Master English Sheet'!K60 = "Never", 5, "")))))</f>
        <v>4</v>
      </c>
      <c r="J60" s="1">
        <f>IF('Master English Sheet'!L60="Usucha", 1,
IF('Master English Sheet'!L60="Koicha", 2,
IF('Master English Sheet'!L60="Matcha Latte", 3,
IF('Master English Sheet'!L60="I don’t drink matcha", 4,
IF('Master English Sheet'!L60 = "Other:", 5,
IF('Master English Sheet'!L60 ="", 6, ""))))))</f>
        <v>1</v>
      </c>
      <c r="K60" s="1">
        <f>IF('Parse of Qs'!A60="Taste/Flavor", 1,
IF('Parse of Qs'!A60="Price", 2,
IF('Parse of Qs'!A60="Energy boost/Caffeine", 3,
IF('Parse of Qs'!A60="Health benefits", 4,
IF('Parse of Qs'!A60 = "Social atmosphere", 5,
IF('Parse of Qs'!A60 ="Routine/Ritual", 6, 
IF('Parse of Qs'!A60 = "Branding/Imagery", 7,
IF('Parse of Qs'!A60 = "Social norms / influence (what people around me usually drink)", 8, 
IF('Parse of Qs'!A60 = "To try new things", 9,
IF('Parse of Qs'!A60 = "Other:", 10, 
IF('Parse of Qs'!A60 = "", 11, "")))))))))))</f>
        <v>3</v>
      </c>
      <c r="L60" s="1">
        <f>IF('Parse of Qs'!B60="Taste/Flavor", 1,
IF('Parse of Qs'!B60="Price", 2,
IF('Parse of Qs'!B60="Energy boost/Caffeine", 3,
IF('Parse of Qs'!B60="Health benefits", 4,
IF('Parse of Qs'!B60 = "Social atmosphere", 5,
IF('Parse of Qs'!B60 ="Routine/Ritual", 6, 
IF('Parse of Qs'!B60 = "Branding/Imagery", 7,
IF('Parse of Qs'!B60 = "Social norms / influence (what people around me usually drink)", 8, 
IF('Parse of Qs'!B60 = "To try new things", 9,
IF('Parse of Qs'!B60 = "Other:", 10, 
IF('Parse of Qs'!B60 = "", 11, "")))))))))))</f>
        <v>1</v>
      </c>
      <c r="M60" s="1">
        <f>IF('Parse of Qs'!C60="At cafés", 1,
IF('Parse of Qs'!C60="At home", 2,
IF('Parse of Qs'!C60="From convenience stores (7-Eleven, Lawson, etc.)", 3,
IF('Parse of Qs'!C60="From vending machines", 4,
IF('Parse of Qs'!C60 = "Other:", 5,
IF('Parse of Qs'!C60 = "", 6, ""))))))</f>
        <v>6</v>
      </c>
      <c r="N60" s="1">
        <f>IF('Parse of Qs'!D60="At cafés", 1,
IF('Parse of Qs'!D60="At home", 2,
IF('Parse of Qs'!D60="From convenience stores (7-Eleven, Lawson, etc.)", 3,
IF('Parse of Qs'!D60="From vending machines", 4,
IF('Parse of Qs'!D60 = "Other:", 5,
IF('Parse of Qs'!D60 = "", 6, ""))))))</f>
        <v>6</v>
      </c>
      <c r="O60" s="1">
        <f>IF('Parse of Qs'!E60="At cafés", 1,
IF('Parse of Qs'!E60="At home", 2,
IF('Parse of Qs'!E60="From convenience stores (7-Eleven, Lawson, etc.)", 3,
IF('Parse of Qs'!E60="From vending machines", 4,
IF('Parse of Qs'!E60 = "Other:", 5,
IF('Parse of Qs'!E60 = "", 6, ""))))))</f>
        <v>6</v>
      </c>
      <c r="P60" s="1">
        <f>IF('Parse of Qs'!F60="At cafés", 1,
IF('Parse of Qs'!F60="At home", 2,
IF('Parse of Qs'!F60="From convenience stores (7-Eleven, Lawson, etc.)", 3,
IF('Parse of Qs'!F60="From vending machines", 4,
IF('Parse of Qs'!F60 = "Other:", 5,
IF('Parse of Qs'!F60 = "", 6, ""))))))</f>
        <v>6</v>
      </c>
      <c r="Q60" s="1">
        <f>IF(OR('Master English Sheet'!R60="Every Day",'Master English Sheet'!R60="Daily"), 1,
IF('Master English Sheet'!R60="Several times a week", 2,
IF('Master English Sheet'!R60="Once a week", 3,
IF('Master English Sheet'!R60="A few times a month", 4,
IF('Master English Sheet'!R60="Rarely", 5,
IF('Master English Sheet'!R60="Never", 6, 
IF('Master English Sheet'!R60 = "", 7, "")))))))</f>
        <v>2</v>
      </c>
      <c r="R60" s="1">
        <f>IF('Master English Sheet'!S60="To relax or take a break", 1,
IF('Master English Sheet'!S60="To meet friends", 2,
IF('Master English Sheet'!S60="To study/work", 3,
IF('Master English Sheet'!S60="To try a new drink", 4,
IF('Master English Sheet'!S60="Out of habit", 5,
IF('Master English Sheet'!S60="Other:", 6, 
IF('Master English Sheet'!S60 = "", 7, "")))))))</f>
        <v>1</v>
      </c>
      <c r="S60" s="1">
        <f>IF('Master English Sheet'!U60="Quality of drinks", 1,
IF('Master English Sheet'!U60="Atmosphere", 2,
IF('Master English Sheet'!U60="Service", 3,
IF('Master English Sheet'!U60="Brand image", 4,
IF('Master English Sheet'!U60="Other:", 5, 
IF('Master English Sheet'!U60 = "", 6, ""))))))</f>
        <v>1</v>
      </c>
      <c r="T60" s="1">
        <f>IF('Master English Sheet'!W60="Yes, Western", 1,
IF('Master English Sheet'!W60="Yes, Global", 2,
IF('Master English Sheet'!W60="Yes,  Japanese", 3,
IF('Master English Sheet'!W60="No", 4,
IF('Master English Sheet'!W60="Unsure", 5, 
IF('Master English Sheet'!W60 = "", 6, ""))))))</f>
        <v>4</v>
      </c>
      <c r="U60" s="1">
        <f>IF('Master English Sheet'!X60="Yes, Western", 1,
IF('Master English Sheet'!X60="Yes, Global", 2,
IF('Master English Sheet'!X60="Yes,  Japanese", 3,
IF('Master English Sheet'!X60="No", 4,
IF('Master English Sheet'!X60="Unsure", 5, 
IF('Master English Sheet'!X60 = "", 6, ""))))))</f>
        <v>3</v>
      </c>
      <c r="V60" s="1">
        <f>'Master English Sheet'!Y60</f>
        <v>5</v>
      </c>
      <c r="W60" s="1">
        <f>'Master English Sheet'!Z60</f>
        <v>7</v>
      </c>
      <c r="X60" s="1">
        <f>'Master English Sheet'!AA60</f>
        <v>5</v>
      </c>
    </row>
    <row r="61">
      <c r="A61" s="6">
        <v>60.0</v>
      </c>
      <c r="B61" s="6">
        <v>1.0</v>
      </c>
      <c r="C61" s="1">
        <f>IF('Master English Sheet'!D61="18-25", 1,
IF('Master English Sheet'!D61="26-35", 2,
IF('Master English Sheet'!D61="36-45", 3,
IF('Master English Sheet'!D61="46-55", 4,
IF('Master English Sheet'!D61="56-65", 5,
IF('Master English Sheet'!D61="65+", 6, ""))))))</f>
        <v>3</v>
      </c>
      <c r="D61" s="1">
        <f>IF('Master English Sheet'!E61="Male", 1,
IF('Master English Sheet'!E61="Female", 2,
IF('Master English Sheet'!E61="Nonbinary", 3,
IF('Master English Sheet'!E61="Prefer not to say", 4, ""))))</f>
        <v>2</v>
      </c>
      <c r="E61" s="1">
        <f>IF('Master English Sheet'!F61="Under ¥3,000,000", 1,
IF('Master English Sheet'!F61="¥3,000,000 – ¥5,999,999", 2,
IF('Master English Sheet'!F61="¥6,000,000 – ¥8,999,999", 3,
IF('Master English Sheet'!F61="¥9,000,000 – ¥11,999,999", 4,
IF('Master English Sheet'!F61 = "¥12,000,000 or more", 5,
IF('Master English Sheet'!F61 = "Prefer not to say", 6, ""))))))</f>
        <v>5</v>
      </c>
      <c r="F61" s="1">
        <f>IF('Master English Sheet'!G61="Hokkaido", 1,
IF('Master English Sheet'!G61="Tohoku", 2,
IF('Master English Sheet'!G61="Kanto", 3,
IF('Master English Sheet'!G61="Chubu", 4,
IF('Master English Sheet'!G61 = "Kansai", 5,
IF('Master English Sheet'!G61 = "Chugoku", 6,
IF('Master English Sheet'!G61 = "Shikoku", 7,
IF('Master English Sheet'!G61 = "Kyushu", 8,
IF('Master English Sheet'!G61 = "Okinawa", 9, 
IF('Master English Sheet'!G61 = "I do not live in Japan", 10, ""))))))))))</f>
        <v>3</v>
      </c>
      <c r="G61" s="1">
        <f>IF('Master English Sheet'!H61="Daily", 1,
IF('Master English Sheet'!H61="Several times a week", 2,
IF('Master English Sheet'!H61="Once a week", 3,
IF('Master English Sheet'!H61 = "Rarely", 4,
IF('Master English Sheet'!H61 = "Never", 5, "")))))</f>
        <v>3</v>
      </c>
      <c r="H61" s="1">
        <f>IF('Master English Sheet'!I61="Pour Over", 1,
IF('Master English Sheet'!I61="Drip", 2,
IF('Master English Sheet'!I61="Latte", 3,
IF('Master English Sheet'!I61="Americano", 4,
IF('Master English Sheet'!I61 = "Cappuccino", 5,
IF('Master English Sheet'!I61 = "Flavored coffee (mocha, vanilla, caramel, etc.)", 6,
IF('Master English Sheet'!I61 = "Cold brew", 7,
IF('Master English Sheet'!I61 = "I don't drink coffee", 8,
IF('Master English Sheet'!I61 = "Other:", 9,
IF('Master English Sheet'!I61 ="", 10, ""))))))))))</f>
        <v>3</v>
      </c>
      <c r="I61" s="1">
        <f>IF('Master English Sheet'!K61="Daily", 1,
IF('Master English Sheet'!K61="Several times a week", 2,
IF('Master English Sheet'!K61="Once a week", 3,
IF('Master English Sheet'!K61 = "Rarely", 4,
IF('Master English Sheet'!K61 = "Never", 5, "")))))</f>
        <v>4</v>
      </c>
      <c r="J61" s="1">
        <f>IF('Master English Sheet'!L61="Usucha", 1,
IF('Master English Sheet'!L61="Koicha", 2,
IF('Master English Sheet'!L61="Matcha Latte", 3,
IF('Master English Sheet'!L61="I don’t drink matcha", 4,
IF('Master English Sheet'!L61 = "Other:", 5,
IF('Master English Sheet'!L61 ="", 6, ""))))))</f>
        <v>4</v>
      </c>
      <c r="K61" s="1">
        <f>IF('Parse of Qs'!A61="Taste/Flavor", 1,
IF('Parse of Qs'!A61="Price", 2,
IF('Parse of Qs'!A61="Energy boost/Caffeine", 3,
IF('Parse of Qs'!A61="Health benefits", 4,
IF('Parse of Qs'!A61 = "Social atmosphere", 5,
IF('Parse of Qs'!A61 ="Routine/Ritual", 6, 
IF('Parse of Qs'!A61 = "Branding/Imagery", 7,
IF('Parse of Qs'!A61 = "Social norms / influence (what people around me usually drink)", 8, 
IF('Parse of Qs'!A61 = "To try new things", 9,
IF('Parse of Qs'!A61 = "Other:", 10, 
IF('Parse of Qs'!A61 = "", 11, "")))))))))))</f>
        <v>6</v>
      </c>
      <c r="L61" s="1">
        <f>IF('Parse of Qs'!B61="Taste/Flavor", 1,
IF('Parse of Qs'!B61="Price", 2,
IF('Parse of Qs'!B61="Energy boost/Caffeine", 3,
IF('Parse of Qs'!B61="Health benefits", 4,
IF('Parse of Qs'!B61 = "Social atmosphere", 5,
IF('Parse of Qs'!B61 ="Routine/Ritual", 6, 
IF('Parse of Qs'!B61 = "Branding/Imagery", 7,
IF('Parse of Qs'!B61 = "Social norms / influence (what people around me usually drink)", 8, 
IF('Parse of Qs'!B61 = "To try new things", 9,
IF('Parse of Qs'!B61 = "Other:", 10, 
IF('Parse of Qs'!B61 = "", 11, "")))))))))))</f>
        <v>11</v>
      </c>
      <c r="M61" s="1">
        <f>IF('Parse of Qs'!C61="At cafés", 1,
IF('Parse of Qs'!C61="At home", 2,
IF('Parse of Qs'!C61="From convenience stores (7-Eleven, Lawson, etc.)", 3,
IF('Parse of Qs'!C61="From vending machines", 4,
IF('Parse of Qs'!C61 = "Other:", 5,
IF('Parse of Qs'!C61 = "", 6, ""))))))</f>
        <v>1</v>
      </c>
      <c r="N61" s="1">
        <f>IF('Parse of Qs'!D61="At cafés", 1,
IF('Parse of Qs'!D61="At home", 2,
IF('Parse of Qs'!D61="From convenience stores (7-Eleven, Lawson, etc.)", 3,
IF('Parse of Qs'!D61="From vending machines", 4,
IF('Parse of Qs'!D61 = "Other:", 5,
IF('Parse of Qs'!D61 = "", 6, ""))))))</f>
        <v>6</v>
      </c>
      <c r="O61" s="1">
        <f>IF('Parse of Qs'!E61="At cafés", 1,
IF('Parse of Qs'!E61="At home", 2,
IF('Parse of Qs'!E61="From convenience stores (7-Eleven, Lawson, etc.)", 3,
IF('Parse of Qs'!E61="From vending machines", 4,
IF('Parse of Qs'!E61 = "Other:", 5,
IF('Parse of Qs'!E61 = "", 6, ""))))))</f>
        <v>6</v>
      </c>
      <c r="P61" s="1">
        <f>IF('Parse of Qs'!F61="At cafés", 1,
IF('Parse of Qs'!F61="At home", 2,
IF('Parse of Qs'!F61="From convenience stores (7-Eleven, Lawson, etc.)", 3,
IF('Parse of Qs'!F61="From vending machines", 4,
IF('Parse of Qs'!F61 = "Other:", 5,
IF('Parse of Qs'!F61 = "", 6, ""))))))</f>
        <v>6</v>
      </c>
      <c r="Q61" s="1">
        <f>IF(OR('Master English Sheet'!R61="Every Day",'Master English Sheet'!R61="Daily"), 1,
IF('Master English Sheet'!R61="Several times a week", 2,
IF('Master English Sheet'!R61="Once a week", 3,
IF('Master English Sheet'!R61="A few times a month", 4,
IF('Master English Sheet'!R61="Rarely", 5,
IF('Master English Sheet'!R61="Never", 6, 
IF('Master English Sheet'!R61 = "", 7, "")))))))</f>
        <v>3</v>
      </c>
      <c r="R61" s="1">
        <f>IF('Master English Sheet'!S61="To relax or take a break", 1,
IF('Master English Sheet'!S61="To meet friends", 2,
IF('Master English Sheet'!S61="To study/work", 3,
IF('Master English Sheet'!S61="To try a new drink", 4,
IF('Master English Sheet'!S61="Out of habit", 5,
IF('Master English Sheet'!S61="Other:", 6, 
IF('Master English Sheet'!S61 = "", 7, "")))))))</f>
        <v>1</v>
      </c>
      <c r="S61" s="1">
        <f>IF('Master English Sheet'!U61="Quality of drinks", 1,
IF('Master English Sheet'!U61="Atmosphere", 2,
IF('Master English Sheet'!U61="Service", 3,
IF('Master English Sheet'!U61="Brand image", 4,
IF('Master English Sheet'!U61="Other:", 5, 
IF('Master English Sheet'!U61 = "", 6, ""))))))</f>
        <v>1</v>
      </c>
      <c r="T61" s="1">
        <f>IF('Master English Sheet'!W61="Yes, Western", 1,
IF('Master English Sheet'!W61="Yes, Global", 2,
IF('Master English Sheet'!W61="Yes,  Japanese", 3,
IF('Master English Sheet'!W61="No", 4,
IF('Master English Sheet'!W61="Unsure", 5, 
IF('Master English Sheet'!W61 = "", 6, ""))))))</f>
        <v>1</v>
      </c>
      <c r="U61" s="1">
        <f>IF('Master English Sheet'!X61="Yes, Western", 1,
IF('Master English Sheet'!X61="Yes, Global", 2,
IF('Master English Sheet'!X61="Yes,  Japanese", 3,
IF('Master English Sheet'!X61="No", 4,
IF('Master English Sheet'!X61="Unsure", 5, 
IF('Master English Sheet'!X61 = "", 6, ""))))))</f>
        <v>3</v>
      </c>
      <c r="V61" s="1">
        <f>'Master English Sheet'!Y61</f>
        <v>4</v>
      </c>
      <c r="W61" s="1">
        <f>'Master English Sheet'!Z61</f>
        <v>7</v>
      </c>
      <c r="X61" s="1">
        <f>'Master English Sheet'!AA61</f>
        <v>3</v>
      </c>
    </row>
    <row r="62">
      <c r="A62" s="6">
        <v>61.0</v>
      </c>
      <c r="B62" s="6">
        <v>1.0</v>
      </c>
      <c r="C62" s="1">
        <f>IF('Master English Sheet'!D62="18-25", 1,
IF('Master English Sheet'!D62="26-35", 2,
IF('Master English Sheet'!D62="36-45", 3,
IF('Master English Sheet'!D62="46-55", 4,
IF('Master English Sheet'!D62="56-65", 5,
IF('Master English Sheet'!D62="65+", 6, ""))))))</f>
        <v>1</v>
      </c>
      <c r="D62" s="1">
        <f>IF('Master English Sheet'!E62="Male", 1,
IF('Master English Sheet'!E62="Female", 2,
IF('Master English Sheet'!E62="Nonbinary", 3,
IF('Master English Sheet'!E62="Prefer not to say", 4, ""))))</f>
        <v>2</v>
      </c>
      <c r="E62" s="1">
        <f>IF('Master English Sheet'!F62="Under ¥3,000,000", 1,
IF('Master English Sheet'!F62="¥3,000,000 – ¥5,999,999", 2,
IF('Master English Sheet'!F62="¥6,000,000 – ¥8,999,999", 3,
IF('Master English Sheet'!F62="¥9,000,000 – ¥11,999,999", 4,
IF('Master English Sheet'!F62 = "¥12,000,000 or more", 5,
IF('Master English Sheet'!F62 = "Prefer not to say", 6, ""))))))</f>
        <v>1</v>
      </c>
      <c r="F62" s="1">
        <f>IF('Master English Sheet'!G62="Hokkaido", 1,
IF('Master English Sheet'!G62="Tohoku", 2,
IF('Master English Sheet'!G62="Kanto", 3,
IF('Master English Sheet'!G62="Chubu", 4,
IF('Master English Sheet'!G62 = "Kansai", 5,
IF('Master English Sheet'!G62 = "Chugoku", 6,
IF('Master English Sheet'!G62 = "Shikoku", 7,
IF('Master English Sheet'!G62 = "Kyushu", 8,
IF('Master English Sheet'!G62 = "Okinawa", 9, 
IF('Master English Sheet'!G62 = "I do not live in Japan", 10, ""))))))))))</f>
        <v>4</v>
      </c>
      <c r="G62" s="1">
        <f>IF('Master English Sheet'!H62="Daily", 1,
IF('Master English Sheet'!H62="Several times a week", 2,
IF('Master English Sheet'!H62="Once a week", 3,
IF('Master English Sheet'!H62 = "Rarely", 4,
IF('Master English Sheet'!H62 = "Never", 5, "")))))</f>
        <v>1</v>
      </c>
      <c r="H62" s="1">
        <f>IF('Master English Sheet'!I62="Pour Over", 1,
IF('Master English Sheet'!I62="Drip", 2,
IF('Master English Sheet'!I62="Latte", 3,
IF('Master English Sheet'!I62="Americano", 4,
IF('Master English Sheet'!I62 = "Cappuccino", 5,
IF('Master English Sheet'!I62 = "Flavored coffee (mocha, vanilla, caramel, etc.)", 6,
IF('Master English Sheet'!I62 = "Cold brew", 7,
IF('Master English Sheet'!I62 = "I don't drink coffee", 8,
IF('Master English Sheet'!I62 = "Other:", 9,
IF('Master English Sheet'!I62 ="", 10, ""))))))))))</f>
        <v>1</v>
      </c>
      <c r="I62" s="1">
        <f>IF('Master English Sheet'!K62="Daily", 1,
IF('Master English Sheet'!K62="Several times a week", 2,
IF('Master English Sheet'!K62="Once a week", 3,
IF('Master English Sheet'!K62 = "Rarely", 4,
IF('Master English Sheet'!K62 = "Never", 5, "")))))</f>
        <v>2</v>
      </c>
      <c r="J62" s="1">
        <f>IF('Master English Sheet'!L62="Usucha", 1,
IF('Master English Sheet'!L62="Koicha", 2,
IF('Master English Sheet'!L62="Matcha Latte", 3,
IF('Master English Sheet'!L62="I don’t drink matcha", 4,
IF('Master English Sheet'!L62 = "Other:", 5,
IF('Master English Sheet'!L62 ="", 6, ""))))))</f>
        <v>3</v>
      </c>
      <c r="K62" s="1">
        <f>IF('Parse of Qs'!A62="Taste/Flavor", 1,
IF('Parse of Qs'!A62="Price", 2,
IF('Parse of Qs'!A62="Energy boost/Caffeine", 3,
IF('Parse of Qs'!A62="Health benefits", 4,
IF('Parse of Qs'!A62 = "Social atmosphere", 5,
IF('Parse of Qs'!A62 ="Routine/Ritual", 6, 
IF('Parse of Qs'!A62 = "Branding/Imagery", 7,
IF('Parse of Qs'!A62 = "Social norms / influence (what people around me usually drink)", 8, 
IF('Parse of Qs'!A62 = "To try new things", 9,
IF('Parse of Qs'!A62 = "Other:", 10, 
IF('Parse of Qs'!A62 = "", 11, "")))))))))))</f>
        <v>10</v>
      </c>
      <c r="L62" s="1">
        <f>IF('Parse of Qs'!B62="Taste/Flavor", 1,
IF('Parse of Qs'!B62="Price", 2,
IF('Parse of Qs'!B62="Energy boost/Caffeine", 3,
IF('Parse of Qs'!B62="Health benefits", 4,
IF('Parse of Qs'!B62 = "Social atmosphere", 5,
IF('Parse of Qs'!B62 ="Routine/Ritual", 6, 
IF('Parse of Qs'!B62 = "Branding/Imagery", 7,
IF('Parse of Qs'!B62 = "Social norms / influence (what people around me usually drink)", 8, 
IF('Parse of Qs'!B62 = "To try new things", 9,
IF('Parse of Qs'!B62 = "Other:", 10, 
IF('Parse of Qs'!B62 = "", 11, "")))))))))))</f>
        <v>6</v>
      </c>
      <c r="M62" s="1">
        <f>IF('Parse of Qs'!C62="At cafés", 1,
IF('Parse of Qs'!C62="At home", 2,
IF('Parse of Qs'!C62="From convenience stores (7-Eleven, Lawson, etc.)", 3,
IF('Parse of Qs'!C62="From vending machines", 4,
IF('Parse of Qs'!C62 = "Other:", 5,
IF('Parse of Qs'!C62 = "", 6, ""))))))</f>
        <v>6</v>
      </c>
      <c r="N62" s="1">
        <f>IF('Parse of Qs'!D62="At cafés", 1,
IF('Parse of Qs'!D62="At home", 2,
IF('Parse of Qs'!D62="From convenience stores (7-Eleven, Lawson, etc.)", 3,
IF('Parse of Qs'!D62="From vending machines", 4,
IF('Parse of Qs'!D62 = "Other:", 5,
IF('Parse of Qs'!D62 = "", 6, ""))))))</f>
        <v>6</v>
      </c>
      <c r="O62" s="1">
        <f>IF('Parse of Qs'!E62="At cafés", 1,
IF('Parse of Qs'!E62="At home", 2,
IF('Parse of Qs'!E62="From convenience stores (7-Eleven, Lawson, etc.)", 3,
IF('Parse of Qs'!E62="From vending machines", 4,
IF('Parse of Qs'!E62 = "Other:", 5,
IF('Parse of Qs'!E62 = "", 6, ""))))))</f>
        <v>6</v>
      </c>
      <c r="P62" s="1">
        <f>IF('Parse of Qs'!F62="At cafés", 1,
IF('Parse of Qs'!F62="At home", 2,
IF('Parse of Qs'!F62="From convenience stores (7-Eleven, Lawson, etc.)", 3,
IF('Parse of Qs'!F62="From vending machines", 4,
IF('Parse of Qs'!F62 = "Other:", 5,
IF('Parse of Qs'!F62 = "", 6, ""))))))</f>
        <v>6</v>
      </c>
      <c r="Q62" s="1">
        <f>IF(OR('Master English Sheet'!R62="Every Day",'Master English Sheet'!R62="Daily"), 1,
IF('Master English Sheet'!R62="Several times a week", 2,
IF('Master English Sheet'!R62="Once a week", 3,
IF('Master English Sheet'!R62="A few times a month", 4,
IF('Master English Sheet'!R62="Rarely", 5,
IF('Master English Sheet'!R62="Never", 6, 
IF('Master English Sheet'!R62 = "", 7, "")))))))</f>
        <v>4</v>
      </c>
      <c r="R62" s="1">
        <f>IF('Master English Sheet'!S62="To relax or take a break", 1,
IF('Master English Sheet'!S62="To meet friends", 2,
IF('Master English Sheet'!S62="To study/work", 3,
IF('Master English Sheet'!S62="To try a new drink", 4,
IF('Master English Sheet'!S62="Out of habit", 5,
IF('Master English Sheet'!S62="Other:", 6, 
IF('Master English Sheet'!S62 = "", 7, "")))))))</f>
        <v>4</v>
      </c>
      <c r="S62" s="1">
        <f>IF('Master English Sheet'!U62="Quality of drinks", 1,
IF('Master English Sheet'!U62="Atmosphere", 2,
IF('Master English Sheet'!U62="Service", 3,
IF('Master English Sheet'!U62="Brand image", 4,
IF('Master English Sheet'!U62="Other:", 5, 
IF('Master English Sheet'!U62 = "", 6, ""))))))</f>
        <v>2</v>
      </c>
      <c r="T62" s="1">
        <f>IF('Master English Sheet'!W62="Yes, Western", 1,
IF('Master English Sheet'!W62="Yes, Global", 2,
IF('Master English Sheet'!W62="Yes,  Japanese", 3,
IF('Master English Sheet'!W62="No", 4,
IF('Master English Sheet'!W62="Unsure", 5, 
IF('Master English Sheet'!W62 = "", 6, ""))))))</f>
        <v>2</v>
      </c>
      <c r="U62" s="1">
        <f>IF('Master English Sheet'!X62="Yes, Western", 1,
IF('Master English Sheet'!X62="Yes, Global", 2,
IF('Master English Sheet'!X62="Yes,  Japanese", 3,
IF('Master English Sheet'!X62="No", 4,
IF('Master English Sheet'!X62="Unsure", 5, 
IF('Master English Sheet'!X62 = "", 6, ""))))))</f>
        <v>3</v>
      </c>
      <c r="V62" s="1">
        <f>'Master English Sheet'!Y62</f>
        <v>5</v>
      </c>
      <c r="W62" s="1">
        <f>'Master English Sheet'!Z62</f>
        <v>4</v>
      </c>
      <c r="X62" s="1">
        <f>'Master English Sheet'!AA62</f>
        <v>6</v>
      </c>
    </row>
    <row r="63">
      <c r="A63" s="6">
        <v>62.0</v>
      </c>
      <c r="B63" s="6">
        <v>1.0</v>
      </c>
      <c r="C63" s="1">
        <f>IF('Master English Sheet'!D63="18-25", 1,
IF('Master English Sheet'!D63="26-35", 2,
IF('Master English Sheet'!D63="36-45", 3,
IF('Master English Sheet'!D63="46-55", 4,
IF('Master English Sheet'!D63="56-65", 5,
IF('Master English Sheet'!D63="65+", 6, ""))))))</f>
        <v>2</v>
      </c>
      <c r="D63" s="1">
        <f>IF('Master English Sheet'!E63="Male", 1,
IF('Master English Sheet'!E63="Female", 2,
IF('Master English Sheet'!E63="Nonbinary", 3,
IF('Master English Sheet'!E63="Prefer not to say", 4, ""))))</f>
        <v>2</v>
      </c>
      <c r="E63" s="1">
        <f>IF('Master English Sheet'!F63="Under ¥3,000,000", 1,
IF('Master English Sheet'!F63="¥3,000,000 – ¥5,999,999", 2,
IF('Master English Sheet'!F63="¥6,000,000 – ¥8,999,999", 3,
IF('Master English Sheet'!F63="¥9,000,000 – ¥11,999,999", 4,
IF('Master English Sheet'!F63 = "¥12,000,000 or more", 5,
IF('Master English Sheet'!F63 = "Prefer not to say", 6, ""))))))</f>
        <v>1</v>
      </c>
      <c r="F63" s="1">
        <f>IF('Master English Sheet'!G63="Hokkaido", 1,
IF('Master English Sheet'!G63="Tohoku", 2,
IF('Master English Sheet'!G63="Kanto", 3,
IF('Master English Sheet'!G63="Chubu", 4,
IF('Master English Sheet'!G63 = "Kansai", 5,
IF('Master English Sheet'!G63 = "Chugoku", 6,
IF('Master English Sheet'!G63 = "Shikoku", 7,
IF('Master English Sheet'!G63 = "Kyushu", 8,
IF('Master English Sheet'!G63 = "Okinawa", 9, 
IF('Master English Sheet'!G63 = "I do not live in Japan", 10, ""))))))))))</f>
        <v>5</v>
      </c>
      <c r="G63" s="1">
        <f>IF('Master English Sheet'!H63="Daily", 1,
IF('Master English Sheet'!H63="Several times a week", 2,
IF('Master English Sheet'!H63="Once a week", 3,
IF('Master English Sheet'!H63 = "Rarely", 4,
IF('Master English Sheet'!H63 = "Never", 5, "")))))</f>
        <v>5</v>
      </c>
      <c r="H63" s="1">
        <f>IF('Master English Sheet'!I63="Pour Over", 1,
IF('Master English Sheet'!I63="Drip", 2,
IF('Master English Sheet'!I63="Latte", 3,
IF('Master English Sheet'!I63="Americano", 4,
IF('Master English Sheet'!I63 = "Cappuccino", 5,
IF('Master English Sheet'!I63 = "Flavored coffee (mocha, vanilla, caramel, etc.)", 6,
IF('Master English Sheet'!I63 = "Cold brew", 7,
IF('Master English Sheet'!I63 = "I don't drink coffee", 8,
IF('Master English Sheet'!I63 = "Other:", 9,
IF('Master English Sheet'!I63 ="", 10, ""))))))))))</f>
        <v>10</v>
      </c>
      <c r="I63" s="1">
        <f>IF('Master English Sheet'!K63="Daily", 1,
IF('Master English Sheet'!K63="Several times a week", 2,
IF('Master English Sheet'!K63="Once a week", 3,
IF('Master English Sheet'!K63 = "Rarely", 4,
IF('Master English Sheet'!K63 = "Never", 5, "")))))</f>
        <v>2</v>
      </c>
      <c r="J63" s="1">
        <f>IF('Master English Sheet'!L63="Usucha", 1,
IF('Master English Sheet'!L63="Koicha", 2,
IF('Master English Sheet'!L63="Matcha Latte", 3,
IF('Master English Sheet'!L63="I don’t drink matcha", 4,
IF('Master English Sheet'!L63 = "Other:", 5,
IF('Master English Sheet'!L63 ="", 6, ""))))))</f>
        <v>1</v>
      </c>
      <c r="K63" s="1">
        <f>IF('Parse of Qs'!A63="Taste/Flavor", 1,
IF('Parse of Qs'!A63="Price", 2,
IF('Parse of Qs'!A63="Energy boost/Caffeine", 3,
IF('Parse of Qs'!A63="Health benefits", 4,
IF('Parse of Qs'!A63 = "Social atmosphere", 5,
IF('Parse of Qs'!A63 ="Routine/Ritual", 6, 
IF('Parse of Qs'!A63 = "Branding/Imagery", 7,
IF('Parse of Qs'!A63 = "Social norms / influence (what people around me usually drink)", 8, 
IF('Parse of Qs'!A63 = "To try new things", 9,
IF('Parse of Qs'!A63 = "Other:", 10, 
IF('Parse of Qs'!A63 = "", 11, "")))))))))))</f>
        <v>5</v>
      </c>
      <c r="L63" s="1">
        <f>IF('Parse of Qs'!B63="Taste/Flavor", 1,
IF('Parse of Qs'!B63="Price", 2,
IF('Parse of Qs'!B63="Energy boost/Caffeine", 3,
IF('Parse of Qs'!B63="Health benefits", 4,
IF('Parse of Qs'!B63 = "Social atmosphere", 5,
IF('Parse of Qs'!B63 ="Routine/Ritual", 6, 
IF('Parse of Qs'!B63 = "Branding/Imagery", 7,
IF('Parse of Qs'!B63 = "Social norms / influence (what people around me usually drink)", 8, 
IF('Parse of Qs'!B63 = "To try new things", 9,
IF('Parse of Qs'!B63 = "Other:", 10, 
IF('Parse of Qs'!B63 = "", 11, "")))))))))))</f>
        <v>1</v>
      </c>
      <c r="M63" s="1">
        <f>IF('Parse of Qs'!C63="At cafés", 1,
IF('Parse of Qs'!C63="At home", 2,
IF('Parse of Qs'!C63="From convenience stores (7-Eleven, Lawson, etc.)", 3,
IF('Parse of Qs'!C63="From vending machines", 4,
IF('Parse of Qs'!C63 = "Other:", 5,
IF('Parse of Qs'!C63 = "", 6, ""))))))</f>
        <v>5</v>
      </c>
      <c r="N63" s="1">
        <f>IF('Parse of Qs'!D63="At cafés", 1,
IF('Parse of Qs'!D63="At home", 2,
IF('Parse of Qs'!D63="From convenience stores (7-Eleven, Lawson, etc.)", 3,
IF('Parse of Qs'!D63="From vending machines", 4,
IF('Parse of Qs'!D63 = "Other:", 5,
IF('Parse of Qs'!D63 = "", 6, ""))))))</f>
        <v>6</v>
      </c>
      <c r="O63" s="1">
        <f>IF('Parse of Qs'!E63="At cafés", 1,
IF('Parse of Qs'!E63="At home", 2,
IF('Parse of Qs'!E63="From convenience stores (7-Eleven, Lawson, etc.)", 3,
IF('Parse of Qs'!E63="From vending machines", 4,
IF('Parse of Qs'!E63 = "Other:", 5,
IF('Parse of Qs'!E63 = "", 6, ""))))))</f>
        <v>6</v>
      </c>
      <c r="P63" s="1">
        <f>IF('Parse of Qs'!F63="At cafés", 1,
IF('Parse of Qs'!F63="At home", 2,
IF('Parse of Qs'!F63="From convenience stores (7-Eleven, Lawson, etc.)", 3,
IF('Parse of Qs'!F63="From vending machines", 4,
IF('Parse of Qs'!F63 = "Other:", 5,
IF('Parse of Qs'!F63 = "", 6, ""))))))</f>
        <v>6</v>
      </c>
      <c r="Q63" s="1">
        <f>IF(OR('Master English Sheet'!R63="Every Day",'Master English Sheet'!R63="Daily"), 1,
IF('Master English Sheet'!R63="Several times a week", 2,
IF('Master English Sheet'!R63="Once a week", 3,
IF('Master English Sheet'!R63="A few times a month", 4,
IF('Master English Sheet'!R63="Rarely", 5,
IF('Master English Sheet'!R63="Never", 6, 
IF('Master English Sheet'!R63 = "", 7, "")))))))</f>
        <v>4</v>
      </c>
      <c r="R63" s="1">
        <f>IF('Master English Sheet'!S63="To relax or take a break", 1,
IF('Master English Sheet'!S63="To meet friends", 2,
IF('Master English Sheet'!S63="To study/work", 3,
IF('Master English Sheet'!S63="To try a new drink", 4,
IF('Master English Sheet'!S63="Out of habit", 5,
IF('Master English Sheet'!S63="Other:", 6, 
IF('Master English Sheet'!S63 = "", 7, "")))))))</f>
        <v>1</v>
      </c>
      <c r="S63" s="1">
        <f>IF('Master English Sheet'!U63="Quality of drinks", 1,
IF('Master English Sheet'!U63="Atmosphere", 2,
IF('Master English Sheet'!U63="Service", 3,
IF('Master English Sheet'!U63="Brand image", 4,
IF('Master English Sheet'!U63="Other:", 5, 
IF('Master English Sheet'!U63 = "", 6, ""))))))</f>
        <v>2</v>
      </c>
      <c r="T63" s="1">
        <f>IF('Master English Sheet'!W63="Yes, Western", 1,
IF('Master English Sheet'!W63="Yes, Global", 2,
IF('Master English Sheet'!W63="Yes,  Japanese", 3,
IF('Master English Sheet'!W63="No", 4,
IF('Master English Sheet'!W63="Unsure", 5, 
IF('Master English Sheet'!W63 = "", 6, ""))))))</f>
        <v>2</v>
      </c>
      <c r="U63" s="1">
        <f>IF('Master English Sheet'!X63="Yes, Western", 1,
IF('Master English Sheet'!X63="Yes, Global", 2,
IF('Master English Sheet'!X63="Yes,  Japanese", 3,
IF('Master English Sheet'!X63="No", 4,
IF('Master English Sheet'!X63="Unsure", 5, 
IF('Master English Sheet'!X63 = "", 6, ""))))))</f>
        <v>3</v>
      </c>
      <c r="V63" s="1">
        <f>'Master English Sheet'!Y63</f>
        <v>5</v>
      </c>
      <c r="W63" s="1">
        <f>'Master English Sheet'!Z63</f>
        <v>7</v>
      </c>
      <c r="X63" s="1">
        <f>'Master English Sheet'!AA63</f>
        <v>7</v>
      </c>
    </row>
    <row r="64">
      <c r="A64" s="6">
        <v>63.0</v>
      </c>
      <c r="B64" s="6">
        <v>1.0</v>
      </c>
      <c r="C64" s="1">
        <f>IF('Master English Sheet'!D64="18-25", 1,
IF('Master English Sheet'!D64="26-35", 2,
IF('Master English Sheet'!D64="36-45", 3,
IF('Master English Sheet'!D64="46-55", 4,
IF('Master English Sheet'!D64="56-65", 5,
IF('Master English Sheet'!D64="65+", 6, ""))))))</f>
        <v>2</v>
      </c>
      <c r="D64" s="1">
        <f>IF('Master English Sheet'!E64="Male", 1,
IF('Master English Sheet'!E64="Female", 2,
IF('Master English Sheet'!E64="Nonbinary", 3,
IF('Master English Sheet'!E64="Prefer not to say", 4, ""))))</f>
        <v>1</v>
      </c>
      <c r="E64" s="1">
        <f>IF('Master English Sheet'!F64="Under ¥3,000,000", 1,
IF('Master English Sheet'!F64="¥3,000,000 – ¥5,999,999", 2,
IF('Master English Sheet'!F64="¥6,000,000 – ¥8,999,999", 3,
IF('Master English Sheet'!F64="¥9,000,000 – ¥11,999,999", 4,
IF('Master English Sheet'!F64 = "¥12,000,000 or more", 5,
IF('Master English Sheet'!F64 = "Prefer not to say", 6, ""))))))</f>
        <v>2</v>
      </c>
      <c r="F64" s="1">
        <f>IF('Master English Sheet'!G64="Hokkaido", 1,
IF('Master English Sheet'!G64="Tohoku", 2,
IF('Master English Sheet'!G64="Kanto", 3,
IF('Master English Sheet'!G64="Chubu", 4,
IF('Master English Sheet'!G64 = "Kansai", 5,
IF('Master English Sheet'!G64 = "Chugoku", 6,
IF('Master English Sheet'!G64 = "Shikoku", 7,
IF('Master English Sheet'!G64 = "Kyushu", 8,
IF('Master English Sheet'!G64 = "Okinawa", 9, 
IF('Master English Sheet'!G64 = "I do not live in Japan", 10, ""))))))))))</f>
        <v>5</v>
      </c>
      <c r="G64" s="1">
        <f>IF('Master English Sheet'!H64="Daily", 1,
IF('Master English Sheet'!H64="Several times a week", 2,
IF('Master English Sheet'!H64="Once a week", 3,
IF('Master English Sheet'!H64 = "Rarely", 4,
IF('Master English Sheet'!H64 = "Never", 5, "")))))</f>
        <v>3</v>
      </c>
      <c r="H64" s="1">
        <f>IF('Master English Sheet'!I64="Pour Over", 1,
IF('Master English Sheet'!I64="Drip", 2,
IF('Master English Sheet'!I64="Latte", 3,
IF('Master English Sheet'!I64="Americano", 4,
IF('Master English Sheet'!I64 = "Cappuccino", 5,
IF('Master English Sheet'!I64 = "Flavored coffee (mocha, vanilla, caramel, etc.)", 6,
IF('Master English Sheet'!I64 = "Cold brew", 7,
IF('Master English Sheet'!I64 = "I don't drink coffee", 8,
IF('Master English Sheet'!I64 = "Other:", 9,
IF('Master English Sheet'!I64 ="", 10, ""))))))))))</f>
        <v>2</v>
      </c>
      <c r="I64" s="1">
        <f>IF('Master English Sheet'!K64="Daily", 1,
IF('Master English Sheet'!K64="Several times a week", 2,
IF('Master English Sheet'!K64="Once a week", 3,
IF('Master English Sheet'!K64 = "Rarely", 4,
IF('Master English Sheet'!K64 = "Never", 5, "")))))</f>
        <v>1</v>
      </c>
      <c r="J64" s="1">
        <f>IF('Master English Sheet'!L64="Usucha", 1,
IF('Master English Sheet'!L64="Koicha", 2,
IF('Master English Sheet'!L64="Matcha Latte", 3,
IF('Master English Sheet'!L64="I don’t drink matcha", 4,
IF('Master English Sheet'!L64 = "Other:", 5,
IF('Master English Sheet'!L64 ="", 6, ""))))))</f>
        <v>1</v>
      </c>
      <c r="K64" s="1">
        <f>IF('Parse of Qs'!A64="Taste/Flavor", 1,
IF('Parse of Qs'!A64="Price", 2,
IF('Parse of Qs'!A64="Energy boost/Caffeine", 3,
IF('Parse of Qs'!A64="Health benefits", 4,
IF('Parse of Qs'!A64 = "Social atmosphere", 5,
IF('Parse of Qs'!A64 ="Routine/Ritual", 6, 
IF('Parse of Qs'!A64 = "Branding/Imagery", 7,
IF('Parse of Qs'!A64 = "Social norms / influence (what people around me usually drink)", 8, 
IF('Parse of Qs'!A64 = "To try new things", 9,
IF('Parse of Qs'!A64 = "Other:", 10, 
IF('Parse of Qs'!A64 = "", 11, "")))))))))))</f>
        <v>6</v>
      </c>
      <c r="L64" s="1">
        <f>IF('Parse of Qs'!B64="Taste/Flavor", 1,
IF('Parse of Qs'!B64="Price", 2,
IF('Parse of Qs'!B64="Energy boost/Caffeine", 3,
IF('Parse of Qs'!B64="Health benefits", 4,
IF('Parse of Qs'!B64 = "Social atmosphere", 5,
IF('Parse of Qs'!B64 ="Routine/Ritual", 6, 
IF('Parse of Qs'!B64 = "Branding/Imagery", 7,
IF('Parse of Qs'!B64 = "Social norms / influence (what people around me usually drink)", 8, 
IF('Parse of Qs'!B64 = "To try new things", 9,
IF('Parse of Qs'!B64 = "Other:", 10, 
IF('Parse of Qs'!B64 = "", 11, "")))))))))))</f>
        <v>1</v>
      </c>
      <c r="M64" s="1">
        <f>IF('Parse of Qs'!C64="At cafés", 1,
IF('Parse of Qs'!C64="At home", 2,
IF('Parse of Qs'!C64="From convenience stores (7-Eleven, Lawson, etc.)", 3,
IF('Parse of Qs'!C64="From vending machines", 4,
IF('Parse of Qs'!C64 = "Other:", 5,
IF('Parse of Qs'!C64 = "", 6, ""))))))</f>
        <v>5</v>
      </c>
      <c r="N64" s="1">
        <f>IF('Parse of Qs'!D64="At cafés", 1,
IF('Parse of Qs'!D64="At home", 2,
IF('Parse of Qs'!D64="From convenience stores (7-Eleven, Lawson, etc.)", 3,
IF('Parse of Qs'!D64="From vending machines", 4,
IF('Parse of Qs'!D64 = "Other:", 5,
IF('Parse of Qs'!D64 = "", 6, ""))))))</f>
        <v>2</v>
      </c>
      <c r="O64" s="1">
        <f>IF('Parse of Qs'!E64="At cafés", 1,
IF('Parse of Qs'!E64="At home", 2,
IF('Parse of Qs'!E64="From convenience stores (7-Eleven, Lawson, etc.)", 3,
IF('Parse of Qs'!E64="From vending machines", 4,
IF('Parse of Qs'!E64 = "Other:", 5,
IF('Parse of Qs'!E64 = "", 6, ""))))))</f>
        <v>6</v>
      </c>
      <c r="P64" s="1">
        <f>IF('Parse of Qs'!F64="At cafés", 1,
IF('Parse of Qs'!F64="At home", 2,
IF('Parse of Qs'!F64="From convenience stores (7-Eleven, Lawson, etc.)", 3,
IF('Parse of Qs'!F64="From vending machines", 4,
IF('Parse of Qs'!F64 = "Other:", 5,
IF('Parse of Qs'!F64 = "", 6, ""))))))</f>
        <v>6</v>
      </c>
      <c r="Q64" s="1">
        <f>IF(OR('Master English Sheet'!R64="Every Day",'Master English Sheet'!R64="Daily"), 1,
IF('Master English Sheet'!R64="Several times a week", 2,
IF('Master English Sheet'!R64="Once a week", 3,
IF('Master English Sheet'!R64="A few times a month", 4,
IF('Master English Sheet'!R64="Rarely", 5,
IF('Master English Sheet'!R64="Never", 6, 
IF('Master English Sheet'!R64 = "", 7, "")))))))</f>
        <v>3</v>
      </c>
      <c r="R64" s="1">
        <f>IF('Master English Sheet'!S64="To relax or take a break", 1,
IF('Master English Sheet'!S64="To meet friends", 2,
IF('Master English Sheet'!S64="To study/work", 3,
IF('Master English Sheet'!S64="To try a new drink", 4,
IF('Master English Sheet'!S64="Out of habit", 5,
IF('Master English Sheet'!S64="Other:", 6, 
IF('Master English Sheet'!S64 = "", 7, "")))))))</f>
        <v>1</v>
      </c>
      <c r="S64" s="1">
        <f>IF('Master English Sheet'!U64="Quality of drinks", 1,
IF('Master English Sheet'!U64="Atmosphere", 2,
IF('Master English Sheet'!U64="Service", 3,
IF('Master English Sheet'!U64="Brand image", 4,
IF('Master English Sheet'!U64="Other:", 5, 
IF('Master English Sheet'!U64 = "", 6, ""))))))</f>
        <v>3</v>
      </c>
      <c r="T64" s="1">
        <f>IF('Master English Sheet'!W64="Yes, Western", 1,
IF('Master English Sheet'!W64="Yes, Global", 2,
IF('Master English Sheet'!W64="Yes,  Japanese", 3,
IF('Master English Sheet'!W64="No", 4,
IF('Master English Sheet'!W64="Unsure", 5, 
IF('Master English Sheet'!W64 = "", 6, ""))))))</f>
        <v>2</v>
      </c>
      <c r="U64" s="1">
        <f>IF('Master English Sheet'!X64="Yes, Western", 1,
IF('Master English Sheet'!X64="Yes, Global", 2,
IF('Master English Sheet'!X64="Yes,  Japanese", 3,
IF('Master English Sheet'!X64="No", 4,
IF('Master English Sheet'!X64="Unsure", 5, 
IF('Master English Sheet'!X64 = "", 6, ""))))))</f>
        <v>2</v>
      </c>
      <c r="V64" s="1">
        <f>'Master English Sheet'!Y64</f>
        <v>7</v>
      </c>
      <c r="W64" s="1">
        <f>'Master English Sheet'!Z64</f>
        <v>7</v>
      </c>
      <c r="X64" s="1">
        <f>'Master English Sheet'!AA64</f>
        <v>5</v>
      </c>
    </row>
    <row r="65">
      <c r="A65" s="6">
        <v>64.0</v>
      </c>
      <c r="B65" s="6">
        <v>1.0</v>
      </c>
      <c r="C65" s="1">
        <f>IF('Master English Sheet'!D65="18-25", 1,
IF('Master English Sheet'!D65="26-35", 2,
IF('Master English Sheet'!D65="36-45", 3,
IF('Master English Sheet'!D65="46-55", 4,
IF('Master English Sheet'!D65="56-65", 5,
IF('Master English Sheet'!D65="65+", 6, ""))))))</f>
        <v>2</v>
      </c>
      <c r="D65" s="1">
        <f>IF('Master English Sheet'!E65="Male", 1,
IF('Master English Sheet'!E65="Female", 2,
IF('Master English Sheet'!E65="Nonbinary", 3,
IF('Master English Sheet'!E65="Prefer not to say", 4, ""))))</f>
        <v>1</v>
      </c>
      <c r="E65" s="1">
        <f>IF('Master English Sheet'!F65="Under ¥3,000,000", 1,
IF('Master English Sheet'!F65="¥3,000,000 – ¥5,999,999", 2,
IF('Master English Sheet'!F65="¥6,000,000 – ¥8,999,999", 3,
IF('Master English Sheet'!F65="¥9,000,000 – ¥11,999,999", 4,
IF('Master English Sheet'!F65 = "¥12,000,000 or more", 5,
IF('Master English Sheet'!F65 = "Prefer not to say", 6, ""))))))</f>
        <v>2</v>
      </c>
      <c r="F65" s="1">
        <f>IF('Master English Sheet'!G65="Hokkaido", 1,
IF('Master English Sheet'!G65="Tohoku", 2,
IF('Master English Sheet'!G65="Kanto", 3,
IF('Master English Sheet'!G65="Chubu", 4,
IF('Master English Sheet'!G65 = "Kansai", 5,
IF('Master English Sheet'!G65 = "Chugoku", 6,
IF('Master English Sheet'!G65 = "Shikoku", 7,
IF('Master English Sheet'!G65 = "Kyushu", 8,
IF('Master English Sheet'!G65 = "Okinawa", 9, 
IF('Master English Sheet'!G65 = "I do not live in Japan", 10, ""))))))))))</f>
        <v>8</v>
      </c>
      <c r="G65" s="1">
        <f>IF('Master English Sheet'!H65="Daily", 1,
IF('Master English Sheet'!H65="Several times a week", 2,
IF('Master English Sheet'!H65="Once a week", 3,
IF('Master English Sheet'!H65 = "Rarely", 4,
IF('Master English Sheet'!H65 = "Never", 5, "")))))</f>
        <v>1</v>
      </c>
      <c r="H65" s="1">
        <f>IF('Master English Sheet'!I65="Pour Over", 1,
IF('Master English Sheet'!I65="Drip", 2,
IF('Master English Sheet'!I65="Latte", 3,
IF('Master English Sheet'!I65="Americano", 4,
IF('Master English Sheet'!I65 = "Cappuccino", 5,
IF('Master English Sheet'!I65 = "Flavored coffee (mocha, vanilla, caramel, etc.)", 6,
IF('Master English Sheet'!I65 = "Cold brew", 7,
IF('Master English Sheet'!I65 = "I don't drink coffee", 8,
IF('Master English Sheet'!I65 = "Other:", 9,
IF('Master English Sheet'!I65 ="", 10, ""))))))))))</f>
        <v>2</v>
      </c>
      <c r="I65" s="1">
        <f>IF('Master English Sheet'!K65="Daily", 1,
IF('Master English Sheet'!K65="Several times a week", 2,
IF('Master English Sheet'!K65="Once a week", 3,
IF('Master English Sheet'!K65 = "Rarely", 4,
IF('Master English Sheet'!K65 = "Never", 5, "")))))</f>
        <v>4</v>
      </c>
      <c r="J65" s="1">
        <f>IF('Master English Sheet'!L65="Usucha", 1,
IF('Master English Sheet'!L65="Koicha", 2,
IF('Master English Sheet'!L65="Matcha Latte", 3,
IF('Master English Sheet'!L65="I don’t drink matcha", 4,
IF('Master English Sheet'!L65 = "Other:", 5,
IF('Master English Sheet'!L65 ="", 6, ""))))))</f>
        <v>2</v>
      </c>
      <c r="K65" s="1">
        <f>IF('Parse of Qs'!A65="Taste/Flavor", 1,
IF('Parse of Qs'!A65="Price", 2,
IF('Parse of Qs'!A65="Energy boost/Caffeine", 3,
IF('Parse of Qs'!A65="Health benefits", 4,
IF('Parse of Qs'!A65 = "Social atmosphere", 5,
IF('Parse of Qs'!A65 ="Routine/Ritual", 6, 
IF('Parse of Qs'!A65 = "Branding/Imagery", 7,
IF('Parse of Qs'!A65 = "Social norms / influence (what people around me usually drink)", 8, 
IF('Parse of Qs'!A65 = "To try new things", 9,
IF('Parse of Qs'!A65 = "Other:", 10, 
IF('Parse of Qs'!A65 = "", 11, "")))))))))))</f>
        <v>1</v>
      </c>
      <c r="L65" s="1">
        <f>IF('Parse of Qs'!B65="Taste/Flavor", 1,
IF('Parse of Qs'!B65="Price", 2,
IF('Parse of Qs'!B65="Energy boost/Caffeine", 3,
IF('Parse of Qs'!B65="Health benefits", 4,
IF('Parse of Qs'!B65 = "Social atmosphere", 5,
IF('Parse of Qs'!B65 ="Routine/Ritual", 6, 
IF('Parse of Qs'!B65 = "Branding/Imagery", 7,
IF('Parse of Qs'!B65 = "Social norms / influence (what people around me usually drink)", 8, 
IF('Parse of Qs'!B65 = "To try new things", 9,
IF('Parse of Qs'!B65 = "Other:", 10, 
IF('Parse of Qs'!B65 = "", 11, "")))))))))))</f>
        <v>11</v>
      </c>
      <c r="M65" s="1">
        <f>IF('Parse of Qs'!C65="At cafés", 1,
IF('Parse of Qs'!C65="At home", 2,
IF('Parse of Qs'!C65="From convenience stores (7-Eleven, Lawson, etc.)", 3,
IF('Parse of Qs'!C65="From vending machines", 4,
IF('Parse of Qs'!C65 = "Other:", 5,
IF('Parse of Qs'!C65 = "", 6, ""))))))</f>
        <v>2</v>
      </c>
      <c r="N65" s="1">
        <f>IF('Parse of Qs'!D65="At cafés", 1,
IF('Parse of Qs'!D65="At home", 2,
IF('Parse of Qs'!D65="From convenience stores (7-Eleven, Lawson, etc.)", 3,
IF('Parse of Qs'!D65="From vending machines", 4,
IF('Parse of Qs'!D65 = "Other:", 5,
IF('Parse of Qs'!D65 = "", 6, ""))))))</f>
        <v>1</v>
      </c>
      <c r="O65" s="1">
        <f>IF('Parse of Qs'!E65="At cafés", 1,
IF('Parse of Qs'!E65="At home", 2,
IF('Parse of Qs'!E65="From convenience stores (7-Eleven, Lawson, etc.)", 3,
IF('Parse of Qs'!E65="From vending machines", 4,
IF('Parse of Qs'!E65 = "Other:", 5,
IF('Parse of Qs'!E65 = "", 6, ""))))))</f>
        <v>3</v>
      </c>
      <c r="P65" s="1">
        <f>IF('Parse of Qs'!F65="At cafés", 1,
IF('Parse of Qs'!F65="At home", 2,
IF('Parse of Qs'!F65="From convenience stores (7-Eleven, Lawson, etc.)", 3,
IF('Parse of Qs'!F65="From vending machines", 4,
IF('Parse of Qs'!F65 = "Other:", 5,
IF('Parse of Qs'!F65 = "", 6, ""))))))</f>
        <v>4</v>
      </c>
      <c r="Q65" s="1">
        <f>IF(OR('Master English Sheet'!R65="Every Day",'Master English Sheet'!R65="Daily"), 1,
IF('Master English Sheet'!R65="Several times a week", 2,
IF('Master English Sheet'!R65="Once a week", 3,
IF('Master English Sheet'!R65="A few times a month", 4,
IF('Master English Sheet'!R65="Rarely", 5,
IF('Master English Sheet'!R65="Never", 6, 
IF('Master English Sheet'!R65 = "", 7, "")))))))</f>
        <v>4</v>
      </c>
      <c r="R65" s="1">
        <f>IF('Master English Sheet'!S65="To relax or take a break", 1,
IF('Master English Sheet'!S65="To meet friends", 2,
IF('Master English Sheet'!S65="To study/work", 3,
IF('Master English Sheet'!S65="To try a new drink", 4,
IF('Master English Sheet'!S65="Out of habit", 5,
IF('Master English Sheet'!S65="Other:", 6, 
IF('Master English Sheet'!S65 = "", 7, "")))))))</f>
        <v>1</v>
      </c>
      <c r="S65" s="1">
        <f>IF('Master English Sheet'!U65="Quality of drinks", 1,
IF('Master English Sheet'!U65="Atmosphere", 2,
IF('Master English Sheet'!U65="Service", 3,
IF('Master English Sheet'!U65="Brand image", 4,
IF('Master English Sheet'!U65="Other:", 5, 
IF('Master English Sheet'!U65 = "", 6, ""))))))</f>
        <v>1</v>
      </c>
      <c r="T65" s="1">
        <f>IF('Master English Sheet'!W65="Yes, Western", 1,
IF('Master English Sheet'!W65="Yes, Global", 2,
IF('Master English Sheet'!W65="Yes,  Japanese", 3,
IF('Master English Sheet'!W65="No", 4,
IF('Master English Sheet'!W65="Unsure", 5, 
IF('Master English Sheet'!W65 = "", 6, ""))))))</f>
        <v>2</v>
      </c>
      <c r="U65" s="1">
        <f>IF('Master English Sheet'!X65="Yes, Western", 1,
IF('Master English Sheet'!X65="Yes, Global", 2,
IF('Master English Sheet'!X65="Yes,  Japanese", 3,
IF('Master English Sheet'!X65="No", 4,
IF('Master English Sheet'!X65="Unsure", 5, 
IF('Master English Sheet'!X65 = "", 6, ""))))))</f>
        <v>3</v>
      </c>
      <c r="V65" s="1">
        <f>'Master English Sheet'!Y65</f>
        <v>7</v>
      </c>
      <c r="W65" s="1">
        <f>'Master English Sheet'!Z65</f>
        <v>7</v>
      </c>
      <c r="X65" s="1">
        <f>'Master English Sheet'!AA65</f>
        <v>7</v>
      </c>
    </row>
    <row r="66">
      <c r="A66" s="6">
        <v>65.0</v>
      </c>
      <c r="B66" s="6">
        <v>1.0</v>
      </c>
      <c r="C66" s="1">
        <f>IF('Master English Sheet'!D66="18-25", 1,
IF('Master English Sheet'!D66="26-35", 2,
IF('Master English Sheet'!D66="36-45", 3,
IF('Master English Sheet'!D66="46-55", 4,
IF('Master English Sheet'!D66="56-65", 5,
IF('Master English Sheet'!D66="65+", 6, ""))))))</f>
        <v>6</v>
      </c>
      <c r="D66" s="1">
        <f>IF('Master English Sheet'!E66="Male", 1,
IF('Master English Sheet'!E66="Female", 2,
IF('Master English Sheet'!E66="Nonbinary", 3,
IF('Master English Sheet'!E66="Prefer not to say", 4, ""))))</f>
        <v>1</v>
      </c>
      <c r="E66" s="1">
        <f>IF('Master English Sheet'!F66="Under ¥3,000,000", 1,
IF('Master English Sheet'!F66="¥3,000,000 – ¥5,999,999", 2,
IF('Master English Sheet'!F66="¥6,000,000 – ¥8,999,999", 3,
IF('Master English Sheet'!F66="¥9,000,000 – ¥11,999,999", 4,
IF('Master English Sheet'!F66 = "¥12,000,000 or more", 5,
IF('Master English Sheet'!F66 = "Prefer not to say", 6, ""))))))</f>
        <v>5</v>
      </c>
      <c r="F66" s="1">
        <f>IF('Master English Sheet'!G66="Hokkaido", 1,
IF('Master English Sheet'!G66="Tohoku", 2,
IF('Master English Sheet'!G66="Kanto", 3,
IF('Master English Sheet'!G66="Chubu", 4,
IF('Master English Sheet'!G66 = "Kansai", 5,
IF('Master English Sheet'!G66 = "Chugoku", 6,
IF('Master English Sheet'!G66 = "Shikoku", 7,
IF('Master English Sheet'!G66 = "Kyushu", 8,
IF('Master English Sheet'!G66 = "Okinawa", 9, 
IF('Master English Sheet'!G66 = "I do not live in Japan", 10, ""))))))))))</f>
        <v>3</v>
      </c>
      <c r="G66" s="1">
        <f>IF('Master English Sheet'!H66="Daily", 1,
IF('Master English Sheet'!H66="Several times a week", 2,
IF('Master English Sheet'!H66="Once a week", 3,
IF('Master English Sheet'!H66 = "Rarely", 4,
IF('Master English Sheet'!H66 = "Never", 5, "")))))</f>
        <v>3</v>
      </c>
      <c r="H66" s="1">
        <f>IF('Master English Sheet'!I66="Pour Over", 1,
IF('Master English Sheet'!I66="Drip", 2,
IF('Master English Sheet'!I66="Latte", 3,
IF('Master English Sheet'!I66="Americano", 4,
IF('Master English Sheet'!I66 = "Cappuccino", 5,
IF('Master English Sheet'!I66 = "Flavored coffee (mocha, vanilla, caramel, etc.)", 6,
IF('Master English Sheet'!I66 = "Cold brew", 7,
IF('Master English Sheet'!I66 = "I don't drink coffee", 8,
IF('Master English Sheet'!I66 = "Other:", 9,
IF('Master English Sheet'!I66 ="", 10, ""))))))))))</f>
        <v>6</v>
      </c>
      <c r="I66" s="1">
        <f>IF('Master English Sheet'!K66="Daily", 1,
IF('Master English Sheet'!K66="Several times a week", 2,
IF('Master English Sheet'!K66="Once a week", 3,
IF('Master English Sheet'!K66 = "Rarely", 4,
IF('Master English Sheet'!K66 = "Never", 5, "")))))</f>
        <v>3</v>
      </c>
      <c r="J66" s="1">
        <f>IF('Master English Sheet'!L66="Usucha", 1,
IF('Master English Sheet'!L66="Koicha", 2,
IF('Master English Sheet'!L66="Matcha Latte", 3,
IF('Master English Sheet'!L66="I don’t drink matcha", 4,
IF('Master English Sheet'!L66 = "Other:", 5,
IF('Master English Sheet'!L66 ="", 6, ""))))))</f>
        <v>2</v>
      </c>
      <c r="K66" s="1">
        <f>IF('Parse of Qs'!A66="Taste/Flavor", 1,
IF('Parse of Qs'!A66="Price", 2,
IF('Parse of Qs'!A66="Energy boost/Caffeine", 3,
IF('Parse of Qs'!A66="Health benefits", 4,
IF('Parse of Qs'!A66 = "Social atmosphere", 5,
IF('Parse of Qs'!A66 ="Routine/Ritual", 6, 
IF('Parse of Qs'!A66 = "Branding/Imagery", 7,
IF('Parse of Qs'!A66 = "Social norms / influence (what people around me usually drink)", 8, 
IF('Parse of Qs'!A66 = "To try new things", 9,
IF('Parse of Qs'!A66 = "Other:", 10, 
IF('Parse of Qs'!A66 = "", 11, "")))))))))))</f>
        <v>4</v>
      </c>
      <c r="L66" s="1">
        <f>IF('Parse of Qs'!B66="Taste/Flavor", 1,
IF('Parse of Qs'!B66="Price", 2,
IF('Parse of Qs'!B66="Energy boost/Caffeine", 3,
IF('Parse of Qs'!B66="Health benefits", 4,
IF('Parse of Qs'!B66 = "Social atmosphere", 5,
IF('Parse of Qs'!B66 ="Routine/Ritual", 6, 
IF('Parse of Qs'!B66 = "Branding/Imagery", 7,
IF('Parse of Qs'!B66 = "Social norms / influence (what people around me usually drink)", 8, 
IF('Parse of Qs'!B66 = "To try new things", 9,
IF('Parse of Qs'!B66 = "Other:", 10, 
IF('Parse of Qs'!B66 = "", 11, "")))))))))))</f>
        <v>11</v>
      </c>
      <c r="M66" s="1">
        <f>IF('Parse of Qs'!C66="At cafés", 1,
IF('Parse of Qs'!C66="At home", 2,
IF('Parse of Qs'!C66="From convenience stores (7-Eleven, Lawson, etc.)", 3,
IF('Parse of Qs'!C66="From vending machines", 4,
IF('Parse of Qs'!C66 = "Other:", 5,
IF('Parse of Qs'!C66 = "", 6, ""))))))</f>
        <v>2</v>
      </c>
      <c r="N66" s="1">
        <f>IF('Parse of Qs'!D66="At cafés", 1,
IF('Parse of Qs'!D66="At home", 2,
IF('Parse of Qs'!D66="From convenience stores (7-Eleven, Lawson, etc.)", 3,
IF('Parse of Qs'!D66="From vending machines", 4,
IF('Parse of Qs'!D66 = "Other:", 5,
IF('Parse of Qs'!D66 = "", 6, ""))))))</f>
        <v>6</v>
      </c>
      <c r="O66" s="1">
        <f>IF('Parse of Qs'!E66="At cafés", 1,
IF('Parse of Qs'!E66="At home", 2,
IF('Parse of Qs'!E66="From convenience stores (7-Eleven, Lawson, etc.)", 3,
IF('Parse of Qs'!E66="From vending machines", 4,
IF('Parse of Qs'!E66 = "Other:", 5,
IF('Parse of Qs'!E66 = "", 6, ""))))))</f>
        <v>6</v>
      </c>
      <c r="P66" s="1">
        <f>IF('Parse of Qs'!F66="At cafés", 1,
IF('Parse of Qs'!F66="At home", 2,
IF('Parse of Qs'!F66="From convenience stores (7-Eleven, Lawson, etc.)", 3,
IF('Parse of Qs'!F66="From vending machines", 4,
IF('Parse of Qs'!F66 = "Other:", 5,
IF('Parse of Qs'!F66 = "", 6, ""))))))</f>
        <v>6</v>
      </c>
      <c r="Q66" s="1">
        <f>IF(OR('Master English Sheet'!R66="Every Day",'Master English Sheet'!R66="Daily"), 1,
IF('Master English Sheet'!R66="Several times a week", 2,
IF('Master English Sheet'!R66="Once a week", 3,
IF('Master English Sheet'!R66="A few times a month", 4,
IF('Master English Sheet'!R66="Rarely", 5,
IF('Master English Sheet'!R66="Never", 6, 
IF('Master English Sheet'!R66 = "", 7, "")))))))</f>
        <v>5</v>
      </c>
      <c r="R66" s="1">
        <f>IF('Master English Sheet'!S66="To relax or take a break", 1,
IF('Master English Sheet'!S66="To meet friends", 2,
IF('Master English Sheet'!S66="To study/work", 3,
IF('Master English Sheet'!S66="To try a new drink", 4,
IF('Master English Sheet'!S66="Out of habit", 5,
IF('Master English Sheet'!S66="Other:", 6, 
IF('Master English Sheet'!S66 = "", 7, "")))))))</f>
        <v>1</v>
      </c>
      <c r="S66" s="1">
        <f>IF('Master English Sheet'!U66="Quality of drinks", 1,
IF('Master English Sheet'!U66="Atmosphere", 2,
IF('Master English Sheet'!U66="Service", 3,
IF('Master English Sheet'!U66="Brand image", 4,
IF('Master English Sheet'!U66="Other:", 5, 
IF('Master English Sheet'!U66 = "", 6, ""))))))</f>
        <v>2</v>
      </c>
      <c r="T66" s="1">
        <f>IF('Master English Sheet'!W66="Yes, Western", 1,
IF('Master English Sheet'!W66="Yes, Global", 2,
IF('Master English Sheet'!W66="Yes,  Japanese", 3,
IF('Master English Sheet'!W66="No", 4,
IF('Master English Sheet'!W66="Unsure", 5, 
IF('Master English Sheet'!W66 = "", 6, ""))))))</f>
        <v>4</v>
      </c>
      <c r="U66" s="1">
        <f>IF('Master English Sheet'!X66="Yes, Western", 1,
IF('Master English Sheet'!X66="Yes, Global", 2,
IF('Master English Sheet'!X66="Yes,  Japanese", 3,
IF('Master English Sheet'!X66="No", 4,
IF('Master English Sheet'!X66="Unsure", 5, 
IF('Master English Sheet'!X66 = "", 6, ""))))))</f>
        <v>3</v>
      </c>
      <c r="V66" s="1">
        <f>'Master English Sheet'!Y66</f>
        <v>6</v>
      </c>
      <c r="W66" s="1">
        <f>'Master English Sheet'!Z66</f>
        <v>7</v>
      </c>
      <c r="X66" s="1">
        <f>'Master English Sheet'!AA66</f>
        <v>4</v>
      </c>
    </row>
    <row r="67">
      <c r="A67" s="6">
        <v>66.0</v>
      </c>
      <c r="B67" s="6">
        <v>1.0</v>
      </c>
      <c r="C67" s="1">
        <f>IF('Master English Sheet'!D67="18-25", 1,
IF('Master English Sheet'!D67="26-35", 2,
IF('Master English Sheet'!D67="36-45", 3,
IF('Master English Sheet'!D67="46-55", 4,
IF('Master English Sheet'!D67="56-65", 5,
IF('Master English Sheet'!D67="65+", 6, ""))))))</f>
        <v>2</v>
      </c>
      <c r="D67" s="1">
        <f>IF('Master English Sheet'!E67="Male", 1,
IF('Master English Sheet'!E67="Female", 2,
IF('Master English Sheet'!E67="Nonbinary", 3,
IF('Master English Sheet'!E67="Prefer not to say", 4, ""))))</f>
        <v>2</v>
      </c>
      <c r="E67" s="1">
        <f>IF('Master English Sheet'!F67="Under ¥3,000,000", 1,
IF('Master English Sheet'!F67="¥3,000,000 – ¥5,999,999", 2,
IF('Master English Sheet'!F67="¥6,000,000 – ¥8,999,999", 3,
IF('Master English Sheet'!F67="¥9,000,000 – ¥11,999,999", 4,
IF('Master English Sheet'!F67 = "¥12,000,000 or more", 5,
IF('Master English Sheet'!F67 = "Prefer not to say", 6, ""))))))</f>
        <v>3</v>
      </c>
      <c r="F67" s="1">
        <f>IF('Master English Sheet'!G67="Hokkaido", 1,
IF('Master English Sheet'!G67="Tohoku", 2,
IF('Master English Sheet'!G67="Kanto", 3,
IF('Master English Sheet'!G67="Chubu", 4,
IF('Master English Sheet'!G67 = "Kansai", 5,
IF('Master English Sheet'!G67 = "Chugoku", 6,
IF('Master English Sheet'!G67 = "Shikoku", 7,
IF('Master English Sheet'!G67 = "Kyushu", 8,
IF('Master English Sheet'!G67 = "Okinawa", 9, 
IF('Master English Sheet'!G67 = "I do not live in Japan", 10, ""))))))))))</f>
        <v>3</v>
      </c>
      <c r="G67" s="1">
        <f>IF('Master English Sheet'!H67="Daily", 1,
IF('Master English Sheet'!H67="Several times a week", 2,
IF('Master English Sheet'!H67="Once a week", 3,
IF('Master English Sheet'!H67 = "Rarely", 4,
IF('Master English Sheet'!H67 = "Never", 5, "")))))</f>
        <v>1</v>
      </c>
      <c r="H67" s="1">
        <f>IF('Master English Sheet'!I67="Pour Over", 1,
IF('Master English Sheet'!I67="Drip", 2,
IF('Master English Sheet'!I67="Latte", 3,
IF('Master English Sheet'!I67="Americano", 4,
IF('Master English Sheet'!I67 = "Cappuccino", 5,
IF('Master English Sheet'!I67 = "Flavored coffee (mocha, vanilla, caramel, etc.)", 6,
IF('Master English Sheet'!I67 = "Cold brew", 7,
IF('Master English Sheet'!I67 = "I don't drink coffee", 8,
IF('Master English Sheet'!I67 = "Other:", 9,
IF('Master English Sheet'!I67 ="", 10, ""))))))))))</f>
        <v>2</v>
      </c>
      <c r="I67" s="1">
        <f>IF('Master English Sheet'!K67="Daily", 1,
IF('Master English Sheet'!K67="Several times a week", 2,
IF('Master English Sheet'!K67="Once a week", 3,
IF('Master English Sheet'!K67 = "Rarely", 4,
IF('Master English Sheet'!K67 = "Never", 5, "")))))</f>
        <v>4</v>
      </c>
      <c r="J67" s="1">
        <f>IF('Master English Sheet'!L67="Usucha", 1,
IF('Master English Sheet'!L67="Koicha", 2,
IF('Master English Sheet'!L67="Matcha Latte", 3,
IF('Master English Sheet'!L67="I don’t drink matcha", 4,
IF('Master English Sheet'!L67 = "Other:", 5,
IF('Master English Sheet'!L67 ="", 6, ""))))))</f>
        <v>3</v>
      </c>
      <c r="K67" s="1">
        <f>IF('Parse of Qs'!A67="Taste/Flavor", 1,
IF('Parse of Qs'!A67="Price", 2,
IF('Parse of Qs'!A67="Energy boost/Caffeine", 3,
IF('Parse of Qs'!A67="Health benefits", 4,
IF('Parse of Qs'!A67 = "Social atmosphere", 5,
IF('Parse of Qs'!A67 ="Routine/Ritual", 6, 
IF('Parse of Qs'!A67 = "Branding/Imagery", 7,
IF('Parse of Qs'!A67 = "Social norms / influence (what people around me usually drink)", 8, 
IF('Parse of Qs'!A67 = "To try new things", 9,
IF('Parse of Qs'!A67 = "Other:", 10, 
IF('Parse of Qs'!A67 = "", 11, "")))))))))))</f>
        <v>6</v>
      </c>
      <c r="L67" s="1">
        <f>IF('Parse of Qs'!B67="Taste/Flavor", 1,
IF('Parse of Qs'!B67="Price", 2,
IF('Parse of Qs'!B67="Energy boost/Caffeine", 3,
IF('Parse of Qs'!B67="Health benefits", 4,
IF('Parse of Qs'!B67 = "Social atmosphere", 5,
IF('Parse of Qs'!B67 ="Routine/Ritual", 6, 
IF('Parse of Qs'!B67 = "Branding/Imagery", 7,
IF('Parse of Qs'!B67 = "Social norms / influence (what people around me usually drink)", 8, 
IF('Parse of Qs'!B67 = "To try new things", 9,
IF('Parse of Qs'!B67 = "Other:", 10, 
IF('Parse of Qs'!B67 = "", 11, "")))))))))))</f>
        <v>1</v>
      </c>
      <c r="M67" s="1">
        <f>IF('Parse of Qs'!C67="At cafés", 1,
IF('Parse of Qs'!C67="At home", 2,
IF('Parse of Qs'!C67="From convenience stores (7-Eleven, Lawson, etc.)", 3,
IF('Parse of Qs'!C67="From vending machines", 4,
IF('Parse of Qs'!C67 = "Other:", 5,
IF('Parse of Qs'!C67 = "", 6, ""))))))</f>
        <v>2</v>
      </c>
      <c r="N67" s="1">
        <f>IF('Parse of Qs'!D67="At cafés", 1,
IF('Parse of Qs'!D67="At home", 2,
IF('Parse of Qs'!D67="From convenience stores (7-Eleven, Lawson, etc.)", 3,
IF('Parse of Qs'!D67="From vending machines", 4,
IF('Parse of Qs'!D67 = "Other:", 5,
IF('Parse of Qs'!D67 = "", 6, ""))))))</f>
        <v>3</v>
      </c>
      <c r="O67" s="1">
        <f>IF('Parse of Qs'!E67="At cafés", 1,
IF('Parse of Qs'!E67="At home", 2,
IF('Parse of Qs'!E67="From convenience stores (7-Eleven, Lawson, etc.)", 3,
IF('Parse of Qs'!E67="From vending machines", 4,
IF('Parse of Qs'!E67 = "Other:", 5,
IF('Parse of Qs'!E67 = "", 6, ""))))))</f>
        <v>6</v>
      </c>
      <c r="P67" s="1">
        <f>IF('Parse of Qs'!F67="At cafés", 1,
IF('Parse of Qs'!F67="At home", 2,
IF('Parse of Qs'!F67="From convenience stores (7-Eleven, Lawson, etc.)", 3,
IF('Parse of Qs'!F67="From vending machines", 4,
IF('Parse of Qs'!F67 = "Other:", 5,
IF('Parse of Qs'!F67 = "", 6, ""))))))</f>
        <v>6</v>
      </c>
      <c r="Q67" s="1">
        <f>IF(OR('Master English Sheet'!R67="Every Day",'Master English Sheet'!R67="Daily"), 1,
IF('Master English Sheet'!R67="Several times a week", 2,
IF('Master English Sheet'!R67="Once a week", 3,
IF('Master English Sheet'!R67="A few times a month", 4,
IF('Master English Sheet'!R67="Rarely", 5,
IF('Master English Sheet'!R67="Never", 6, 
IF('Master English Sheet'!R67 = "", 7, "")))))))</f>
        <v>4</v>
      </c>
      <c r="R67" s="1">
        <f>IF('Master English Sheet'!S67="To relax or take a break", 1,
IF('Master English Sheet'!S67="To meet friends", 2,
IF('Master English Sheet'!S67="To study/work", 3,
IF('Master English Sheet'!S67="To try a new drink", 4,
IF('Master English Sheet'!S67="Out of habit", 5,
IF('Master English Sheet'!S67="Other:", 6, 
IF('Master English Sheet'!S67 = "", 7, "")))))))</f>
        <v>2</v>
      </c>
      <c r="S67" s="1">
        <f>IF('Master English Sheet'!U67="Quality of drinks", 1,
IF('Master English Sheet'!U67="Atmosphere", 2,
IF('Master English Sheet'!U67="Service", 3,
IF('Master English Sheet'!U67="Brand image", 4,
IF('Master English Sheet'!U67="Other:", 5, 
IF('Master English Sheet'!U67 = "", 6, ""))))))</f>
        <v>2</v>
      </c>
      <c r="T67" s="1">
        <f>IF('Master English Sheet'!W67="Yes, Western", 1,
IF('Master English Sheet'!W67="Yes, Global", 2,
IF('Master English Sheet'!W67="Yes,  Japanese", 3,
IF('Master English Sheet'!W67="No", 4,
IF('Master English Sheet'!W67="Unsure", 5, 
IF('Master English Sheet'!W67 = "", 6, ""))))))</f>
        <v>4</v>
      </c>
      <c r="U67" s="1">
        <f>IF('Master English Sheet'!X67="Yes, Western", 1,
IF('Master English Sheet'!X67="Yes, Global", 2,
IF('Master English Sheet'!X67="Yes,  Japanese", 3,
IF('Master English Sheet'!X67="No", 4,
IF('Master English Sheet'!X67="Unsure", 5, 
IF('Master English Sheet'!X67 = "", 6, ""))))))</f>
        <v>4</v>
      </c>
      <c r="V67" s="1">
        <f>'Master English Sheet'!Y67</f>
        <v>7</v>
      </c>
      <c r="W67" s="1">
        <f>'Master English Sheet'!Z67</f>
        <v>4</v>
      </c>
      <c r="X67" s="1">
        <f>'Master English Sheet'!AA67</f>
        <v>4</v>
      </c>
    </row>
    <row r="68">
      <c r="A68" s="6">
        <v>67.0</v>
      </c>
      <c r="B68" s="6">
        <v>1.0</v>
      </c>
      <c r="C68" s="1">
        <f>IF('Master English Sheet'!D68="18-25", 1,
IF('Master English Sheet'!D68="26-35", 2,
IF('Master English Sheet'!D68="36-45", 3,
IF('Master English Sheet'!D68="46-55", 4,
IF('Master English Sheet'!D68="56-65", 5,
IF('Master English Sheet'!D68="65+", 6, ""))))))</f>
        <v>5</v>
      </c>
      <c r="D68" s="1">
        <f>IF('Master English Sheet'!E68="Male", 1,
IF('Master English Sheet'!E68="Female", 2,
IF('Master English Sheet'!E68="Nonbinary", 3,
IF('Master English Sheet'!E68="Prefer not to say", 4, ""))))</f>
        <v>1</v>
      </c>
      <c r="E68" s="1">
        <f>IF('Master English Sheet'!F68="Under ¥3,000,000", 1,
IF('Master English Sheet'!F68="¥3,000,000 – ¥5,999,999", 2,
IF('Master English Sheet'!F68="¥6,000,000 – ¥8,999,999", 3,
IF('Master English Sheet'!F68="¥9,000,000 – ¥11,999,999", 4,
IF('Master English Sheet'!F68 = "¥12,000,000 or more", 5,
IF('Master English Sheet'!F68 = "Prefer not to say", 6, ""))))))</f>
        <v>3</v>
      </c>
      <c r="F68" s="1">
        <f>IF('Master English Sheet'!G68="Hokkaido", 1,
IF('Master English Sheet'!G68="Tohoku", 2,
IF('Master English Sheet'!G68="Kanto", 3,
IF('Master English Sheet'!G68="Chubu", 4,
IF('Master English Sheet'!G68 = "Kansai", 5,
IF('Master English Sheet'!G68 = "Chugoku", 6,
IF('Master English Sheet'!G68 = "Shikoku", 7,
IF('Master English Sheet'!G68 = "Kyushu", 8,
IF('Master English Sheet'!G68 = "Okinawa", 9, 
IF('Master English Sheet'!G68 = "I do not live in Japan", 10, ""))))))))))</f>
        <v>3</v>
      </c>
      <c r="G68" s="1">
        <f>IF('Master English Sheet'!H68="Daily", 1,
IF('Master English Sheet'!H68="Several times a week", 2,
IF('Master English Sheet'!H68="Once a week", 3,
IF('Master English Sheet'!H68 = "Rarely", 4,
IF('Master English Sheet'!H68 = "Never", 5, "")))))</f>
        <v>1</v>
      </c>
      <c r="H68" s="1">
        <f>IF('Master English Sheet'!I68="Pour Over", 1,
IF('Master English Sheet'!I68="Drip", 2,
IF('Master English Sheet'!I68="Latte", 3,
IF('Master English Sheet'!I68="Americano", 4,
IF('Master English Sheet'!I68 = "Cappuccino", 5,
IF('Master English Sheet'!I68 = "Flavored coffee (mocha, vanilla, caramel, etc.)", 6,
IF('Master English Sheet'!I68 = "Cold brew", 7,
IF('Master English Sheet'!I68 = "I don't drink coffee", 8,
IF('Master English Sheet'!I68 = "Other:", 9,
IF('Master English Sheet'!I68 ="", 10, ""))))))))))</f>
        <v>2</v>
      </c>
      <c r="I68" s="1">
        <f>IF('Master English Sheet'!K68="Daily", 1,
IF('Master English Sheet'!K68="Several times a week", 2,
IF('Master English Sheet'!K68="Once a week", 3,
IF('Master English Sheet'!K68 = "Rarely", 4,
IF('Master English Sheet'!K68 = "Never", 5, "")))))</f>
        <v>4</v>
      </c>
      <c r="J68" s="1">
        <f>IF('Master English Sheet'!L68="Usucha", 1,
IF('Master English Sheet'!L68="Koicha", 2,
IF('Master English Sheet'!L68="Matcha Latte", 3,
IF('Master English Sheet'!L68="I don’t drink matcha", 4,
IF('Master English Sheet'!L68 = "Other:", 5,
IF('Master English Sheet'!L68 ="", 6, ""))))))</f>
        <v>3</v>
      </c>
      <c r="K68" s="1">
        <f>IF('Parse of Qs'!A68="Taste/Flavor", 1,
IF('Parse of Qs'!A68="Price", 2,
IF('Parse of Qs'!A68="Energy boost/Caffeine", 3,
IF('Parse of Qs'!A68="Health benefits", 4,
IF('Parse of Qs'!A68 = "Social atmosphere", 5,
IF('Parse of Qs'!A68 ="Routine/Ritual", 6, 
IF('Parse of Qs'!A68 = "Branding/Imagery", 7,
IF('Parse of Qs'!A68 = "Social norms / influence (what people around me usually drink)", 8, 
IF('Parse of Qs'!A68 = "To try new things", 9,
IF('Parse of Qs'!A68 = "Other:", 10, 
IF('Parse of Qs'!A68 = "", 11, "")))))))))))</f>
        <v>1</v>
      </c>
      <c r="L68" s="1">
        <f>IF('Parse of Qs'!B68="Taste/Flavor", 1,
IF('Parse of Qs'!B68="Price", 2,
IF('Parse of Qs'!B68="Energy boost/Caffeine", 3,
IF('Parse of Qs'!B68="Health benefits", 4,
IF('Parse of Qs'!B68 = "Social atmosphere", 5,
IF('Parse of Qs'!B68 ="Routine/Ritual", 6, 
IF('Parse of Qs'!B68 = "Branding/Imagery", 7,
IF('Parse of Qs'!B68 = "Social norms / influence (what people around me usually drink)", 8, 
IF('Parse of Qs'!B68 = "To try new things", 9,
IF('Parse of Qs'!B68 = "Other:", 10, 
IF('Parse of Qs'!B68 = "", 11, "")))))))))))</f>
        <v>8</v>
      </c>
      <c r="M68" s="1">
        <f>IF('Parse of Qs'!C68="At cafés", 1,
IF('Parse of Qs'!C68="At home", 2,
IF('Parse of Qs'!C68="From convenience stores (7-Eleven, Lawson, etc.)", 3,
IF('Parse of Qs'!C68="From vending machines", 4,
IF('Parse of Qs'!C68 = "Other:", 5,
IF('Parse of Qs'!C68 = "", 6, ""))))))</f>
        <v>3</v>
      </c>
      <c r="N68" s="1">
        <f>IF('Parse of Qs'!D68="At cafés", 1,
IF('Parse of Qs'!D68="At home", 2,
IF('Parse of Qs'!D68="From convenience stores (7-Eleven, Lawson, etc.)", 3,
IF('Parse of Qs'!D68="From vending machines", 4,
IF('Parse of Qs'!D68 = "Other:", 5,
IF('Parse of Qs'!D68 = "", 6, ""))))))</f>
        <v>5</v>
      </c>
      <c r="O68" s="1">
        <f>IF('Parse of Qs'!E68="At cafés", 1,
IF('Parse of Qs'!E68="At home", 2,
IF('Parse of Qs'!E68="From convenience stores (7-Eleven, Lawson, etc.)", 3,
IF('Parse of Qs'!E68="From vending machines", 4,
IF('Parse of Qs'!E68 = "Other:", 5,
IF('Parse of Qs'!E68 = "", 6, ""))))))</f>
        <v>6</v>
      </c>
      <c r="P68" s="1">
        <f>IF('Parse of Qs'!F68="At cafés", 1,
IF('Parse of Qs'!F68="At home", 2,
IF('Parse of Qs'!F68="From convenience stores (7-Eleven, Lawson, etc.)", 3,
IF('Parse of Qs'!F68="From vending machines", 4,
IF('Parse of Qs'!F68 = "Other:", 5,
IF('Parse of Qs'!F68 = "", 6, ""))))))</f>
        <v>6</v>
      </c>
      <c r="Q68" s="1">
        <f>IF(OR('Master English Sheet'!R68="Every Day",'Master English Sheet'!R68="Daily"), 1,
IF('Master English Sheet'!R68="Several times a week", 2,
IF('Master English Sheet'!R68="Once a week", 3,
IF('Master English Sheet'!R68="A few times a month", 4,
IF('Master English Sheet'!R68="Rarely", 5,
IF('Master English Sheet'!R68="Never", 6, 
IF('Master English Sheet'!R68 = "", 7, "")))))))</f>
        <v>4</v>
      </c>
      <c r="R68" s="1">
        <f>IF('Master English Sheet'!S68="To relax or take a break", 1,
IF('Master English Sheet'!S68="To meet friends", 2,
IF('Master English Sheet'!S68="To study/work", 3,
IF('Master English Sheet'!S68="To try a new drink", 4,
IF('Master English Sheet'!S68="Out of habit", 5,
IF('Master English Sheet'!S68="Other:", 6, 
IF('Master English Sheet'!S68 = "", 7, "")))))))</f>
        <v>3</v>
      </c>
      <c r="S68" s="1">
        <f>IF('Master English Sheet'!U68="Quality of drinks", 1,
IF('Master English Sheet'!U68="Atmosphere", 2,
IF('Master English Sheet'!U68="Service", 3,
IF('Master English Sheet'!U68="Brand image", 4,
IF('Master English Sheet'!U68="Other:", 5, 
IF('Master English Sheet'!U68 = "", 6, ""))))))</f>
        <v>2</v>
      </c>
      <c r="T68" s="1">
        <f>IF('Master English Sheet'!W68="Yes, Western", 1,
IF('Master English Sheet'!W68="Yes, Global", 2,
IF('Master English Sheet'!W68="Yes,  Japanese", 3,
IF('Master English Sheet'!W68="No", 4,
IF('Master English Sheet'!W68="Unsure", 5, 
IF('Master English Sheet'!W68 = "", 6, ""))))))</f>
        <v>1</v>
      </c>
      <c r="U68" s="1">
        <f>IF('Master English Sheet'!X68="Yes, Western", 1,
IF('Master English Sheet'!X68="Yes, Global", 2,
IF('Master English Sheet'!X68="Yes,  Japanese", 3,
IF('Master English Sheet'!X68="No", 4,
IF('Master English Sheet'!X68="Unsure", 5, 
IF('Master English Sheet'!X68 = "", 6, ""))))))</f>
        <v>3</v>
      </c>
      <c r="V68" s="1">
        <f>'Master English Sheet'!Y68</f>
        <v>7</v>
      </c>
      <c r="W68" s="1">
        <f>'Master English Sheet'!Z68</f>
        <v>7</v>
      </c>
      <c r="X68" s="1">
        <f>'Master English Sheet'!AA68</f>
        <v>2</v>
      </c>
    </row>
    <row r="69">
      <c r="A69" s="6">
        <v>68.0</v>
      </c>
      <c r="B69" s="6">
        <v>1.0</v>
      </c>
      <c r="C69" s="1">
        <f>IF('Master English Sheet'!D69="18-25", 1,
IF('Master English Sheet'!D69="26-35", 2,
IF('Master English Sheet'!D69="36-45", 3,
IF('Master English Sheet'!D69="46-55", 4,
IF('Master English Sheet'!D69="56-65", 5,
IF('Master English Sheet'!D69="65+", 6, ""))))))</f>
        <v>4</v>
      </c>
      <c r="D69" s="1">
        <f>IF('Master English Sheet'!E69="Male", 1,
IF('Master English Sheet'!E69="Female", 2,
IF('Master English Sheet'!E69="Nonbinary", 3,
IF('Master English Sheet'!E69="Prefer not to say", 4, ""))))</f>
        <v>1</v>
      </c>
      <c r="E69" s="1">
        <f>IF('Master English Sheet'!F69="Under ¥3,000,000", 1,
IF('Master English Sheet'!F69="¥3,000,000 – ¥5,999,999", 2,
IF('Master English Sheet'!F69="¥6,000,000 – ¥8,999,999", 3,
IF('Master English Sheet'!F69="¥9,000,000 – ¥11,999,999", 4,
IF('Master English Sheet'!F69 = "¥12,000,000 or more", 5,
IF('Master English Sheet'!F69 = "Prefer not to say", 6, ""))))))</f>
        <v>4</v>
      </c>
      <c r="F69" s="1">
        <f>IF('Master English Sheet'!G69="Hokkaido", 1,
IF('Master English Sheet'!G69="Tohoku", 2,
IF('Master English Sheet'!G69="Kanto", 3,
IF('Master English Sheet'!G69="Chubu", 4,
IF('Master English Sheet'!G69 = "Kansai", 5,
IF('Master English Sheet'!G69 = "Chugoku", 6,
IF('Master English Sheet'!G69 = "Shikoku", 7,
IF('Master English Sheet'!G69 = "Kyushu", 8,
IF('Master English Sheet'!G69 = "Okinawa", 9, 
IF('Master English Sheet'!G69 = "I do not live in Japan", 10, ""))))))))))</f>
        <v>3</v>
      </c>
      <c r="G69" s="1">
        <f>IF('Master English Sheet'!H69="Daily", 1,
IF('Master English Sheet'!H69="Several times a week", 2,
IF('Master English Sheet'!H69="Once a week", 3,
IF('Master English Sheet'!H69 = "Rarely", 4,
IF('Master English Sheet'!H69 = "Never", 5, "")))))</f>
        <v>1</v>
      </c>
      <c r="H69" s="1">
        <f>IF('Master English Sheet'!I69="Pour Over", 1,
IF('Master English Sheet'!I69="Drip", 2,
IF('Master English Sheet'!I69="Latte", 3,
IF('Master English Sheet'!I69="Americano", 4,
IF('Master English Sheet'!I69 = "Cappuccino", 5,
IF('Master English Sheet'!I69 = "Flavored coffee (mocha, vanilla, caramel, etc.)", 6,
IF('Master English Sheet'!I69 = "Cold brew", 7,
IF('Master English Sheet'!I69 = "I don't drink coffee", 8,
IF('Master English Sheet'!I69 = "Other:", 9,
IF('Master English Sheet'!I69 ="", 10, ""))))))))))</f>
        <v>2</v>
      </c>
      <c r="I69" s="1">
        <f>IF('Master English Sheet'!K69="Daily", 1,
IF('Master English Sheet'!K69="Several times a week", 2,
IF('Master English Sheet'!K69="Once a week", 3,
IF('Master English Sheet'!K69 = "Rarely", 4,
IF('Master English Sheet'!K69 = "Never", 5, "")))))</f>
        <v>4</v>
      </c>
      <c r="J69" s="1">
        <f>IF('Master English Sheet'!L69="Usucha", 1,
IF('Master English Sheet'!L69="Koicha", 2,
IF('Master English Sheet'!L69="Matcha Latte", 3,
IF('Master English Sheet'!L69="I don’t drink matcha", 4,
IF('Master English Sheet'!L69 = "Other:", 5,
IF('Master English Sheet'!L69 ="", 6, ""))))))</f>
        <v>3</v>
      </c>
      <c r="K69" s="1">
        <f>IF('Parse of Qs'!A69="Taste/Flavor", 1,
IF('Parse of Qs'!A69="Price", 2,
IF('Parse of Qs'!A69="Energy boost/Caffeine", 3,
IF('Parse of Qs'!A69="Health benefits", 4,
IF('Parse of Qs'!A69 = "Social atmosphere", 5,
IF('Parse of Qs'!A69 ="Routine/Ritual", 6, 
IF('Parse of Qs'!A69 = "Branding/Imagery", 7,
IF('Parse of Qs'!A69 = "Social norms / influence (what people around me usually drink)", 8, 
IF('Parse of Qs'!A69 = "To try new things", 9,
IF('Parse of Qs'!A69 = "Other:", 10, 
IF('Parse of Qs'!A69 = "", 11, "")))))))))))</f>
        <v>1</v>
      </c>
      <c r="L69" s="1">
        <f>IF('Parse of Qs'!B69="Taste/Flavor", 1,
IF('Parse of Qs'!B69="Price", 2,
IF('Parse of Qs'!B69="Energy boost/Caffeine", 3,
IF('Parse of Qs'!B69="Health benefits", 4,
IF('Parse of Qs'!B69 = "Social atmosphere", 5,
IF('Parse of Qs'!B69 ="Routine/Ritual", 6, 
IF('Parse of Qs'!B69 = "Branding/Imagery", 7,
IF('Parse of Qs'!B69 = "Social norms / influence (what people around me usually drink)", 8, 
IF('Parse of Qs'!B69 = "To try new things", 9,
IF('Parse of Qs'!B69 = "Other:", 10, 
IF('Parse of Qs'!B69 = "", 11, "")))))))))))</f>
        <v>2</v>
      </c>
      <c r="M69" s="1">
        <f>IF('Parse of Qs'!C69="At cafés", 1,
IF('Parse of Qs'!C69="At home", 2,
IF('Parse of Qs'!C69="From convenience stores (7-Eleven, Lawson, etc.)", 3,
IF('Parse of Qs'!C69="From vending machines", 4,
IF('Parse of Qs'!C69 = "Other:", 5,
IF('Parse of Qs'!C69 = "", 6, ""))))))</f>
        <v>1</v>
      </c>
      <c r="N69" s="1">
        <f>IF('Parse of Qs'!D69="At cafés", 1,
IF('Parse of Qs'!D69="At home", 2,
IF('Parse of Qs'!D69="From convenience stores (7-Eleven, Lawson, etc.)", 3,
IF('Parse of Qs'!D69="From vending machines", 4,
IF('Parse of Qs'!D69 = "Other:", 5,
IF('Parse of Qs'!D69 = "", 6, ""))))))</f>
        <v>2</v>
      </c>
      <c r="O69" s="1">
        <f>IF('Parse of Qs'!E69="At cafés", 1,
IF('Parse of Qs'!E69="At home", 2,
IF('Parse of Qs'!E69="From convenience stores (7-Eleven, Lawson, etc.)", 3,
IF('Parse of Qs'!E69="From vending machines", 4,
IF('Parse of Qs'!E69 = "Other:", 5,
IF('Parse of Qs'!E69 = "", 6, ""))))))</f>
        <v>3</v>
      </c>
      <c r="P69" s="1">
        <f>IF('Parse of Qs'!F69="At cafés", 1,
IF('Parse of Qs'!F69="At home", 2,
IF('Parse of Qs'!F69="From convenience stores (7-Eleven, Lawson, etc.)", 3,
IF('Parse of Qs'!F69="From vending machines", 4,
IF('Parse of Qs'!F69 = "Other:", 5,
IF('Parse of Qs'!F69 = "", 6, ""))))))</f>
        <v>4</v>
      </c>
      <c r="Q69" s="1">
        <f>IF(OR('Master English Sheet'!R69="Every Day",'Master English Sheet'!R69="Daily"), 1,
IF('Master English Sheet'!R69="Several times a week", 2,
IF('Master English Sheet'!R69="Once a week", 3,
IF('Master English Sheet'!R69="A few times a month", 4,
IF('Master English Sheet'!R69="Rarely", 5,
IF('Master English Sheet'!R69="Never", 6, 
IF('Master English Sheet'!R69 = "", 7, "")))))))</f>
        <v>4</v>
      </c>
      <c r="R69" s="1">
        <f>IF('Master English Sheet'!S69="To relax or take a break", 1,
IF('Master English Sheet'!S69="To meet friends", 2,
IF('Master English Sheet'!S69="To study/work", 3,
IF('Master English Sheet'!S69="To try a new drink", 4,
IF('Master English Sheet'!S69="Out of habit", 5,
IF('Master English Sheet'!S69="Other:", 6, 
IF('Master English Sheet'!S69 = "", 7, "")))))))</f>
        <v>3</v>
      </c>
      <c r="S69" s="1">
        <f>IF('Master English Sheet'!U69="Quality of drinks", 1,
IF('Master English Sheet'!U69="Atmosphere", 2,
IF('Master English Sheet'!U69="Service", 3,
IF('Master English Sheet'!U69="Brand image", 4,
IF('Master English Sheet'!U69="Other:", 5, 
IF('Master English Sheet'!U69 = "", 6, ""))))))</f>
        <v>2</v>
      </c>
      <c r="T69" s="1">
        <f>IF('Master English Sheet'!W69="Yes, Western", 1,
IF('Master English Sheet'!W69="Yes, Global", 2,
IF('Master English Sheet'!W69="Yes,  Japanese", 3,
IF('Master English Sheet'!W69="No", 4,
IF('Master English Sheet'!W69="Unsure", 5, 
IF('Master English Sheet'!W69 = "", 6, ""))))))</f>
        <v>2</v>
      </c>
      <c r="U69" s="1">
        <f>IF('Master English Sheet'!X69="Yes, Western", 1,
IF('Master English Sheet'!X69="Yes, Global", 2,
IF('Master English Sheet'!X69="Yes,  Japanese", 3,
IF('Master English Sheet'!X69="No", 4,
IF('Master English Sheet'!X69="Unsure", 5, 
IF('Master English Sheet'!X69 = "", 6, ""))))))</f>
        <v>3</v>
      </c>
      <c r="V69" s="1">
        <f>'Master English Sheet'!Y69</f>
        <v>7</v>
      </c>
      <c r="W69" s="1">
        <f>'Master English Sheet'!Z69</f>
        <v>7</v>
      </c>
      <c r="X69" s="1">
        <f>'Master English Sheet'!AA69</f>
        <v>4</v>
      </c>
    </row>
    <row r="70">
      <c r="A70" s="6">
        <v>69.0</v>
      </c>
      <c r="B70" s="6">
        <v>1.0</v>
      </c>
      <c r="C70" s="1">
        <f>IF('Master English Sheet'!D70="18-25", 1,
IF('Master English Sheet'!D70="26-35", 2,
IF('Master English Sheet'!D70="36-45", 3,
IF('Master English Sheet'!D70="46-55", 4,
IF('Master English Sheet'!D70="56-65", 5,
IF('Master English Sheet'!D70="65+", 6, ""))))))</f>
        <v>4</v>
      </c>
      <c r="D70" s="1">
        <f>IF('Master English Sheet'!E70="Male", 1,
IF('Master English Sheet'!E70="Female", 2,
IF('Master English Sheet'!E70="Nonbinary", 3,
IF('Master English Sheet'!E70="Prefer not to say", 4, ""))))</f>
        <v>1</v>
      </c>
      <c r="E70" s="1">
        <f>IF('Master English Sheet'!F70="Under ¥3,000,000", 1,
IF('Master English Sheet'!F70="¥3,000,000 – ¥5,999,999", 2,
IF('Master English Sheet'!F70="¥6,000,000 – ¥8,999,999", 3,
IF('Master English Sheet'!F70="¥9,000,000 – ¥11,999,999", 4,
IF('Master English Sheet'!F70 = "¥12,000,000 or more", 5,
IF('Master English Sheet'!F70 = "Prefer not to say", 6, ""))))))</f>
        <v>4</v>
      </c>
      <c r="F70" s="1">
        <f>IF('Master English Sheet'!G70="Hokkaido", 1,
IF('Master English Sheet'!G70="Tohoku", 2,
IF('Master English Sheet'!G70="Kanto", 3,
IF('Master English Sheet'!G70="Chubu", 4,
IF('Master English Sheet'!G70 = "Kansai", 5,
IF('Master English Sheet'!G70 = "Chugoku", 6,
IF('Master English Sheet'!G70 = "Shikoku", 7,
IF('Master English Sheet'!G70 = "Kyushu", 8,
IF('Master English Sheet'!G70 = "Okinawa", 9, 
IF('Master English Sheet'!G70 = "I do not live in Japan", 10, ""))))))))))</f>
        <v>3</v>
      </c>
      <c r="G70" s="1">
        <f>IF('Master English Sheet'!H70="Daily", 1,
IF('Master English Sheet'!H70="Several times a week", 2,
IF('Master English Sheet'!H70="Once a week", 3,
IF('Master English Sheet'!H70 = "Rarely", 4,
IF('Master English Sheet'!H70 = "Never", 5, "")))))</f>
        <v>1</v>
      </c>
      <c r="H70" s="1">
        <f>IF('Master English Sheet'!I70="Pour Over", 1,
IF('Master English Sheet'!I70="Drip", 2,
IF('Master English Sheet'!I70="Latte", 3,
IF('Master English Sheet'!I70="Americano", 4,
IF('Master English Sheet'!I70 = "Cappuccino", 5,
IF('Master English Sheet'!I70 = "Flavored coffee (mocha, vanilla, caramel, etc.)", 6,
IF('Master English Sheet'!I70 = "Cold brew", 7,
IF('Master English Sheet'!I70 = "I don't drink coffee", 8,
IF('Master English Sheet'!I70 = "Other:", 9,
IF('Master English Sheet'!I70 ="", 10, ""))))))))))</f>
        <v>9</v>
      </c>
      <c r="I70" s="1">
        <f>IF('Master English Sheet'!K70="Daily", 1,
IF('Master English Sheet'!K70="Several times a week", 2,
IF('Master English Sheet'!K70="Once a week", 3,
IF('Master English Sheet'!K70 = "Rarely", 4,
IF('Master English Sheet'!K70 = "Never", 5, "")))))</f>
        <v>4</v>
      </c>
      <c r="J70" s="1">
        <f>IF('Master English Sheet'!L70="Usucha", 1,
IF('Master English Sheet'!L70="Koicha", 2,
IF('Master English Sheet'!L70="Matcha Latte", 3,
IF('Master English Sheet'!L70="I don’t drink matcha", 4,
IF('Master English Sheet'!L70 = "Other:", 5,
IF('Master English Sheet'!L70 ="", 6, ""))))))</f>
        <v>1</v>
      </c>
      <c r="K70" s="1">
        <f>IF('Parse of Qs'!A70="Taste/Flavor", 1,
IF('Parse of Qs'!A70="Price", 2,
IF('Parse of Qs'!A70="Energy boost/Caffeine", 3,
IF('Parse of Qs'!A70="Health benefits", 4,
IF('Parse of Qs'!A70 = "Social atmosphere", 5,
IF('Parse of Qs'!A70 ="Routine/Ritual", 6, 
IF('Parse of Qs'!A70 = "Branding/Imagery", 7,
IF('Parse of Qs'!A70 = "Social norms / influence (what people around me usually drink)", 8, 
IF('Parse of Qs'!A70 = "To try new things", 9,
IF('Parse of Qs'!A70 = "Other:", 10, 
IF('Parse of Qs'!A70 = "", 11, "")))))))))))</f>
        <v>10</v>
      </c>
      <c r="L70" s="1">
        <f>IF('Parse of Qs'!B70="Taste/Flavor", 1,
IF('Parse of Qs'!B70="Price", 2,
IF('Parse of Qs'!B70="Energy boost/Caffeine", 3,
IF('Parse of Qs'!B70="Health benefits", 4,
IF('Parse of Qs'!B70 = "Social atmosphere", 5,
IF('Parse of Qs'!B70 ="Routine/Ritual", 6, 
IF('Parse of Qs'!B70 = "Branding/Imagery", 7,
IF('Parse of Qs'!B70 = "Social norms / influence (what people around me usually drink)", 8, 
IF('Parse of Qs'!B70 = "To try new things", 9,
IF('Parse of Qs'!B70 = "Other:", 10, 
IF('Parse of Qs'!B70 = "", 11, "")))))))))))</f>
        <v>1</v>
      </c>
      <c r="M70" s="1">
        <f>IF('Parse of Qs'!C70="At cafés", 1,
IF('Parse of Qs'!C70="At home", 2,
IF('Parse of Qs'!C70="From convenience stores (7-Eleven, Lawson, etc.)", 3,
IF('Parse of Qs'!C70="From vending machines", 4,
IF('Parse of Qs'!C70 = "Other:", 5,
IF('Parse of Qs'!C70 = "", 6, ""))))))</f>
        <v>1</v>
      </c>
      <c r="N70" s="1">
        <f>IF('Parse of Qs'!D70="At cafés", 1,
IF('Parse of Qs'!D70="At home", 2,
IF('Parse of Qs'!D70="From convenience stores (7-Eleven, Lawson, etc.)", 3,
IF('Parse of Qs'!D70="From vending machines", 4,
IF('Parse of Qs'!D70 = "Other:", 5,
IF('Parse of Qs'!D70 = "", 6, ""))))))</f>
        <v>2</v>
      </c>
      <c r="O70" s="1">
        <f>IF('Parse of Qs'!E70="At cafés", 1,
IF('Parse of Qs'!E70="At home", 2,
IF('Parse of Qs'!E70="From convenience stores (7-Eleven, Lawson, etc.)", 3,
IF('Parse of Qs'!E70="From vending machines", 4,
IF('Parse of Qs'!E70 = "Other:", 5,
IF('Parse of Qs'!E70 = "", 6, ""))))))</f>
        <v>3</v>
      </c>
      <c r="P70" s="1">
        <f>IF('Parse of Qs'!F70="At cafés", 1,
IF('Parse of Qs'!F70="At home", 2,
IF('Parse of Qs'!F70="From convenience stores (7-Eleven, Lawson, etc.)", 3,
IF('Parse of Qs'!F70="From vending machines", 4,
IF('Parse of Qs'!F70 = "Other:", 5,
IF('Parse of Qs'!F70 = "", 6, ""))))))</f>
        <v>4</v>
      </c>
      <c r="Q70" s="1">
        <f>IF(OR('Master English Sheet'!R70="Every Day",'Master English Sheet'!R70="Daily"), 1,
IF('Master English Sheet'!R70="Several times a week", 2,
IF('Master English Sheet'!R70="Once a week", 3,
IF('Master English Sheet'!R70="A few times a month", 4,
IF('Master English Sheet'!R70="Rarely", 5,
IF('Master English Sheet'!R70="Never", 6, 
IF('Master English Sheet'!R70 = "", 7, "")))))))</f>
        <v>4</v>
      </c>
      <c r="R70" s="1">
        <f>IF('Master English Sheet'!S70="To relax or take a break", 1,
IF('Master English Sheet'!S70="To meet friends", 2,
IF('Master English Sheet'!S70="To study/work", 3,
IF('Master English Sheet'!S70="To try a new drink", 4,
IF('Master English Sheet'!S70="Out of habit", 5,
IF('Master English Sheet'!S70="Other:", 6, 
IF('Master English Sheet'!S70 = "", 7, "")))))))</f>
        <v>1</v>
      </c>
      <c r="S70" s="1">
        <f>IF('Master English Sheet'!U70="Quality of drinks", 1,
IF('Master English Sheet'!U70="Atmosphere", 2,
IF('Master English Sheet'!U70="Service", 3,
IF('Master English Sheet'!U70="Brand image", 4,
IF('Master English Sheet'!U70="Other:", 5, 
IF('Master English Sheet'!U70 = "", 6, ""))))))</f>
        <v>2</v>
      </c>
      <c r="T70" s="1">
        <f>IF('Master English Sheet'!W70="Yes, Western", 1,
IF('Master English Sheet'!W70="Yes, Global", 2,
IF('Master English Sheet'!W70="Yes,  Japanese", 3,
IF('Master English Sheet'!W70="No", 4,
IF('Master English Sheet'!W70="Unsure", 5, 
IF('Master English Sheet'!W70 = "", 6, ""))))))</f>
        <v>1</v>
      </c>
      <c r="U70" s="1">
        <f>IF('Master English Sheet'!X70="Yes, Western", 1,
IF('Master English Sheet'!X70="Yes, Global", 2,
IF('Master English Sheet'!X70="Yes,  Japanese", 3,
IF('Master English Sheet'!X70="No", 4,
IF('Master English Sheet'!X70="Unsure", 5, 
IF('Master English Sheet'!X70 = "", 6, ""))))))</f>
        <v>3</v>
      </c>
      <c r="V70" s="1">
        <f>'Master English Sheet'!Y70</f>
        <v>7</v>
      </c>
      <c r="W70" s="1">
        <f>'Master English Sheet'!Z70</f>
        <v>7</v>
      </c>
      <c r="X70" s="1">
        <f>'Master English Sheet'!AA70</f>
        <v>4</v>
      </c>
    </row>
    <row r="71">
      <c r="A71" s="6">
        <v>70.0</v>
      </c>
      <c r="B71" s="6">
        <v>1.0</v>
      </c>
      <c r="C71" s="1">
        <f>IF('Master English Sheet'!D71="18-25", 1,
IF('Master English Sheet'!D71="26-35", 2,
IF('Master English Sheet'!D71="36-45", 3,
IF('Master English Sheet'!D71="46-55", 4,
IF('Master English Sheet'!D71="56-65", 5,
IF('Master English Sheet'!D71="65+", 6, ""))))))</f>
        <v>1</v>
      </c>
      <c r="D71" s="1">
        <f>IF('Master English Sheet'!E71="Male", 1,
IF('Master English Sheet'!E71="Female", 2,
IF('Master English Sheet'!E71="Nonbinary", 3,
IF('Master English Sheet'!E71="Prefer not to say", 4, ""))))</f>
        <v>1</v>
      </c>
      <c r="E71" s="1">
        <f>IF('Master English Sheet'!F71="Under ¥3,000,000", 1,
IF('Master English Sheet'!F71="¥3,000,000 – ¥5,999,999", 2,
IF('Master English Sheet'!F71="¥6,000,000 – ¥8,999,999", 3,
IF('Master English Sheet'!F71="¥9,000,000 – ¥11,999,999", 4,
IF('Master English Sheet'!F71 = "¥12,000,000 or more", 5,
IF('Master English Sheet'!F71 = "Prefer not to say", 6, ""))))))</f>
        <v>2</v>
      </c>
      <c r="F71" s="1">
        <f>IF('Master English Sheet'!G71="Hokkaido", 1,
IF('Master English Sheet'!G71="Tohoku", 2,
IF('Master English Sheet'!G71="Kanto", 3,
IF('Master English Sheet'!G71="Chubu", 4,
IF('Master English Sheet'!G71 = "Kansai", 5,
IF('Master English Sheet'!G71 = "Chugoku", 6,
IF('Master English Sheet'!G71 = "Shikoku", 7,
IF('Master English Sheet'!G71 = "Kyushu", 8,
IF('Master English Sheet'!G71 = "Okinawa", 9, 
IF('Master English Sheet'!G71 = "I do not live in Japan", 10, ""))))))))))</f>
        <v>5</v>
      </c>
      <c r="G71" s="1">
        <f>IF('Master English Sheet'!H71="Daily", 1,
IF('Master English Sheet'!H71="Several times a week", 2,
IF('Master English Sheet'!H71="Once a week", 3,
IF('Master English Sheet'!H71 = "Rarely", 4,
IF('Master English Sheet'!H71 = "Never", 5, "")))))</f>
        <v>1</v>
      </c>
      <c r="H71" s="1">
        <f>IF('Master English Sheet'!I71="Pour Over", 1,
IF('Master English Sheet'!I71="Drip", 2,
IF('Master English Sheet'!I71="Latte", 3,
IF('Master English Sheet'!I71="Americano", 4,
IF('Master English Sheet'!I71 = "Cappuccino", 5,
IF('Master English Sheet'!I71 = "Flavored coffee (mocha, vanilla, caramel, etc.)", 6,
IF('Master English Sheet'!I71 = "Cold brew", 7,
IF('Master English Sheet'!I71 = "I don't drink coffee", 8,
IF('Master English Sheet'!I71 = "Other:", 9,
IF('Master English Sheet'!I71 ="", 10, ""))))))))))</f>
        <v>4</v>
      </c>
      <c r="I71" s="1">
        <f>IF('Master English Sheet'!K71="Daily", 1,
IF('Master English Sheet'!K71="Several times a week", 2,
IF('Master English Sheet'!K71="Once a week", 3,
IF('Master English Sheet'!K71 = "Rarely", 4,
IF('Master English Sheet'!K71 = "Never", 5, "")))))</f>
        <v>4</v>
      </c>
      <c r="J71" s="1">
        <f>IF('Master English Sheet'!L71="Usucha", 1,
IF('Master English Sheet'!L71="Koicha", 2,
IF('Master English Sheet'!L71="Matcha Latte", 3,
IF('Master English Sheet'!L71="I don’t drink matcha", 4,
IF('Master English Sheet'!L71 = "Other:", 5,
IF('Master English Sheet'!L71 ="", 6, ""))))))</f>
        <v>4</v>
      </c>
      <c r="K71" s="1">
        <f>IF('Parse of Qs'!A71="Taste/Flavor", 1,
IF('Parse of Qs'!A71="Price", 2,
IF('Parse of Qs'!A71="Energy boost/Caffeine", 3,
IF('Parse of Qs'!A71="Health benefits", 4,
IF('Parse of Qs'!A71 = "Social atmosphere", 5,
IF('Parse of Qs'!A71 ="Routine/Ritual", 6, 
IF('Parse of Qs'!A71 = "Branding/Imagery", 7,
IF('Parse of Qs'!A71 = "Social norms / influence (what people around me usually drink)", 8, 
IF('Parse of Qs'!A71 = "To try new things", 9,
IF('Parse of Qs'!A71 = "Other:", 10, 
IF('Parse of Qs'!A71 = "", 11, "")))))))))))</f>
        <v>1</v>
      </c>
      <c r="L71" s="1">
        <f>IF('Parse of Qs'!B71="Taste/Flavor", 1,
IF('Parse of Qs'!B71="Price", 2,
IF('Parse of Qs'!B71="Energy boost/Caffeine", 3,
IF('Parse of Qs'!B71="Health benefits", 4,
IF('Parse of Qs'!B71 = "Social atmosphere", 5,
IF('Parse of Qs'!B71 ="Routine/Ritual", 6, 
IF('Parse of Qs'!B71 = "Branding/Imagery", 7,
IF('Parse of Qs'!B71 = "Social norms / influence (what people around me usually drink)", 8, 
IF('Parse of Qs'!B71 = "To try new things", 9,
IF('Parse of Qs'!B71 = "Other:", 10, 
IF('Parse of Qs'!B71 = "", 11, "")))))))))))</f>
        <v>6</v>
      </c>
      <c r="M71" s="1">
        <f>IF('Parse of Qs'!C71="At cafés", 1,
IF('Parse of Qs'!C71="At home", 2,
IF('Parse of Qs'!C71="From convenience stores (7-Eleven, Lawson, etc.)", 3,
IF('Parse of Qs'!C71="From vending machines", 4,
IF('Parse of Qs'!C71 = "Other:", 5,
IF('Parse of Qs'!C71 = "", 6, ""))))))</f>
        <v>1</v>
      </c>
      <c r="N71" s="1">
        <f>IF('Parse of Qs'!D71="At cafés", 1,
IF('Parse of Qs'!D71="At home", 2,
IF('Parse of Qs'!D71="From convenience stores (7-Eleven, Lawson, etc.)", 3,
IF('Parse of Qs'!D71="From vending machines", 4,
IF('Parse of Qs'!D71 = "Other:", 5,
IF('Parse of Qs'!D71 = "", 6, ""))))))</f>
        <v>2</v>
      </c>
      <c r="O71" s="1">
        <f>IF('Parse of Qs'!E71="At cafés", 1,
IF('Parse of Qs'!E71="At home", 2,
IF('Parse of Qs'!E71="From convenience stores (7-Eleven, Lawson, etc.)", 3,
IF('Parse of Qs'!E71="From vending machines", 4,
IF('Parse of Qs'!E71 = "Other:", 5,
IF('Parse of Qs'!E71 = "", 6, ""))))))</f>
        <v>3</v>
      </c>
      <c r="P71" s="1">
        <f>IF('Parse of Qs'!F71="At cafés", 1,
IF('Parse of Qs'!F71="At home", 2,
IF('Parse of Qs'!F71="From convenience stores (7-Eleven, Lawson, etc.)", 3,
IF('Parse of Qs'!F71="From vending machines", 4,
IF('Parse of Qs'!F71 = "Other:", 5,
IF('Parse of Qs'!F71 = "", 6, ""))))))</f>
        <v>6</v>
      </c>
      <c r="Q71" s="1">
        <f>IF(OR('Master English Sheet'!R71="Every Day",'Master English Sheet'!R71="Daily"), 1,
IF('Master English Sheet'!R71="Several times a week", 2,
IF('Master English Sheet'!R71="Once a week", 3,
IF('Master English Sheet'!R71="A few times a month", 4,
IF('Master English Sheet'!R71="Rarely", 5,
IF('Master English Sheet'!R71="Never", 6, 
IF('Master English Sheet'!R71 = "", 7, "")))))))</f>
        <v>2</v>
      </c>
      <c r="R71" s="1">
        <f>IF('Master English Sheet'!S71="To relax or take a break", 1,
IF('Master English Sheet'!S71="To meet friends", 2,
IF('Master English Sheet'!S71="To study/work", 3,
IF('Master English Sheet'!S71="To try a new drink", 4,
IF('Master English Sheet'!S71="Out of habit", 5,
IF('Master English Sheet'!S71="Other:", 6, 
IF('Master English Sheet'!S71 = "", 7, "")))))))</f>
        <v>5</v>
      </c>
      <c r="S71" s="1">
        <f>IF('Master English Sheet'!U71="Quality of drinks", 1,
IF('Master English Sheet'!U71="Atmosphere", 2,
IF('Master English Sheet'!U71="Service", 3,
IF('Master English Sheet'!U71="Brand image", 4,
IF('Master English Sheet'!U71="Other:", 5, 
IF('Master English Sheet'!U71 = "", 6, ""))))))</f>
        <v>2</v>
      </c>
      <c r="T71" s="1">
        <f>IF('Master English Sheet'!W71="Yes, Western", 1,
IF('Master English Sheet'!W71="Yes, Global", 2,
IF('Master English Sheet'!W71="Yes,  Japanese", 3,
IF('Master English Sheet'!W71="No", 4,
IF('Master English Sheet'!W71="Unsure", 5, 
IF('Master English Sheet'!W71 = "", 6, ""))))))</f>
        <v>2</v>
      </c>
      <c r="U71" s="1">
        <f>IF('Master English Sheet'!X71="Yes, Western", 1,
IF('Master English Sheet'!X71="Yes, Global", 2,
IF('Master English Sheet'!X71="Yes,  Japanese", 3,
IF('Master English Sheet'!X71="No", 4,
IF('Master English Sheet'!X71="Unsure", 5, 
IF('Master English Sheet'!X71 = "", 6, ""))))))</f>
        <v>3</v>
      </c>
      <c r="V71" s="1">
        <f>'Master English Sheet'!Y71</f>
        <v>7</v>
      </c>
      <c r="W71" s="1">
        <f>'Master English Sheet'!Z71</f>
        <v>5</v>
      </c>
      <c r="X71" s="1">
        <f>'Master English Sheet'!AA71</f>
        <v>7</v>
      </c>
    </row>
    <row r="72">
      <c r="A72" s="6">
        <v>71.0</v>
      </c>
      <c r="B72" s="6">
        <v>1.0</v>
      </c>
      <c r="C72" s="1">
        <f>IF('Master English Sheet'!D72="18-25", 1,
IF('Master English Sheet'!D72="26-35", 2,
IF('Master English Sheet'!D72="36-45", 3,
IF('Master English Sheet'!D72="46-55", 4,
IF('Master English Sheet'!D72="56-65", 5,
IF('Master English Sheet'!D72="65+", 6, ""))))))</f>
        <v>6</v>
      </c>
      <c r="D72" s="1">
        <f>IF('Master English Sheet'!E72="Male", 1,
IF('Master English Sheet'!E72="Female", 2,
IF('Master English Sheet'!E72="Nonbinary", 3,
IF('Master English Sheet'!E72="Prefer not to say", 4, ""))))</f>
        <v>1</v>
      </c>
      <c r="E72" s="1">
        <f>IF('Master English Sheet'!F72="Under ¥3,000,000", 1,
IF('Master English Sheet'!F72="¥3,000,000 – ¥5,999,999", 2,
IF('Master English Sheet'!F72="¥6,000,000 – ¥8,999,999", 3,
IF('Master English Sheet'!F72="¥9,000,000 – ¥11,999,999", 4,
IF('Master English Sheet'!F72 = "¥12,000,000 or more", 5,
IF('Master English Sheet'!F72 = "Prefer not to say", 6, ""))))))</f>
        <v>2</v>
      </c>
      <c r="F72" s="1">
        <f>IF('Master English Sheet'!G72="Hokkaido", 1,
IF('Master English Sheet'!G72="Tohoku", 2,
IF('Master English Sheet'!G72="Kanto", 3,
IF('Master English Sheet'!G72="Chubu", 4,
IF('Master English Sheet'!G72 = "Kansai", 5,
IF('Master English Sheet'!G72 = "Chugoku", 6,
IF('Master English Sheet'!G72 = "Shikoku", 7,
IF('Master English Sheet'!G72 = "Kyushu", 8,
IF('Master English Sheet'!G72 = "Okinawa", 9, 
IF('Master English Sheet'!G72 = "I do not live in Japan", 10, ""))))))))))</f>
        <v>5</v>
      </c>
      <c r="G72" s="1">
        <f>IF('Master English Sheet'!H72="Daily", 1,
IF('Master English Sheet'!H72="Several times a week", 2,
IF('Master English Sheet'!H72="Once a week", 3,
IF('Master English Sheet'!H72 = "Rarely", 4,
IF('Master English Sheet'!H72 = "Never", 5, "")))))</f>
        <v>4</v>
      </c>
      <c r="H72" s="1">
        <f>IF('Master English Sheet'!I72="Pour Over", 1,
IF('Master English Sheet'!I72="Drip", 2,
IF('Master English Sheet'!I72="Latte", 3,
IF('Master English Sheet'!I72="Americano", 4,
IF('Master English Sheet'!I72 = "Cappuccino", 5,
IF('Master English Sheet'!I72 = "Flavored coffee (mocha, vanilla, caramel, etc.)", 6,
IF('Master English Sheet'!I72 = "Cold brew", 7,
IF('Master English Sheet'!I72 = "I don't drink coffee", 8,
IF('Master English Sheet'!I72 = "Other:", 9,
IF('Master English Sheet'!I72 ="", 10, ""))))))))))</f>
        <v>3</v>
      </c>
      <c r="I72" s="1">
        <f>IF('Master English Sheet'!K72="Daily", 1,
IF('Master English Sheet'!K72="Several times a week", 2,
IF('Master English Sheet'!K72="Once a week", 3,
IF('Master English Sheet'!K72 = "Rarely", 4,
IF('Master English Sheet'!K72 = "Never", 5, "")))))</f>
        <v>4</v>
      </c>
      <c r="J72" s="1">
        <f>IF('Master English Sheet'!L72="Usucha", 1,
IF('Master English Sheet'!L72="Koicha", 2,
IF('Master English Sheet'!L72="Matcha Latte", 3,
IF('Master English Sheet'!L72="I don’t drink matcha", 4,
IF('Master English Sheet'!L72 = "Other:", 5,
IF('Master English Sheet'!L72 ="", 6, ""))))))</f>
        <v>4</v>
      </c>
      <c r="K72" s="1">
        <f>IF('Parse of Qs'!A72="Taste/Flavor", 1,
IF('Parse of Qs'!A72="Price", 2,
IF('Parse of Qs'!A72="Energy boost/Caffeine", 3,
IF('Parse of Qs'!A72="Health benefits", 4,
IF('Parse of Qs'!A72 = "Social atmosphere", 5,
IF('Parse of Qs'!A72 ="Routine/Ritual", 6, 
IF('Parse of Qs'!A72 = "Branding/Imagery", 7,
IF('Parse of Qs'!A72 = "Social norms / influence (what people around me usually drink)", 8, 
IF('Parse of Qs'!A72 = "To try new things", 9,
IF('Parse of Qs'!A72 = "Other:", 10, 
IF('Parse of Qs'!A72 = "", 11, "")))))))))))</f>
        <v>6</v>
      </c>
      <c r="L72" s="1">
        <f>IF('Parse of Qs'!B72="Taste/Flavor", 1,
IF('Parse of Qs'!B72="Price", 2,
IF('Parse of Qs'!B72="Energy boost/Caffeine", 3,
IF('Parse of Qs'!B72="Health benefits", 4,
IF('Parse of Qs'!B72 = "Social atmosphere", 5,
IF('Parse of Qs'!B72 ="Routine/Ritual", 6, 
IF('Parse of Qs'!B72 = "Branding/Imagery", 7,
IF('Parse of Qs'!B72 = "Social norms / influence (what people around me usually drink)", 8, 
IF('Parse of Qs'!B72 = "To try new things", 9,
IF('Parse of Qs'!B72 = "Other:", 10, 
IF('Parse of Qs'!B72 = "", 11, "")))))))))))</f>
        <v>11</v>
      </c>
      <c r="M72" s="1">
        <f>IF('Parse of Qs'!C72="At cafés", 1,
IF('Parse of Qs'!C72="At home", 2,
IF('Parse of Qs'!C72="From convenience stores (7-Eleven, Lawson, etc.)", 3,
IF('Parse of Qs'!C72="From vending machines", 4,
IF('Parse of Qs'!C72 = "Other:", 5,
IF('Parse of Qs'!C72 = "", 6, ""))))))</f>
        <v>6</v>
      </c>
      <c r="N72" s="1">
        <f>IF('Parse of Qs'!D72="At cafés", 1,
IF('Parse of Qs'!D72="At home", 2,
IF('Parse of Qs'!D72="From convenience stores (7-Eleven, Lawson, etc.)", 3,
IF('Parse of Qs'!D72="From vending machines", 4,
IF('Parse of Qs'!D72 = "Other:", 5,
IF('Parse of Qs'!D72 = "", 6, ""))))))</f>
        <v>6</v>
      </c>
      <c r="O72" s="1">
        <f>IF('Parse of Qs'!E72="At cafés", 1,
IF('Parse of Qs'!E72="At home", 2,
IF('Parse of Qs'!E72="From convenience stores (7-Eleven, Lawson, etc.)", 3,
IF('Parse of Qs'!E72="From vending machines", 4,
IF('Parse of Qs'!E72 = "Other:", 5,
IF('Parse of Qs'!E72 = "", 6, ""))))))</f>
        <v>6</v>
      </c>
      <c r="P72" s="1">
        <f>IF('Parse of Qs'!F72="At cafés", 1,
IF('Parse of Qs'!F72="At home", 2,
IF('Parse of Qs'!F72="From convenience stores (7-Eleven, Lawson, etc.)", 3,
IF('Parse of Qs'!F72="From vending machines", 4,
IF('Parse of Qs'!F72 = "Other:", 5,
IF('Parse of Qs'!F72 = "", 6, ""))))))</f>
        <v>6</v>
      </c>
      <c r="Q72" s="1">
        <f>IF(OR('Master English Sheet'!R72="Every Day",'Master English Sheet'!R72="Daily"), 1,
IF('Master English Sheet'!R72="Several times a week", 2,
IF('Master English Sheet'!R72="Once a week", 3,
IF('Master English Sheet'!R72="A few times a month", 4,
IF('Master English Sheet'!R72="Rarely", 5,
IF('Master English Sheet'!R72="Never", 6, 
IF('Master English Sheet'!R72 = "", 7, "")))))))</f>
        <v>5</v>
      </c>
      <c r="R72" s="1">
        <f>IF('Master English Sheet'!S72="To relax or take a break", 1,
IF('Master English Sheet'!S72="To meet friends", 2,
IF('Master English Sheet'!S72="To study/work", 3,
IF('Master English Sheet'!S72="To try a new drink", 4,
IF('Master English Sheet'!S72="Out of habit", 5,
IF('Master English Sheet'!S72="Other:", 6, 
IF('Master English Sheet'!S72 = "", 7, "")))))))</f>
        <v>2</v>
      </c>
      <c r="S72" s="1">
        <f>IF('Master English Sheet'!U72="Quality of drinks", 1,
IF('Master English Sheet'!U72="Atmosphere", 2,
IF('Master English Sheet'!U72="Service", 3,
IF('Master English Sheet'!U72="Brand image", 4,
IF('Master English Sheet'!U72="Other:", 5, 
IF('Master English Sheet'!U72 = "", 6, ""))))))</f>
        <v>1</v>
      </c>
      <c r="T72" s="1">
        <f>IF('Master English Sheet'!W72="Yes, Western", 1,
IF('Master English Sheet'!W72="Yes, Global", 2,
IF('Master English Sheet'!W72="Yes,  Japanese", 3,
IF('Master English Sheet'!W72="No", 4,
IF('Master English Sheet'!W72="Unsure", 5, 
IF('Master English Sheet'!W72 = "", 6, ""))))))</f>
        <v>4</v>
      </c>
      <c r="U72" s="1">
        <f>IF('Master English Sheet'!X72="Yes, Western", 1,
IF('Master English Sheet'!X72="Yes, Global", 2,
IF('Master English Sheet'!X72="Yes,  Japanese", 3,
IF('Master English Sheet'!X72="No", 4,
IF('Master English Sheet'!X72="Unsure", 5, 
IF('Master English Sheet'!X72 = "", 6, ""))))))</f>
        <v>3</v>
      </c>
      <c r="V72" s="1">
        <f>'Master English Sheet'!Y72</f>
        <v>7</v>
      </c>
      <c r="W72" s="1">
        <f>'Master English Sheet'!Z72</f>
        <v>7</v>
      </c>
      <c r="X72" s="1">
        <f>'Master English Sheet'!AA72</f>
        <v>7</v>
      </c>
    </row>
    <row r="73">
      <c r="A73" s="6">
        <v>72.0</v>
      </c>
      <c r="B73" s="6">
        <v>1.0</v>
      </c>
      <c r="C73" s="1">
        <f>IF('Master English Sheet'!D73="18-25", 1,
IF('Master English Sheet'!D73="26-35", 2,
IF('Master English Sheet'!D73="36-45", 3,
IF('Master English Sheet'!D73="46-55", 4,
IF('Master English Sheet'!D73="56-65", 5,
IF('Master English Sheet'!D73="65+", 6, ""))))))</f>
        <v>4</v>
      </c>
      <c r="D73" s="1">
        <f>IF('Master English Sheet'!E73="Male", 1,
IF('Master English Sheet'!E73="Female", 2,
IF('Master English Sheet'!E73="Nonbinary", 3,
IF('Master English Sheet'!E73="Prefer not to say", 4, ""))))</f>
        <v>4</v>
      </c>
      <c r="E73" s="1">
        <f>IF('Master English Sheet'!F73="Under ¥3,000,000", 1,
IF('Master English Sheet'!F73="¥3,000,000 – ¥5,999,999", 2,
IF('Master English Sheet'!F73="¥6,000,000 – ¥8,999,999", 3,
IF('Master English Sheet'!F73="¥9,000,000 – ¥11,999,999", 4,
IF('Master English Sheet'!F73 = "¥12,000,000 or more", 5,
IF('Master English Sheet'!F73 = "Prefer not to say", 6, ""))))))</f>
        <v>6</v>
      </c>
      <c r="F73" s="1">
        <f>IF('Master English Sheet'!G73="Hokkaido", 1,
IF('Master English Sheet'!G73="Tohoku", 2,
IF('Master English Sheet'!G73="Kanto", 3,
IF('Master English Sheet'!G73="Chubu", 4,
IF('Master English Sheet'!G73 = "Kansai", 5,
IF('Master English Sheet'!G73 = "Chugoku", 6,
IF('Master English Sheet'!G73 = "Shikoku", 7,
IF('Master English Sheet'!G73 = "Kyushu", 8,
IF('Master English Sheet'!G73 = "Okinawa", 9, 
IF('Master English Sheet'!G73 = "I do not live in Japan", 10, ""))))))))))</f>
        <v>3</v>
      </c>
      <c r="G73" s="1">
        <f>IF('Master English Sheet'!H73="Daily", 1,
IF('Master English Sheet'!H73="Several times a week", 2,
IF('Master English Sheet'!H73="Once a week", 3,
IF('Master English Sheet'!H73 = "Rarely", 4,
IF('Master English Sheet'!H73 = "Never", 5, "")))))</f>
        <v>1</v>
      </c>
      <c r="H73" s="1">
        <f>IF('Master English Sheet'!I73="Pour Over", 1,
IF('Master English Sheet'!I73="Drip", 2,
IF('Master English Sheet'!I73="Latte", 3,
IF('Master English Sheet'!I73="Americano", 4,
IF('Master English Sheet'!I73 = "Cappuccino", 5,
IF('Master English Sheet'!I73 = "Flavored coffee (mocha, vanilla, caramel, etc.)", 6,
IF('Master English Sheet'!I73 = "Cold brew", 7,
IF('Master English Sheet'!I73 = "I don't drink coffee", 8,
IF('Master English Sheet'!I73 = "Other:", 9,
IF('Master English Sheet'!I73 ="", 10, ""))))))))))</f>
        <v>2</v>
      </c>
      <c r="I73" s="1">
        <f>IF('Master English Sheet'!K73="Daily", 1,
IF('Master English Sheet'!K73="Several times a week", 2,
IF('Master English Sheet'!K73="Once a week", 3,
IF('Master English Sheet'!K73 = "Rarely", 4,
IF('Master English Sheet'!K73 = "Never", 5, "")))))</f>
        <v>4</v>
      </c>
      <c r="J73" s="1">
        <f>IF('Master English Sheet'!L73="Usucha", 1,
IF('Master English Sheet'!L73="Koicha", 2,
IF('Master English Sheet'!L73="Matcha Latte", 3,
IF('Master English Sheet'!L73="I don’t drink matcha", 4,
IF('Master English Sheet'!L73 = "Other:", 5,
IF('Master English Sheet'!L73 ="", 6, ""))))))</f>
        <v>4</v>
      </c>
      <c r="K73" s="1">
        <f>IF('Parse of Qs'!A73="Taste/Flavor", 1,
IF('Parse of Qs'!A73="Price", 2,
IF('Parse of Qs'!A73="Energy boost/Caffeine", 3,
IF('Parse of Qs'!A73="Health benefits", 4,
IF('Parse of Qs'!A73 = "Social atmosphere", 5,
IF('Parse of Qs'!A73 ="Routine/Ritual", 6, 
IF('Parse of Qs'!A73 = "Branding/Imagery", 7,
IF('Parse of Qs'!A73 = "Social norms / influence (what people around me usually drink)", 8, 
IF('Parse of Qs'!A73 = "To try new things", 9,
IF('Parse of Qs'!A73 = "Other:", 10, 
IF('Parse of Qs'!A73 = "", 11, "")))))))))))</f>
        <v>1</v>
      </c>
      <c r="L73" s="1">
        <f>IF('Parse of Qs'!B73="Taste/Flavor", 1,
IF('Parse of Qs'!B73="Price", 2,
IF('Parse of Qs'!B73="Energy boost/Caffeine", 3,
IF('Parse of Qs'!B73="Health benefits", 4,
IF('Parse of Qs'!B73 = "Social atmosphere", 5,
IF('Parse of Qs'!B73 ="Routine/Ritual", 6, 
IF('Parse of Qs'!B73 = "Branding/Imagery", 7,
IF('Parse of Qs'!B73 = "Social norms / influence (what people around me usually drink)", 8, 
IF('Parse of Qs'!B73 = "To try new things", 9,
IF('Parse of Qs'!B73 = "Other:", 10, 
IF('Parse of Qs'!B73 = "", 11, "")))))))))))</f>
        <v>6</v>
      </c>
      <c r="M73" s="1">
        <f>IF('Parse of Qs'!C73="At cafés", 1,
IF('Parse of Qs'!C73="At home", 2,
IF('Parse of Qs'!C73="From convenience stores (7-Eleven, Lawson, etc.)", 3,
IF('Parse of Qs'!C73="From vending machines", 4,
IF('Parse of Qs'!C73 = "Other:", 5,
IF('Parse of Qs'!C73 = "", 6, ""))))))</f>
        <v>2</v>
      </c>
      <c r="N73" s="1">
        <f>IF('Parse of Qs'!D73="At cafés", 1,
IF('Parse of Qs'!D73="At home", 2,
IF('Parse of Qs'!D73="From convenience stores (7-Eleven, Lawson, etc.)", 3,
IF('Parse of Qs'!D73="From vending machines", 4,
IF('Parse of Qs'!D73 = "Other:", 5,
IF('Parse of Qs'!D73 = "", 6, ""))))))</f>
        <v>6</v>
      </c>
      <c r="O73" s="1">
        <f>IF('Parse of Qs'!E73="At cafés", 1,
IF('Parse of Qs'!E73="At home", 2,
IF('Parse of Qs'!E73="From convenience stores (7-Eleven, Lawson, etc.)", 3,
IF('Parse of Qs'!E73="From vending machines", 4,
IF('Parse of Qs'!E73 = "Other:", 5,
IF('Parse of Qs'!E73 = "", 6, ""))))))</f>
        <v>6</v>
      </c>
      <c r="P73" s="1">
        <f>IF('Parse of Qs'!F73="At cafés", 1,
IF('Parse of Qs'!F73="At home", 2,
IF('Parse of Qs'!F73="From convenience stores (7-Eleven, Lawson, etc.)", 3,
IF('Parse of Qs'!F73="From vending machines", 4,
IF('Parse of Qs'!F73 = "Other:", 5,
IF('Parse of Qs'!F73 = "", 6, ""))))))</f>
        <v>6</v>
      </c>
      <c r="Q73" s="1">
        <f>IF(OR('Master English Sheet'!R73="Every Day",'Master English Sheet'!R73="Daily"), 1,
IF('Master English Sheet'!R73="Several times a week", 2,
IF('Master English Sheet'!R73="Once a week", 3,
IF('Master English Sheet'!R73="A few times a month", 4,
IF('Master English Sheet'!R73="Rarely", 5,
IF('Master English Sheet'!R73="Never", 6, 
IF('Master English Sheet'!R73 = "", 7, "")))))))</f>
        <v>4</v>
      </c>
      <c r="R73" s="1">
        <f>IF('Master English Sheet'!S73="To relax or take a break", 1,
IF('Master English Sheet'!S73="To meet friends", 2,
IF('Master English Sheet'!S73="To study/work", 3,
IF('Master English Sheet'!S73="To try a new drink", 4,
IF('Master English Sheet'!S73="Out of habit", 5,
IF('Master English Sheet'!S73="Other:", 6, 
IF('Master English Sheet'!S73 = "", 7, "")))))))</f>
        <v>1</v>
      </c>
      <c r="S73" s="1">
        <f>IF('Master English Sheet'!U73="Quality of drinks", 1,
IF('Master English Sheet'!U73="Atmosphere", 2,
IF('Master English Sheet'!U73="Service", 3,
IF('Master English Sheet'!U73="Brand image", 4,
IF('Master English Sheet'!U73="Other:", 5, 
IF('Master English Sheet'!U73 = "", 6, ""))))))</f>
        <v>2</v>
      </c>
      <c r="T73" s="1">
        <f>IF('Master English Sheet'!W73="Yes, Western", 1,
IF('Master English Sheet'!W73="Yes, Global", 2,
IF('Master English Sheet'!W73="Yes,  Japanese", 3,
IF('Master English Sheet'!W73="No", 4,
IF('Master English Sheet'!W73="Unsure", 5, 
IF('Master English Sheet'!W73 = "", 6, ""))))))</f>
        <v>1</v>
      </c>
      <c r="U73" s="1">
        <f>IF('Master English Sheet'!X73="Yes, Western", 1,
IF('Master English Sheet'!X73="Yes, Global", 2,
IF('Master English Sheet'!X73="Yes,  Japanese", 3,
IF('Master English Sheet'!X73="No", 4,
IF('Master English Sheet'!X73="Unsure", 5, 
IF('Master English Sheet'!X73 = "", 6, ""))))))</f>
        <v>3</v>
      </c>
      <c r="V73" s="1">
        <f>'Master English Sheet'!Y73</f>
        <v>4</v>
      </c>
      <c r="W73" s="1">
        <f>'Master English Sheet'!Z73</f>
        <v>6</v>
      </c>
      <c r="X73" s="1">
        <f>'Master English Sheet'!AA73</f>
        <v>3</v>
      </c>
    </row>
    <row r="74">
      <c r="A74" s="6">
        <v>73.0</v>
      </c>
      <c r="B74" s="6">
        <v>1.0</v>
      </c>
      <c r="C74" s="1">
        <f>IF('Master English Sheet'!D74="18-25", 1,
IF('Master English Sheet'!D74="26-35", 2,
IF('Master English Sheet'!D74="36-45", 3,
IF('Master English Sheet'!D74="46-55", 4,
IF('Master English Sheet'!D74="56-65", 5,
IF('Master English Sheet'!D74="65+", 6, ""))))))</f>
        <v>1</v>
      </c>
      <c r="D74" s="1">
        <f>IF('Master English Sheet'!E74="Male", 1,
IF('Master English Sheet'!E74="Female", 2,
IF('Master English Sheet'!E74="Nonbinary", 3,
IF('Master English Sheet'!E74="Prefer not to say", 4, ""))))</f>
        <v>2</v>
      </c>
      <c r="E74" s="1">
        <f>IF('Master English Sheet'!F74="Under ¥3,000,000", 1,
IF('Master English Sheet'!F74="¥3,000,000 – ¥5,999,999", 2,
IF('Master English Sheet'!F74="¥6,000,000 – ¥8,999,999", 3,
IF('Master English Sheet'!F74="¥9,000,000 – ¥11,999,999", 4,
IF('Master English Sheet'!F74 = "¥12,000,000 or more", 5,
IF('Master English Sheet'!F74 = "Prefer not to say", 6, ""))))))</f>
        <v>2</v>
      </c>
      <c r="F74" s="1">
        <f>IF('Master English Sheet'!G74="Hokkaido", 1,
IF('Master English Sheet'!G74="Tohoku", 2,
IF('Master English Sheet'!G74="Kanto", 3,
IF('Master English Sheet'!G74="Chubu", 4,
IF('Master English Sheet'!G74 = "Kansai", 5,
IF('Master English Sheet'!G74 = "Chugoku", 6,
IF('Master English Sheet'!G74 = "Shikoku", 7,
IF('Master English Sheet'!G74 = "Kyushu", 8,
IF('Master English Sheet'!G74 = "Okinawa", 9, 
IF('Master English Sheet'!G74 = "I do not live in Japan", 10, ""))))))))))</f>
        <v>5</v>
      </c>
      <c r="G74" s="1">
        <f>IF('Master English Sheet'!H74="Daily", 1,
IF('Master English Sheet'!H74="Several times a week", 2,
IF('Master English Sheet'!H74="Once a week", 3,
IF('Master English Sheet'!H74 = "Rarely", 4,
IF('Master English Sheet'!H74 = "Never", 5, "")))))</f>
        <v>2</v>
      </c>
      <c r="H74" s="1">
        <f>IF('Master English Sheet'!I74="Pour Over", 1,
IF('Master English Sheet'!I74="Drip", 2,
IF('Master English Sheet'!I74="Latte", 3,
IF('Master English Sheet'!I74="Americano", 4,
IF('Master English Sheet'!I74 = "Cappuccino", 5,
IF('Master English Sheet'!I74 = "Flavored coffee (mocha, vanilla, caramel, etc.)", 6,
IF('Master English Sheet'!I74 = "Cold brew", 7,
IF('Master English Sheet'!I74 = "I don't drink coffee", 8,
IF('Master English Sheet'!I74 = "Other:", 9,
IF('Master English Sheet'!I74 ="", 10, ""))))))))))</f>
        <v>2</v>
      </c>
      <c r="I74" s="1">
        <f>IF('Master English Sheet'!K74="Daily", 1,
IF('Master English Sheet'!K74="Several times a week", 2,
IF('Master English Sheet'!K74="Once a week", 3,
IF('Master English Sheet'!K74 = "Rarely", 4,
IF('Master English Sheet'!K74 = "Never", 5, "")))))</f>
        <v>4</v>
      </c>
      <c r="J74" s="1">
        <f>IF('Master English Sheet'!L74="Usucha", 1,
IF('Master English Sheet'!L74="Koicha", 2,
IF('Master English Sheet'!L74="Matcha Latte", 3,
IF('Master English Sheet'!L74="I don’t drink matcha", 4,
IF('Master English Sheet'!L74 = "Other:", 5,
IF('Master English Sheet'!L74 ="", 6, ""))))))</f>
        <v>3</v>
      </c>
      <c r="K74" s="1">
        <f>IF('Parse of Qs'!A74="Taste/Flavor", 1,
IF('Parse of Qs'!A74="Price", 2,
IF('Parse of Qs'!A74="Energy boost/Caffeine", 3,
IF('Parse of Qs'!A74="Health benefits", 4,
IF('Parse of Qs'!A74 = "Social atmosphere", 5,
IF('Parse of Qs'!A74 ="Routine/Ritual", 6, 
IF('Parse of Qs'!A74 = "Branding/Imagery", 7,
IF('Parse of Qs'!A74 = "Social norms / influence (what people around me usually drink)", 8, 
IF('Parse of Qs'!A74 = "To try new things", 9,
IF('Parse of Qs'!A74 = "Other:", 10, 
IF('Parse of Qs'!A74 = "", 11, "")))))))))))</f>
        <v>1</v>
      </c>
      <c r="L74" s="1">
        <f>IF('Parse of Qs'!B74="Taste/Flavor", 1,
IF('Parse of Qs'!B74="Price", 2,
IF('Parse of Qs'!B74="Energy boost/Caffeine", 3,
IF('Parse of Qs'!B74="Health benefits", 4,
IF('Parse of Qs'!B74 = "Social atmosphere", 5,
IF('Parse of Qs'!B74 ="Routine/Ritual", 6, 
IF('Parse of Qs'!B74 = "Branding/Imagery", 7,
IF('Parse of Qs'!B74 = "Social norms / influence (what people around me usually drink)", 8, 
IF('Parse of Qs'!B74 = "To try new things", 9,
IF('Parse of Qs'!B74 = "Other:", 10, 
IF('Parse of Qs'!B74 = "", 11, "")))))))))))</f>
        <v>7</v>
      </c>
      <c r="M74" s="1">
        <f>IF('Parse of Qs'!C74="At cafés", 1,
IF('Parse of Qs'!C74="At home", 2,
IF('Parse of Qs'!C74="From convenience stores (7-Eleven, Lawson, etc.)", 3,
IF('Parse of Qs'!C74="From vending machines", 4,
IF('Parse of Qs'!C74 = "Other:", 5,
IF('Parse of Qs'!C74 = "", 6, ""))))))</f>
        <v>1</v>
      </c>
      <c r="N74" s="1">
        <f>IF('Parse of Qs'!D74="At cafés", 1,
IF('Parse of Qs'!D74="At home", 2,
IF('Parse of Qs'!D74="From convenience stores (7-Eleven, Lawson, etc.)", 3,
IF('Parse of Qs'!D74="From vending machines", 4,
IF('Parse of Qs'!D74 = "Other:", 5,
IF('Parse of Qs'!D74 = "", 6, ""))))))</f>
        <v>6</v>
      </c>
      <c r="O74" s="1">
        <f>IF('Parse of Qs'!E74="At cafés", 1,
IF('Parse of Qs'!E74="At home", 2,
IF('Parse of Qs'!E74="From convenience stores (7-Eleven, Lawson, etc.)", 3,
IF('Parse of Qs'!E74="From vending machines", 4,
IF('Parse of Qs'!E74 = "Other:", 5,
IF('Parse of Qs'!E74 = "", 6, ""))))))</f>
        <v>6</v>
      </c>
      <c r="P74" s="1">
        <f>IF('Parse of Qs'!F74="At cafés", 1,
IF('Parse of Qs'!F74="At home", 2,
IF('Parse of Qs'!F74="From convenience stores (7-Eleven, Lawson, etc.)", 3,
IF('Parse of Qs'!F74="From vending machines", 4,
IF('Parse of Qs'!F74 = "Other:", 5,
IF('Parse of Qs'!F74 = "", 6, ""))))))</f>
        <v>6</v>
      </c>
      <c r="Q74" s="1">
        <f>IF(OR('Master English Sheet'!R74="Every Day",'Master English Sheet'!R74="Daily"), 1,
IF('Master English Sheet'!R74="Several times a week", 2,
IF('Master English Sheet'!R74="Once a week", 3,
IF('Master English Sheet'!R74="A few times a month", 4,
IF('Master English Sheet'!R74="Rarely", 5,
IF('Master English Sheet'!R74="Never", 6, 
IF('Master English Sheet'!R74 = "", 7, "")))))))</f>
        <v>3</v>
      </c>
      <c r="R74" s="1">
        <f>IF('Master English Sheet'!S74="To relax or take a break", 1,
IF('Master English Sheet'!S74="To meet friends", 2,
IF('Master English Sheet'!S74="To study/work", 3,
IF('Master English Sheet'!S74="To try a new drink", 4,
IF('Master English Sheet'!S74="Out of habit", 5,
IF('Master English Sheet'!S74="Other:", 6, 
IF('Master English Sheet'!S74 = "", 7, "")))))))</f>
        <v>1</v>
      </c>
      <c r="S74" s="1">
        <f>IF('Master English Sheet'!U74="Quality of drinks", 1,
IF('Master English Sheet'!U74="Atmosphere", 2,
IF('Master English Sheet'!U74="Service", 3,
IF('Master English Sheet'!U74="Brand image", 4,
IF('Master English Sheet'!U74="Other:", 5, 
IF('Master English Sheet'!U74 = "", 6, ""))))))</f>
        <v>2</v>
      </c>
      <c r="T74" s="1">
        <f>IF('Master English Sheet'!W74="Yes, Western", 1,
IF('Master English Sheet'!W74="Yes, Global", 2,
IF('Master English Sheet'!W74="Yes,  Japanese", 3,
IF('Master English Sheet'!W74="No", 4,
IF('Master English Sheet'!W74="Unsure", 5, 
IF('Master English Sheet'!W74 = "", 6, ""))))))</f>
        <v>2</v>
      </c>
      <c r="U74" s="1">
        <f>IF('Master English Sheet'!X74="Yes, Western", 1,
IF('Master English Sheet'!X74="Yes, Global", 2,
IF('Master English Sheet'!X74="Yes,  Japanese", 3,
IF('Master English Sheet'!X74="No", 4,
IF('Master English Sheet'!X74="Unsure", 5, 
IF('Master English Sheet'!X74 = "", 6, ""))))))</f>
        <v>3</v>
      </c>
      <c r="V74" s="1">
        <f>'Master English Sheet'!Y74</f>
        <v>5</v>
      </c>
      <c r="W74" s="1">
        <f>'Master English Sheet'!Z74</f>
        <v>4</v>
      </c>
      <c r="X74" s="1">
        <f>'Master English Sheet'!AA74</f>
        <v>2</v>
      </c>
    </row>
    <row r="75">
      <c r="A75" s="6">
        <v>74.0</v>
      </c>
      <c r="B75" s="6">
        <v>1.0</v>
      </c>
      <c r="C75" s="1">
        <f>IF('Master English Sheet'!D75="18-25", 1,
IF('Master English Sheet'!D75="26-35", 2,
IF('Master English Sheet'!D75="36-45", 3,
IF('Master English Sheet'!D75="46-55", 4,
IF('Master English Sheet'!D75="56-65", 5,
IF('Master English Sheet'!D75="65+", 6, ""))))))</f>
        <v>6</v>
      </c>
      <c r="D75" s="1">
        <f>IF('Master English Sheet'!E75="Male", 1,
IF('Master English Sheet'!E75="Female", 2,
IF('Master English Sheet'!E75="Nonbinary", 3,
IF('Master English Sheet'!E75="Prefer not to say", 4, ""))))</f>
        <v>1</v>
      </c>
      <c r="E75" s="1">
        <f>IF('Master English Sheet'!F75="Under ¥3,000,000", 1,
IF('Master English Sheet'!F75="¥3,000,000 – ¥5,999,999", 2,
IF('Master English Sheet'!F75="¥6,000,000 – ¥8,999,999", 3,
IF('Master English Sheet'!F75="¥9,000,000 – ¥11,999,999", 4,
IF('Master English Sheet'!F75 = "¥12,000,000 or more", 5,
IF('Master English Sheet'!F75 = "Prefer not to say", 6, ""))))))</f>
        <v>6</v>
      </c>
      <c r="F75" s="1">
        <f>IF('Master English Sheet'!G75="Hokkaido", 1,
IF('Master English Sheet'!G75="Tohoku", 2,
IF('Master English Sheet'!G75="Kanto", 3,
IF('Master English Sheet'!G75="Chubu", 4,
IF('Master English Sheet'!G75 = "Kansai", 5,
IF('Master English Sheet'!G75 = "Chugoku", 6,
IF('Master English Sheet'!G75 = "Shikoku", 7,
IF('Master English Sheet'!G75 = "Kyushu", 8,
IF('Master English Sheet'!G75 = "Okinawa", 9, 
IF('Master English Sheet'!G75 = "I do not live in Japan", 10, ""))))))))))</f>
        <v>3</v>
      </c>
      <c r="G75" s="1">
        <f>IF('Master English Sheet'!H75="Daily", 1,
IF('Master English Sheet'!H75="Several times a week", 2,
IF('Master English Sheet'!H75="Once a week", 3,
IF('Master English Sheet'!H75 = "Rarely", 4,
IF('Master English Sheet'!H75 = "Never", 5, "")))))</f>
        <v>1</v>
      </c>
      <c r="H75" s="1">
        <f>IF('Master English Sheet'!I75="Pour Over", 1,
IF('Master English Sheet'!I75="Drip", 2,
IF('Master English Sheet'!I75="Latte", 3,
IF('Master English Sheet'!I75="Americano", 4,
IF('Master English Sheet'!I75 = "Cappuccino", 5,
IF('Master English Sheet'!I75 = "Flavored coffee (mocha, vanilla, caramel, etc.)", 6,
IF('Master English Sheet'!I75 = "Cold brew", 7,
IF('Master English Sheet'!I75 = "I don't drink coffee", 8,
IF('Master English Sheet'!I75 = "Other:", 9,
IF('Master English Sheet'!I75 ="", 10, ""))))))))))</f>
        <v>9</v>
      </c>
      <c r="I75" s="1">
        <f>IF('Master English Sheet'!K75="Daily", 1,
IF('Master English Sheet'!K75="Several times a week", 2,
IF('Master English Sheet'!K75="Once a week", 3,
IF('Master English Sheet'!K75 = "Rarely", 4,
IF('Master English Sheet'!K75 = "Never", 5, "")))))</f>
        <v>4</v>
      </c>
      <c r="J75" s="1">
        <f>IF('Master English Sheet'!L75="Usucha", 1,
IF('Master English Sheet'!L75="Koicha", 2,
IF('Master English Sheet'!L75="Matcha Latte", 3,
IF('Master English Sheet'!L75="I don’t drink matcha", 4,
IF('Master English Sheet'!L75 = "Other:", 5,
IF('Master English Sheet'!L75 ="", 6, ""))))))</f>
        <v>4</v>
      </c>
      <c r="K75" s="1">
        <f>IF('Parse of Qs'!A75="Taste/Flavor", 1,
IF('Parse of Qs'!A75="Price", 2,
IF('Parse of Qs'!A75="Energy boost/Caffeine", 3,
IF('Parse of Qs'!A75="Health benefits", 4,
IF('Parse of Qs'!A75 = "Social atmosphere", 5,
IF('Parse of Qs'!A75 ="Routine/Ritual", 6, 
IF('Parse of Qs'!A75 = "Branding/Imagery", 7,
IF('Parse of Qs'!A75 = "Social norms / influence (what people around me usually drink)", 8, 
IF('Parse of Qs'!A75 = "To try new things", 9,
IF('Parse of Qs'!A75 = "Other:", 10, 
IF('Parse of Qs'!A75 = "", 11, "")))))))))))</f>
        <v>1</v>
      </c>
      <c r="L75" s="1">
        <f>IF('Parse of Qs'!B75="Taste/Flavor", 1,
IF('Parse of Qs'!B75="Price", 2,
IF('Parse of Qs'!B75="Energy boost/Caffeine", 3,
IF('Parse of Qs'!B75="Health benefits", 4,
IF('Parse of Qs'!B75 = "Social atmosphere", 5,
IF('Parse of Qs'!B75 ="Routine/Ritual", 6, 
IF('Parse of Qs'!B75 = "Branding/Imagery", 7,
IF('Parse of Qs'!B75 = "Social norms / influence (what people around me usually drink)", 8, 
IF('Parse of Qs'!B75 = "To try new things", 9,
IF('Parse of Qs'!B75 = "Other:", 10, 
IF('Parse of Qs'!B75 = "", 11, "")))))))))))</f>
        <v>5</v>
      </c>
      <c r="M75" s="1">
        <f>IF('Parse of Qs'!C75="At cafés", 1,
IF('Parse of Qs'!C75="At home", 2,
IF('Parse of Qs'!C75="From convenience stores (7-Eleven, Lawson, etc.)", 3,
IF('Parse of Qs'!C75="From vending machines", 4,
IF('Parse of Qs'!C75 = "Other:", 5,
IF('Parse of Qs'!C75 = "", 6, ""))))))</f>
        <v>2</v>
      </c>
      <c r="N75" s="1">
        <f>IF('Parse of Qs'!D75="At cafés", 1,
IF('Parse of Qs'!D75="At home", 2,
IF('Parse of Qs'!D75="From convenience stores (7-Eleven, Lawson, etc.)", 3,
IF('Parse of Qs'!D75="From vending machines", 4,
IF('Parse of Qs'!D75 = "Other:", 5,
IF('Parse of Qs'!D75 = "", 6, ""))))))</f>
        <v>6</v>
      </c>
      <c r="O75" s="1">
        <f>IF('Parse of Qs'!E75="At cafés", 1,
IF('Parse of Qs'!E75="At home", 2,
IF('Parse of Qs'!E75="From convenience stores (7-Eleven, Lawson, etc.)", 3,
IF('Parse of Qs'!E75="From vending machines", 4,
IF('Parse of Qs'!E75 = "Other:", 5,
IF('Parse of Qs'!E75 = "", 6, ""))))))</f>
        <v>6</v>
      </c>
      <c r="P75" s="1">
        <f>IF('Parse of Qs'!F75="At cafés", 1,
IF('Parse of Qs'!F75="At home", 2,
IF('Parse of Qs'!F75="From convenience stores (7-Eleven, Lawson, etc.)", 3,
IF('Parse of Qs'!F75="From vending machines", 4,
IF('Parse of Qs'!F75 = "Other:", 5,
IF('Parse of Qs'!F75 = "", 6, ""))))))</f>
        <v>6</v>
      </c>
      <c r="Q75" s="1">
        <f>IF(OR('Master English Sheet'!R75="Every Day",'Master English Sheet'!R75="Daily"), 1,
IF('Master English Sheet'!R75="Several times a week", 2,
IF('Master English Sheet'!R75="Once a week", 3,
IF('Master English Sheet'!R75="A few times a month", 4,
IF('Master English Sheet'!R75="Rarely", 5,
IF('Master English Sheet'!R75="Never", 6, 
IF('Master English Sheet'!R75 = "", 7, "")))))))</f>
        <v>4</v>
      </c>
      <c r="R75" s="1">
        <f>IF('Master English Sheet'!S75="To relax or take a break", 1,
IF('Master English Sheet'!S75="To meet friends", 2,
IF('Master English Sheet'!S75="To study/work", 3,
IF('Master English Sheet'!S75="To try a new drink", 4,
IF('Master English Sheet'!S75="Out of habit", 5,
IF('Master English Sheet'!S75="Other:", 6, 
IF('Master English Sheet'!S75 = "", 7, "")))))))</f>
        <v>2</v>
      </c>
      <c r="S75" s="1">
        <f>IF('Master English Sheet'!U75="Quality of drinks", 1,
IF('Master English Sheet'!U75="Atmosphere", 2,
IF('Master English Sheet'!U75="Service", 3,
IF('Master English Sheet'!U75="Brand image", 4,
IF('Master English Sheet'!U75="Other:", 5, 
IF('Master English Sheet'!U75 = "", 6, ""))))))</f>
        <v>2</v>
      </c>
      <c r="T75" s="1">
        <f>IF('Master English Sheet'!W75="Yes, Western", 1,
IF('Master English Sheet'!W75="Yes, Global", 2,
IF('Master English Sheet'!W75="Yes,  Japanese", 3,
IF('Master English Sheet'!W75="No", 4,
IF('Master English Sheet'!W75="Unsure", 5, 
IF('Master English Sheet'!W75 = "", 6, ""))))))</f>
        <v>5</v>
      </c>
      <c r="U75" s="1">
        <f>IF('Master English Sheet'!X75="Yes, Western", 1,
IF('Master English Sheet'!X75="Yes, Global", 2,
IF('Master English Sheet'!X75="Yes,  Japanese", 3,
IF('Master English Sheet'!X75="No", 4,
IF('Master English Sheet'!X75="Unsure", 5, 
IF('Master English Sheet'!X75 = "", 6, ""))))))</f>
        <v>5</v>
      </c>
      <c r="V75" s="1">
        <f>'Master English Sheet'!Y75</f>
        <v>7</v>
      </c>
      <c r="W75" s="1">
        <f>'Master English Sheet'!Z75</f>
        <v>7</v>
      </c>
      <c r="X75" s="1">
        <f>'Master English Sheet'!AA75</f>
        <v>7</v>
      </c>
    </row>
    <row r="76">
      <c r="A76" s="6">
        <v>75.0</v>
      </c>
      <c r="B76" s="6">
        <v>1.0</v>
      </c>
      <c r="C76" s="1">
        <f>IF('Master English Sheet'!D76="18-25", 1,
IF('Master English Sheet'!D76="26-35", 2,
IF('Master English Sheet'!D76="36-45", 3,
IF('Master English Sheet'!D76="46-55", 4,
IF('Master English Sheet'!D76="56-65", 5,
IF('Master English Sheet'!D76="65+", 6, ""))))))</f>
        <v>1</v>
      </c>
      <c r="D76" s="1">
        <f>IF('Master English Sheet'!E76="Male", 1,
IF('Master English Sheet'!E76="Female", 2,
IF('Master English Sheet'!E76="Nonbinary", 3,
IF('Master English Sheet'!E76="Prefer not to say", 4, ""))))</f>
        <v>2</v>
      </c>
      <c r="E76" s="1">
        <f>IF('Master English Sheet'!F76="Under ¥3,000,000", 1,
IF('Master English Sheet'!F76="¥3,000,000 – ¥5,999,999", 2,
IF('Master English Sheet'!F76="¥6,000,000 – ¥8,999,999", 3,
IF('Master English Sheet'!F76="¥9,000,000 – ¥11,999,999", 4,
IF('Master English Sheet'!F76 = "¥12,000,000 or more", 5,
IF('Master English Sheet'!F76 = "Prefer not to say", 6, ""))))))</f>
        <v>6</v>
      </c>
      <c r="F76" s="1">
        <f>IF('Master English Sheet'!G76="Hokkaido", 1,
IF('Master English Sheet'!G76="Tohoku", 2,
IF('Master English Sheet'!G76="Kanto", 3,
IF('Master English Sheet'!G76="Chubu", 4,
IF('Master English Sheet'!G76 = "Kansai", 5,
IF('Master English Sheet'!G76 = "Chugoku", 6,
IF('Master English Sheet'!G76 = "Shikoku", 7,
IF('Master English Sheet'!G76 = "Kyushu", 8,
IF('Master English Sheet'!G76 = "Okinawa", 9, 
IF('Master English Sheet'!G76 = "I do not live in Japan", 10, ""))))))))))</f>
        <v>5</v>
      </c>
      <c r="G76" s="1">
        <f>IF('Master English Sheet'!H76="Daily", 1,
IF('Master English Sheet'!H76="Several times a week", 2,
IF('Master English Sheet'!H76="Once a week", 3,
IF('Master English Sheet'!H76 = "Rarely", 4,
IF('Master English Sheet'!H76 = "Never", 5, "")))))</f>
        <v>2</v>
      </c>
      <c r="H76" s="1">
        <f>IF('Master English Sheet'!I76="Pour Over", 1,
IF('Master English Sheet'!I76="Drip", 2,
IF('Master English Sheet'!I76="Latte", 3,
IF('Master English Sheet'!I76="Americano", 4,
IF('Master English Sheet'!I76 = "Cappuccino", 5,
IF('Master English Sheet'!I76 = "Flavored coffee (mocha, vanilla, caramel, etc.)", 6,
IF('Master English Sheet'!I76 = "Cold brew", 7,
IF('Master English Sheet'!I76 = "I don't drink coffee", 8,
IF('Master English Sheet'!I76 = "Other:", 9,
IF('Master English Sheet'!I76 ="", 10, ""))))))))))</f>
        <v>2</v>
      </c>
      <c r="I76" s="1">
        <f>IF('Master English Sheet'!K76="Daily", 1,
IF('Master English Sheet'!K76="Several times a week", 2,
IF('Master English Sheet'!K76="Once a week", 3,
IF('Master English Sheet'!K76 = "Rarely", 4,
IF('Master English Sheet'!K76 = "Never", 5, "")))))</f>
        <v>2</v>
      </c>
      <c r="J76" s="1">
        <f>IF('Master English Sheet'!L76="Usucha", 1,
IF('Master English Sheet'!L76="Koicha", 2,
IF('Master English Sheet'!L76="Matcha Latte", 3,
IF('Master English Sheet'!L76="I don’t drink matcha", 4,
IF('Master English Sheet'!L76 = "Other:", 5,
IF('Master English Sheet'!L76 ="", 6, ""))))))</f>
        <v>1</v>
      </c>
      <c r="K76" s="1">
        <f>IF('Parse of Qs'!A76="Taste/Flavor", 1,
IF('Parse of Qs'!A76="Price", 2,
IF('Parse of Qs'!A76="Energy boost/Caffeine", 3,
IF('Parse of Qs'!A76="Health benefits", 4,
IF('Parse of Qs'!A76 = "Social atmosphere", 5,
IF('Parse of Qs'!A76 ="Routine/Ritual", 6, 
IF('Parse of Qs'!A76 = "Branding/Imagery", 7,
IF('Parse of Qs'!A76 = "Social norms / influence (what people around me usually drink)", 8, 
IF('Parse of Qs'!A76 = "To try new things", 9,
IF('Parse of Qs'!A76 = "Other:", 10, 
IF('Parse of Qs'!A76 = "", 11, "")))))))))))</f>
        <v>1</v>
      </c>
      <c r="L76" s="1">
        <f>IF('Parse of Qs'!B76="Taste/Flavor", 1,
IF('Parse of Qs'!B76="Price", 2,
IF('Parse of Qs'!B76="Energy boost/Caffeine", 3,
IF('Parse of Qs'!B76="Health benefits", 4,
IF('Parse of Qs'!B76 = "Social atmosphere", 5,
IF('Parse of Qs'!B76 ="Routine/Ritual", 6, 
IF('Parse of Qs'!B76 = "Branding/Imagery", 7,
IF('Parse of Qs'!B76 = "Social norms / influence (what people around me usually drink)", 8, 
IF('Parse of Qs'!B76 = "To try new things", 9,
IF('Parse of Qs'!B76 = "Other:", 10, 
IF('Parse of Qs'!B76 = "", 11, "")))))))))))</f>
        <v>6</v>
      </c>
      <c r="M76" s="1">
        <f>IF('Parse of Qs'!C76="At cafés", 1,
IF('Parse of Qs'!C76="At home", 2,
IF('Parse of Qs'!C76="From convenience stores (7-Eleven, Lawson, etc.)", 3,
IF('Parse of Qs'!C76="From vending machines", 4,
IF('Parse of Qs'!C76 = "Other:", 5,
IF('Parse of Qs'!C76 = "", 6, ""))))))</f>
        <v>6</v>
      </c>
      <c r="N76" s="1">
        <f>IF('Parse of Qs'!D76="At cafés", 1,
IF('Parse of Qs'!D76="At home", 2,
IF('Parse of Qs'!D76="From convenience stores (7-Eleven, Lawson, etc.)", 3,
IF('Parse of Qs'!D76="From vending machines", 4,
IF('Parse of Qs'!D76 = "Other:", 5,
IF('Parse of Qs'!D76 = "", 6, ""))))))</f>
        <v>6</v>
      </c>
      <c r="O76" s="1">
        <f>IF('Parse of Qs'!E76="At cafés", 1,
IF('Parse of Qs'!E76="At home", 2,
IF('Parse of Qs'!E76="From convenience stores (7-Eleven, Lawson, etc.)", 3,
IF('Parse of Qs'!E76="From vending machines", 4,
IF('Parse of Qs'!E76 = "Other:", 5,
IF('Parse of Qs'!E76 = "", 6, ""))))))</f>
        <v>6</v>
      </c>
      <c r="P76" s="1">
        <f>IF('Parse of Qs'!F76="At cafés", 1,
IF('Parse of Qs'!F76="At home", 2,
IF('Parse of Qs'!F76="From convenience stores (7-Eleven, Lawson, etc.)", 3,
IF('Parse of Qs'!F76="From vending machines", 4,
IF('Parse of Qs'!F76 = "Other:", 5,
IF('Parse of Qs'!F76 = "", 6, ""))))))</f>
        <v>6</v>
      </c>
      <c r="Q76" s="1">
        <f>IF(OR('Master English Sheet'!R76="Every Day",'Master English Sheet'!R76="Daily"), 1,
IF('Master English Sheet'!R76="Several times a week", 2,
IF('Master English Sheet'!R76="Once a week", 3,
IF('Master English Sheet'!R76="A few times a month", 4,
IF('Master English Sheet'!R76="Rarely", 5,
IF('Master English Sheet'!R76="Never", 6, 
IF('Master English Sheet'!R76 = "", 7, "")))))))</f>
        <v>4</v>
      </c>
      <c r="R76" s="1">
        <f>IF('Master English Sheet'!S76="To relax or take a break", 1,
IF('Master English Sheet'!S76="To meet friends", 2,
IF('Master English Sheet'!S76="To study/work", 3,
IF('Master English Sheet'!S76="To try a new drink", 4,
IF('Master English Sheet'!S76="Out of habit", 5,
IF('Master English Sheet'!S76="Other:", 6, 
IF('Master English Sheet'!S76 = "", 7, "")))))))</f>
        <v>1</v>
      </c>
      <c r="S76" s="1">
        <f>IF('Master English Sheet'!U76="Quality of drinks", 1,
IF('Master English Sheet'!U76="Atmosphere", 2,
IF('Master English Sheet'!U76="Service", 3,
IF('Master English Sheet'!U76="Brand image", 4,
IF('Master English Sheet'!U76="Other:", 5, 
IF('Master English Sheet'!U76 = "", 6, ""))))))</f>
        <v>2</v>
      </c>
      <c r="T76" s="1">
        <f>IF('Master English Sheet'!W76="Yes, Western", 1,
IF('Master English Sheet'!W76="Yes, Global", 2,
IF('Master English Sheet'!W76="Yes,  Japanese", 3,
IF('Master English Sheet'!W76="No", 4,
IF('Master English Sheet'!W76="Unsure", 5, 
IF('Master English Sheet'!W76 = "", 6, ""))))))</f>
        <v>2</v>
      </c>
      <c r="U76" s="1">
        <f>IF('Master English Sheet'!X76="Yes, Western", 1,
IF('Master English Sheet'!X76="Yes, Global", 2,
IF('Master English Sheet'!X76="Yes,  Japanese", 3,
IF('Master English Sheet'!X76="No", 4,
IF('Master English Sheet'!X76="Unsure", 5, 
IF('Master English Sheet'!X76 = "", 6, ""))))))</f>
        <v>3</v>
      </c>
      <c r="V76" s="1">
        <f>'Master English Sheet'!Y76</f>
        <v>7</v>
      </c>
      <c r="W76" s="1">
        <f>'Master English Sheet'!Z76</f>
        <v>7</v>
      </c>
      <c r="X76" s="1">
        <f>'Master English Sheet'!AA76</f>
        <v>5</v>
      </c>
    </row>
    <row r="77">
      <c r="A77" s="6">
        <v>76.0</v>
      </c>
      <c r="B77" s="6">
        <v>1.0</v>
      </c>
      <c r="C77" s="1">
        <f>IF('Master English Sheet'!D77="18-25", 1,
IF('Master English Sheet'!D77="26-35", 2,
IF('Master English Sheet'!D77="36-45", 3,
IF('Master English Sheet'!D77="46-55", 4,
IF('Master English Sheet'!D77="56-65", 5,
IF('Master English Sheet'!D77="65+", 6, ""))))))</f>
        <v>3</v>
      </c>
      <c r="D77" s="1">
        <f>IF('Master English Sheet'!E77="Male", 1,
IF('Master English Sheet'!E77="Female", 2,
IF('Master English Sheet'!E77="Nonbinary", 3,
IF('Master English Sheet'!E77="Prefer not to say", 4, ""))))</f>
        <v>2</v>
      </c>
      <c r="E77" s="1">
        <f>IF('Master English Sheet'!F77="Under ¥3,000,000", 1,
IF('Master English Sheet'!F77="¥3,000,000 – ¥5,999,999", 2,
IF('Master English Sheet'!F77="¥6,000,000 – ¥8,999,999", 3,
IF('Master English Sheet'!F77="¥9,000,000 – ¥11,999,999", 4,
IF('Master English Sheet'!F77 = "¥12,000,000 or more", 5,
IF('Master English Sheet'!F77 = "Prefer not to say", 6, ""))))))</f>
        <v>2</v>
      </c>
      <c r="F77" s="1">
        <f>IF('Master English Sheet'!G77="Hokkaido", 1,
IF('Master English Sheet'!G77="Tohoku", 2,
IF('Master English Sheet'!G77="Kanto", 3,
IF('Master English Sheet'!G77="Chubu", 4,
IF('Master English Sheet'!G77 = "Kansai", 5,
IF('Master English Sheet'!G77 = "Chugoku", 6,
IF('Master English Sheet'!G77 = "Shikoku", 7,
IF('Master English Sheet'!G77 = "Kyushu", 8,
IF('Master English Sheet'!G77 = "Okinawa", 9, 
IF('Master English Sheet'!G77 = "I do not live in Japan", 10, ""))))))))))</f>
        <v>5</v>
      </c>
      <c r="G77" s="1">
        <f>IF('Master English Sheet'!H77="Daily", 1,
IF('Master English Sheet'!H77="Several times a week", 2,
IF('Master English Sheet'!H77="Once a week", 3,
IF('Master English Sheet'!H77 = "Rarely", 4,
IF('Master English Sheet'!H77 = "Never", 5, "")))))</f>
        <v>1</v>
      </c>
      <c r="H77" s="1">
        <f>IF('Master English Sheet'!I77="Pour Over", 1,
IF('Master English Sheet'!I77="Drip", 2,
IF('Master English Sheet'!I77="Latte", 3,
IF('Master English Sheet'!I77="Americano", 4,
IF('Master English Sheet'!I77 = "Cappuccino", 5,
IF('Master English Sheet'!I77 = "Flavored coffee (mocha, vanilla, caramel, etc.)", 6,
IF('Master English Sheet'!I77 = "Cold brew", 7,
IF('Master English Sheet'!I77 = "I don't drink coffee", 8,
IF('Master English Sheet'!I77 = "Other:", 9,
IF('Master English Sheet'!I77 ="", 10, ""))))))))))</f>
        <v>2</v>
      </c>
      <c r="I77" s="1">
        <f>IF('Master English Sheet'!K77="Daily", 1,
IF('Master English Sheet'!K77="Several times a week", 2,
IF('Master English Sheet'!K77="Once a week", 3,
IF('Master English Sheet'!K77 = "Rarely", 4,
IF('Master English Sheet'!K77 = "Never", 5, "")))))</f>
        <v>4</v>
      </c>
      <c r="J77" s="1">
        <f>IF('Master English Sheet'!L77="Usucha", 1,
IF('Master English Sheet'!L77="Koicha", 2,
IF('Master English Sheet'!L77="Matcha Latte", 3,
IF('Master English Sheet'!L77="I don’t drink matcha", 4,
IF('Master English Sheet'!L77 = "Other:", 5,
IF('Master English Sheet'!L77 ="", 6, ""))))))</f>
        <v>4</v>
      </c>
      <c r="K77" s="1">
        <f>IF('Parse of Qs'!A77="Taste/Flavor", 1,
IF('Parse of Qs'!A77="Price", 2,
IF('Parse of Qs'!A77="Energy boost/Caffeine", 3,
IF('Parse of Qs'!A77="Health benefits", 4,
IF('Parse of Qs'!A77 = "Social atmosphere", 5,
IF('Parse of Qs'!A77 ="Routine/Ritual", 6, 
IF('Parse of Qs'!A77 = "Branding/Imagery", 7,
IF('Parse of Qs'!A77 = "Social norms / influence (what people around me usually drink)", 8, 
IF('Parse of Qs'!A77 = "To try new things", 9,
IF('Parse of Qs'!A77 = "Other:", 10, 
IF('Parse of Qs'!A77 = "", 11, "")))))))))))</f>
        <v>1</v>
      </c>
      <c r="L77" s="1">
        <f>IF('Parse of Qs'!B77="Taste/Flavor", 1,
IF('Parse of Qs'!B77="Price", 2,
IF('Parse of Qs'!B77="Energy boost/Caffeine", 3,
IF('Parse of Qs'!B77="Health benefits", 4,
IF('Parse of Qs'!B77 = "Social atmosphere", 5,
IF('Parse of Qs'!B77 ="Routine/Ritual", 6, 
IF('Parse of Qs'!B77 = "Branding/Imagery", 7,
IF('Parse of Qs'!B77 = "Social norms / influence (what people around me usually drink)", 8, 
IF('Parse of Qs'!B77 = "To try new things", 9,
IF('Parse of Qs'!B77 = "Other:", 10, 
IF('Parse of Qs'!B77 = "", 11, "")))))))))))</f>
        <v>11</v>
      </c>
      <c r="M77" s="1">
        <f>IF('Parse of Qs'!C77="At cafés", 1,
IF('Parse of Qs'!C77="At home", 2,
IF('Parse of Qs'!C77="From convenience stores (7-Eleven, Lawson, etc.)", 3,
IF('Parse of Qs'!C77="From vending machines", 4,
IF('Parse of Qs'!C77 = "Other:", 5,
IF('Parse of Qs'!C77 = "", 6, ""))))))</f>
        <v>2</v>
      </c>
      <c r="N77" s="1">
        <f>IF('Parse of Qs'!D77="At cafés", 1,
IF('Parse of Qs'!D77="At home", 2,
IF('Parse of Qs'!D77="From convenience stores (7-Eleven, Lawson, etc.)", 3,
IF('Parse of Qs'!D77="From vending machines", 4,
IF('Parse of Qs'!D77 = "Other:", 5,
IF('Parse of Qs'!D77 = "", 6, ""))))))</f>
        <v>6</v>
      </c>
      <c r="O77" s="1">
        <f>IF('Parse of Qs'!E77="At cafés", 1,
IF('Parse of Qs'!E77="At home", 2,
IF('Parse of Qs'!E77="From convenience stores (7-Eleven, Lawson, etc.)", 3,
IF('Parse of Qs'!E77="From vending machines", 4,
IF('Parse of Qs'!E77 = "Other:", 5,
IF('Parse of Qs'!E77 = "", 6, ""))))))</f>
        <v>6</v>
      </c>
      <c r="P77" s="1">
        <f>IF('Parse of Qs'!F77="At cafés", 1,
IF('Parse of Qs'!F77="At home", 2,
IF('Parse of Qs'!F77="From convenience stores (7-Eleven, Lawson, etc.)", 3,
IF('Parse of Qs'!F77="From vending machines", 4,
IF('Parse of Qs'!F77 = "Other:", 5,
IF('Parse of Qs'!F77 = "", 6, ""))))))</f>
        <v>6</v>
      </c>
      <c r="Q77" s="1">
        <f>IF(OR('Master English Sheet'!R77="Every Day",'Master English Sheet'!R77="Daily"), 1,
IF('Master English Sheet'!R77="Several times a week", 2,
IF('Master English Sheet'!R77="Once a week", 3,
IF('Master English Sheet'!R77="A few times a month", 4,
IF('Master English Sheet'!R77="Rarely", 5,
IF('Master English Sheet'!R77="Never", 6, 
IF('Master English Sheet'!R77 = "", 7, "")))))))</f>
        <v>1</v>
      </c>
      <c r="R77" s="1">
        <f>IF('Master English Sheet'!S77="To relax or take a break", 1,
IF('Master English Sheet'!S77="To meet friends", 2,
IF('Master English Sheet'!S77="To study/work", 3,
IF('Master English Sheet'!S77="To try a new drink", 4,
IF('Master English Sheet'!S77="Out of habit", 5,
IF('Master English Sheet'!S77="Other:", 6, 
IF('Master English Sheet'!S77 = "", 7, "")))))))</f>
        <v>1</v>
      </c>
      <c r="S77" s="1">
        <f>IF('Master English Sheet'!U77="Quality of drinks", 1,
IF('Master English Sheet'!U77="Atmosphere", 2,
IF('Master English Sheet'!U77="Service", 3,
IF('Master English Sheet'!U77="Brand image", 4,
IF('Master English Sheet'!U77="Other:", 5, 
IF('Master English Sheet'!U77 = "", 6, ""))))))</f>
        <v>2</v>
      </c>
      <c r="T77" s="1">
        <f>IF('Master English Sheet'!W77="Yes, Western", 1,
IF('Master English Sheet'!W77="Yes, Global", 2,
IF('Master English Sheet'!W77="Yes,  Japanese", 3,
IF('Master English Sheet'!W77="No", 4,
IF('Master English Sheet'!W77="Unsure", 5, 
IF('Master English Sheet'!W77 = "", 6, ""))))))</f>
        <v>2</v>
      </c>
      <c r="U77" s="1">
        <f>IF('Master English Sheet'!X77="Yes, Western", 1,
IF('Master English Sheet'!X77="Yes, Global", 2,
IF('Master English Sheet'!X77="Yes,  Japanese", 3,
IF('Master English Sheet'!X77="No", 4,
IF('Master English Sheet'!X77="Unsure", 5, 
IF('Master English Sheet'!X77 = "", 6, ""))))))</f>
        <v>3</v>
      </c>
      <c r="V77" s="1">
        <f>'Master English Sheet'!Y77</f>
        <v>7</v>
      </c>
      <c r="W77" s="1">
        <f>'Master English Sheet'!Z77</f>
        <v>1</v>
      </c>
      <c r="X77" s="1">
        <f>'Master English Sheet'!AA77</f>
        <v>5</v>
      </c>
    </row>
    <row r="78">
      <c r="A78" s="6">
        <v>77.0</v>
      </c>
      <c r="B78" s="6">
        <v>1.0</v>
      </c>
      <c r="C78" s="1">
        <f>IF('Master English Sheet'!D78="18-25", 1,
IF('Master English Sheet'!D78="26-35", 2,
IF('Master English Sheet'!D78="36-45", 3,
IF('Master English Sheet'!D78="46-55", 4,
IF('Master English Sheet'!D78="56-65", 5,
IF('Master English Sheet'!D78="65+", 6, ""))))))</f>
        <v>4</v>
      </c>
      <c r="D78" s="1">
        <f>IF('Master English Sheet'!E78="Male", 1,
IF('Master English Sheet'!E78="Female", 2,
IF('Master English Sheet'!E78="Nonbinary", 3,
IF('Master English Sheet'!E78="Prefer not to say", 4, ""))))</f>
        <v>2</v>
      </c>
      <c r="E78" s="1">
        <f>IF('Master English Sheet'!F78="Under ¥3,000,000", 1,
IF('Master English Sheet'!F78="¥3,000,000 – ¥5,999,999", 2,
IF('Master English Sheet'!F78="¥6,000,000 – ¥8,999,999", 3,
IF('Master English Sheet'!F78="¥9,000,000 – ¥11,999,999", 4,
IF('Master English Sheet'!F78 = "¥12,000,000 or more", 5,
IF('Master English Sheet'!F78 = "Prefer not to say", 6, ""))))))</f>
        <v>2</v>
      </c>
      <c r="F78" s="1">
        <f>IF('Master English Sheet'!G78="Hokkaido", 1,
IF('Master English Sheet'!G78="Tohoku", 2,
IF('Master English Sheet'!G78="Kanto", 3,
IF('Master English Sheet'!G78="Chubu", 4,
IF('Master English Sheet'!G78 = "Kansai", 5,
IF('Master English Sheet'!G78 = "Chugoku", 6,
IF('Master English Sheet'!G78 = "Shikoku", 7,
IF('Master English Sheet'!G78 = "Kyushu", 8,
IF('Master English Sheet'!G78 = "Okinawa", 9, 
IF('Master English Sheet'!G78 = "I do not live in Japan", 10, ""))))))))))</f>
        <v>5</v>
      </c>
      <c r="G78" s="1">
        <f>IF('Master English Sheet'!H78="Daily", 1,
IF('Master English Sheet'!H78="Several times a week", 2,
IF('Master English Sheet'!H78="Once a week", 3,
IF('Master English Sheet'!H78 = "Rarely", 4,
IF('Master English Sheet'!H78 = "Never", 5, "")))))</f>
        <v>2</v>
      </c>
      <c r="H78" s="1">
        <f>IF('Master English Sheet'!I78="Pour Over", 1,
IF('Master English Sheet'!I78="Drip", 2,
IF('Master English Sheet'!I78="Latte", 3,
IF('Master English Sheet'!I78="Americano", 4,
IF('Master English Sheet'!I78 = "Cappuccino", 5,
IF('Master English Sheet'!I78 = "Flavored coffee (mocha, vanilla, caramel, etc.)", 6,
IF('Master English Sheet'!I78 = "Cold brew", 7,
IF('Master English Sheet'!I78 = "I don't drink coffee", 8,
IF('Master English Sheet'!I78 = "Other:", 9,
IF('Master English Sheet'!I78 ="", 10, ""))))))))))</f>
        <v>3</v>
      </c>
      <c r="I78" s="1">
        <f>IF('Master English Sheet'!K78="Daily", 1,
IF('Master English Sheet'!K78="Several times a week", 2,
IF('Master English Sheet'!K78="Once a week", 3,
IF('Master English Sheet'!K78 = "Rarely", 4,
IF('Master English Sheet'!K78 = "Never", 5, "")))))</f>
        <v>4</v>
      </c>
      <c r="J78" s="1">
        <f>IF('Master English Sheet'!L78="Usucha", 1,
IF('Master English Sheet'!L78="Koicha", 2,
IF('Master English Sheet'!L78="Matcha Latte", 3,
IF('Master English Sheet'!L78="I don’t drink matcha", 4,
IF('Master English Sheet'!L78 = "Other:", 5,
IF('Master English Sheet'!L78 ="", 6, ""))))))</f>
        <v>3</v>
      </c>
      <c r="K78" s="1">
        <f>IF('Parse of Qs'!A78="Taste/Flavor", 1,
IF('Parse of Qs'!A78="Price", 2,
IF('Parse of Qs'!A78="Energy boost/Caffeine", 3,
IF('Parse of Qs'!A78="Health benefits", 4,
IF('Parse of Qs'!A78 = "Social atmosphere", 5,
IF('Parse of Qs'!A78 ="Routine/Ritual", 6, 
IF('Parse of Qs'!A78 = "Branding/Imagery", 7,
IF('Parse of Qs'!A78 = "Social norms / influence (what people around me usually drink)", 8, 
IF('Parse of Qs'!A78 = "To try new things", 9,
IF('Parse of Qs'!A78 = "Other:", 10, 
IF('Parse of Qs'!A78 = "", 11, "")))))))))))</f>
        <v>6</v>
      </c>
      <c r="L78" s="1">
        <f>IF('Parse of Qs'!B78="Taste/Flavor", 1,
IF('Parse of Qs'!B78="Price", 2,
IF('Parse of Qs'!B78="Energy boost/Caffeine", 3,
IF('Parse of Qs'!B78="Health benefits", 4,
IF('Parse of Qs'!B78 = "Social atmosphere", 5,
IF('Parse of Qs'!B78 ="Routine/Ritual", 6, 
IF('Parse of Qs'!B78 = "Branding/Imagery", 7,
IF('Parse of Qs'!B78 = "Social norms / influence (what people around me usually drink)", 8, 
IF('Parse of Qs'!B78 = "To try new things", 9,
IF('Parse of Qs'!B78 = "Other:", 10, 
IF('Parse of Qs'!B78 = "", 11, "")))))))))))</f>
        <v>1</v>
      </c>
      <c r="M78" s="1">
        <f>IF('Parse of Qs'!C78="At cafés", 1,
IF('Parse of Qs'!C78="At home", 2,
IF('Parse of Qs'!C78="From convenience stores (7-Eleven, Lawson, etc.)", 3,
IF('Parse of Qs'!C78="From vending machines", 4,
IF('Parse of Qs'!C78 = "Other:", 5,
IF('Parse of Qs'!C78 = "", 6, ""))))))</f>
        <v>2</v>
      </c>
      <c r="N78" s="1">
        <f>IF('Parse of Qs'!D78="At cafés", 1,
IF('Parse of Qs'!D78="At home", 2,
IF('Parse of Qs'!D78="From convenience stores (7-Eleven, Lawson, etc.)", 3,
IF('Parse of Qs'!D78="From vending machines", 4,
IF('Parse of Qs'!D78 = "Other:", 5,
IF('Parse of Qs'!D78 = "", 6, ""))))))</f>
        <v>1</v>
      </c>
      <c r="O78" s="1">
        <f>IF('Parse of Qs'!E78="At cafés", 1,
IF('Parse of Qs'!E78="At home", 2,
IF('Parse of Qs'!E78="From convenience stores (7-Eleven, Lawson, etc.)", 3,
IF('Parse of Qs'!E78="From vending machines", 4,
IF('Parse of Qs'!E78 = "Other:", 5,
IF('Parse of Qs'!E78 = "", 6, ""))))))</f>
        <v>6</v>
      </c>
      <c r="P78" s="1">
        <f>IF('Parse of Qs'!F78="At cafés", 1,
IF('Parse of Qs'!F78="At home", 2,
IF('Parse of Qs'!F78="From convenience stores (7-Eleven, Lawson, etc.)", 3,
IF('Parse of Qs'!F78="From vending machines", 4,
IF('Parse of Qs'!F78 = "Other:", 5,
IF('Parse of Qs'!F78 = "", 6, ""))))))</f>
        <v>6</v>
      </c>
      <c r="Q78" s="1">
        <f>IF(OR('Master English Sheet'!R78="Every Day",'Master English Sheet'!R78="Daily"), 1,
IF('Master English Sheet'!R78="Several times a week", 2,
IF('Master English Sheet'!R78="Once a week", 3,
IF('Master English Sheet'!R78="A few times a month", 4,
IF('Master English Sheet'!R78="Rarely", 5,
IF('Master English Sheet'!R78="Never", 6, 
IF('Master English Sheet'!R78 = "", 7, "")))))))</f>
        <v>4</v>
      </c>
      <c r="R78" s="1">
        <f>IF('Master English Sheet'!S78="To relax or take a break", 1,
IF('Master English Sheet'!S78="To meet friends", 2,
IF('Master English Sheet'!S78="To study/work", 3,
IF('Master English Sheet'!S78="To try a new drink", 4,
IF('Master English Sheet'!S78="Out of habit", 5,
IF('Master English Sheet'!S78="Other:", 6, 
IF('Master English Sheet'!S78 = "", 7, "")))))))</f>
        <v>2</v>
      </c>
      <c r="S78" s="1">
        <f>IF('Master English Sheet'!U78="Quality of drinks", 1,
IF('Master English Sheet'!U78="Atmosphere", 2,
IF('Master English Sheet'!U78="Service", 3,
IF('Master English Sheet'!U78="Brand image", 4,
IF('Master English Sheet'!U78="Other:", 5, 
IF('Master English Sheet'!U78 = "", 6, ""))))))</f>
        <v>1</v>
      </c>
      <c r="T78" s="1">
        <f>IF('Master English Sheet'!W78="Yes, Western", 1,
IF('Master English Sheet'!W78="Yes, Global", 2,
IF('Master English Sheet'!W78="Yes,  Japanese", 3,
IF('Master English Sheet'!W78="No", 4,
IF('Master English Sheet'!W78="Unsure", 5, 
IF('Master English Sheet'!W78 = "", 6, ""))))))</f>
        <v>4</v>
      </c>
      <c r="U78" s="1">
        <f>IF('Master English Sheet'!X78="Yes, Western", 1,
IF('Master English Sheet'!X78="Yes, Global", 2,
IF('Master English Sheet'!X78="Yes,  Japanese", 3,
IF('Master English Sheet'!X78="No", 4,
IF('Master English Sheet'!X78="Unsure", 5, 
IF('Master English Sheet'!X78 = "", 6, ""))))))</f>
        <v>3</v>
      </c>
      <c r="V78" s="1">
        <f>'Master English Sheet'!Y78</f>
        <v>7</v>
      </c>
      <c r="W78" s="1">
        <f>'Master English Sheet'!Z78</f>
        <v>7</v>
      </c>
      <c r="X78" s="1">
        <f>'Master English Sheet'!AA78</f>
        <v>5</v>
      </c>
    </row>
    <row r="79">
      <c r="A79" s="6">
        <v>78.0</v>
      </c>
      <c r="B79" s="6">
        <v>1.0</v>
      </c>
      <c r="C79" s="1">
        <f>IF('Master English Sheet'!D79="18-25", 1,
IF('Master English Sheet'!D79="26-35", 2,
IF('Master English Sheet'!D79="36-45", 3,
IF('Master English Sheet'!D79="46-55", 4,
IF('Master English Sheet'!D79="56-65", 5,
IF('Master English Sheet'!D79="65+", 6, ""))))))</f>
        <v>2</v>
      </c>
      <c r="D79" s="1">
        <f>IF('Master English Sheet'!E79="Male", 1,
IF('Master English Sheet'!E79="Female", 2,
IF('Master English Sheet'!E79="Nonbinary", 3,
IF('Master English Sheet'!E79="Prefer not to say", 4, ""))))</f>
        <v>2</v>
      </c>
      <c r="E79" s="1">
        <f>IF('Master English Sheet'!F79="Under ¥3,000,000", 1,
IF('Master English Sheet'!F79="¥3,000,000 – ¥5,999,999", 2,
IF('Master English Sheet'!F79="¥6,000,000 – ¥8,999,999", 3,
IF('Master English Sheet'!F79="¥9,000,000 – ¥11,999,999", 4,
IF('Master English Sheet'!F79 = "¥12,000,000 or more", 5,
IF('Master English Sheet'!F79 = "Prefer not to say", 6, ""))))))</f>
        <v>1</v>
      </c>
      <c r="F79" s="1">
        <f>IF('Master English Sheet'!G79="Hokkaido", 1,
IF('Master English Sheet'!G79="Tohoku", 2,
IF('Master English Sheet'!G79="Kanto", 3,
IF('Master English Sheet'!G79="Chubu", 4,
IF('Master English Sheet'!G79 = "Kansai", 5,
IF('Master English Sheet'!G79 = "Chugoku", 6,
IF('Master English Sheet'!G79 = "Shikoku", 7,
IF('Master English Sheet'!G79 = "Kyushu", 8,
IF('Master English Sheet'!G79 = "Okinawa", 9, 
IF('Master English Sheet'!G79 = "I do not live in Japan", 10, ""))))))))))</f>
        <v>5</v>
      </c>
      <c r="G79" s="1">
        <f>IF('Master English Sheet'!H79="Daily", 1,
IF('Master English Sheet'!H79="Several times a week", 2,
IF('Master English Sheet'!H79="Once a week", 3,
IF('Master English Sheet'!H79 = "Rarely", 4,
IF('Master English Sheet'!H79 = "Never", 5, "")))))</f>
        <v>1</v>
      </c>
      <c r="H79" s="1">
        <f>IF('Master English Sheet'!I79="Pour Over", 1,
IF('Master English Sheet'!I79="Drip", 2,
IF('Master English Sheet'!I79="Latte", 3,
IF('Master English Sheet'!I79="Americano", 4,
IF('Master English Sheet'!I79 = "Cappuccino", 5,
IF('Master English Sheet'!I79 = "Flavored coffee (mocha, vanilla, caramel, etc.)", 6,
IF('Master English Sheet'!I79 = "Cold brew", 7,
IF('Master English Sheet'!I79 = "I don't drink coffee", 8,
IF('Master English Sheet'!I79 = "Other:", 9,
IF('Master English Sheet'!I79 ="", 10, ""))))))))))</f>
        <v>1</v>
      </c>
      <c r="I79" s="1">
        <f>IF('Master English Sheet'!K79="Daily", 1,
IF('Master English Sheet'!K79="Several times a week", 2,
IF('Master English Sheet'!K79="Once a week", 3,
IF('Master English Sheet'!K79 = "Rarely", 4,
IF('Master English Sheet'!K79 = "Never", 5, "")))))</f>
        <v>5</v>
      </c>
      <c r="J79" s="1">
        <f>IF('Master English Sheet'!L79="Usucha", 1,
IF('Master English Sheet'!L79="Koicha", 2,
IF('Master English Sheet'!L79="Matcha Latte", 3,
IF('Master English Sheet'!L79="I don’t drink matcha", 4,
IF('Master English Sheet'!L79 = "Other:", 5,
IF('Master English Sheet'!L79 ="", 6, ""))))))</f>
        <v>6</v>
      </c>
      <c r="K79" s="1">
        <f>IF('Parse of Qs'!A79="Taste/Flavor", 1,
IF('Parse of Qs'!A79="Price", 2,
IF('Parse of Qs'!A79="Energy boost/Caffeine", 3,
IF('Parse of Qs'!A79="Health benefits", 4,
IF('Parse of Qs'!A79 = "Social atmosphere", 5,
IF('Parse of Qs'!A79 ="Routine/Ritual", 6, 
IF('Parse of Qs'!A79 = "Branding/Imagery", 7,
IF('Parse of Qs'!A79 = "Social norms / influence (what people around me usually drink)", 8, 
IF('Parse of Qs'!A79 = "To try new things", 9,
IF('Parse of Qs'!A79 = "Other:", 10, 
IF('Parse of Qs'!A79 = "", 11, "")))))))))))</f>
        <v>1</v>
      </c>
      <c r="L79" s="1">
        <f>IF('Parse of Qs'!B79="Taste/Flavor", 1,
IF('Parse of Qs'!B79="Price", 2,
IF('Parse of Qs'!B79="Energy boost/Caffeine", 3,
IF('Parse of Qs'!B79="Health benefits", 4,
IF('Parse of Qs'!B79 = "Social atmosphere", 5,
IF('Parse of Qs'!B79 ="Routine/Ritual", 6, 
IF('Parse of Qs'!B79 = "Branding/Imagery", 7,
IF('Parse of Qs'!B79 = "Social norms / influence (what people around me usually drink)", 8, 
IF('Parse of Qs'!B79 = "To try new things", 9,
IF('Parse of Qs'!B79 = "Other:", 10, 
IF('Parse of Qs'!B79 = "", 11, "")))))))))))</f>
        <v>11</v>
      </c>
      <c r="M79" s="1">
        <f>IF('Parse of Qs'!C79="At cafés", 1,
IF('Parse of Qs'!C79="At home", 2,
IF('Parse of Qs'!C79="From convenience stores (7-Eleven, Lawson, etc.)", 3,
IF('Parse of Qs'!C79="From vending machines", 4,
IF('Parse of Qs'!C79 = "Other:", 5,
IF('Parse of Qs'!C79 = "", 6, ""))))))</f>
        <v>1</v>
      </c>
      <c r="N79" s="1">
        <f>IF('Parse of Qs'!D79="At cafés", 1,
IF('Parse of Qs'!D79="At home", 2,
IF('Parse of Qs'!D79="From convenience stores (7-Eleven, Lawson, etc.)", 3,
IF('Parse of Qs'!D79="From vending machines", 4,
IF('Parse of Qs'!D79 = "Other:", 5,
IF('Parse of Qs'!D79 = "", 6, ""))))))</f>
        <v>6</v>
      </c>
      <c r="O79" s="1">
        <f>IF('Parse of Qs'!E79="At cafés", 1,
IF('Parse of Qs'!E79="At home", 2,
IF('Parse of Qs'!E79="From convenience stores (7-Eleven, Lawson, etc.)", 3,
IF('Parse of Qs'!E79="From vending machines", 4,
IF('Parse of Qs'!E79 = "Other:", 5,
IF('Parse of Qs'!E79 = "", 6, ""))))))</f>
        <v>6</v>
      </c>
      <c r="P79" s="1">
        <f>IF('Parse of Qs'!F79="At cafés", 1,
IF('Parse of Qs'!F79="At home", 2,
IF('Parse of Qs'!F79="From convenience stores (7-Eleven, Lawson, etc.)", 3,
IF('Parse of Qs'!F79="From vending machines", 4,
IF('Parse of Qs'!F79 = "Other:", 5,
IF('Parse of Qs'!F79 = "", 6, ""))))))</f>
        <v>6</v>
      </c>
      <c r="Q79" s="1">
        <f>IF(OR('Master English Sheet'!R79="Every Day",'Master English Sheet'!R79="Daily"), 1,
IF('Master English Sheet'!R79="Several times a week", 2,
IF('Master English Sheet'!R79="Once a week", 3,
IF('Master English Sheet'!R79="A few times a month", 4,
IF('Master English Sheet'!R79="Rarely", 5,
IF('Master English Sheet'!R79="Never", 6, 
IF('Master English Sheet'!R79 = "", 7, "")))))))</f>
        <v>2</v>
      </c>
      <c r="R79" s="1">
        <f>IF('Master English Sheet'!S79="To relax or take a break", 1,
IF('Master English Sheet'!S79="To meet friends", 2,
IF('Master English Sheet'!S79="To study/work", 3,
IF('Master English Sheet'!S79="To try a new drink", 4,
IF('Master English Sheet'!S79="Out of habit", 5,
IF('Master English Sheet'!S79="Other:", 6, 
IF('Master English Sheet'!S79 = "", 7, "")))))))</f>
        <v>5</v>
      </c>
      <c r="S79" s="1">
        <f>IF('Master English Sheet'!U79="Quality of drinks", 1,
IF('Master English Sheet'!U79="Atmosphere", 2,
IF('Master English Sheet'!U79="Service", 3,
IF('Master English Sheet'!U79="Brand image", 4,
IF('Master English Sheet'!U79="Other:", 5, 
IF('Master English Sheet'!U79 = "", 6, ""))))))</f>
        <v>2</v>
      </c>
      <c r="T79" s="1">
        <f>IF('Master English Sheet'!W79="Yes, Western", 1,
IF('Master English Sheet'!W79="Yes, Global", 2,
IF('Master English Sheet'!W79="Yes,  Japanese", 3,
IF('Master English Sheet'!W79="No", 4,
IF('Master English Sheet'!W79="Unsure", 5, 
IF('Master English Sheet'!W79 = "", 6, ""))))))</f>
        <v>2</v>
      </c>
      <c r="U79" s="1">
        <f>IF('Master English Sheet'!X79="Yes, Western", 1,
IF('Master English Sheet'!X79="Yes, Global", 2,
IF('Master English Sheet'!X79="Yes,  Japanese", 3,
IF('Master English Sheet'!X79="No", 4,
IF('Master English Sheet'!X79="Unsure", 5, 
IF('Master English Sheet'!X79 = "", 6, ""))))))</f>
        <v>3</v>
      </c>
      <c r="V79" s="1">
        <f>'Master English Sheet'!Y79</f>
        <v>5</v>
      </c>
      <c r="W79" s="1">
        <f>'Master English Sheet'!Z79</f>
        <v>4</v>
      </c>
      <c r="X79" s="1">
        <f>'Master English Sheet'!AA79</f>
        <v>4</v>
      </c>
    </row>
    <row r="80">
      <c r="A80" s="6">
        <v>79.0</v>
      </c>
      <c r="B80" s="6">
        <v>1.0</v>
      </c>
      <c r="C80" s="1">
        <f>IF('Master English Sheet'!D80="18-25", 1,
IF('Master English Sheet'!D80="26-35", 2,
IF('Master English Sheet'!D80="36-45", 3,
IF('Master English Sheet'!D80="46-55", 4,
IF('Master English Sheet'!D80="56-65", 5,
IF('Master English Sheet'!D80="65+", 6, ""))))))</f>
        <v>5</v>
      </c>
      <c r="D80" s="1">
        <f>IF('Master English Sheet'!E80="Male", 1,
IF('Master English Sheet'!E80="Female", 2,
IF('Master English Sheet'!E80="Nonbinary", 3,
IF('Master English Sheet'!E80="Prefer not to say", 4, ""))))</f>
        <v>1</v>
      </c>
      <c r="E80" s="1">
        <f>IF('Master English Sheet'!F80="Under ¥3,000,000", 1,
IF('Master English Sheet'!F80="¥3,000,000 – ¥5,999,999", 2,
IF('Master English Sheet'!F80="¥6,000,000 – ¥8,999,999", 3,
IF('Master English Sheet'!F80="¥9,000,000 – ¥11,999,999", 4,
IF('Master English Sheet'!F80 = "¥12,000,000 or more", 5,
IF('Master English Sheet'!F80 = "Prefer not to say", 6, ""))))))</f>
        <v>4</v>
      </c>
      <c r="F80" s="1">
        <f>IF('Master English Sheet'!G80="Hokkaido", 1,
IF('Master English Sheet'!G80="Tohoku", 2,
IF('Master English Sheet'!G80="Kanto", 3,
IF('Master English Sheet'!G80="Chubu", 4,
IF('Master English Sheet'!G80 = "Kansai", 5,
IF('Master English Sheet'!G80 = "Chugoku", 6,
IF('Master English Sheet'!G80 = "Shikoku", 7,
IF('Master English Sheet'!G80 = "Kyushu", 8,
IF('Master English Sheet'!G80 = "Okinawa", 9, 
IF('Master English Sheet'!G80 = "I do not live in Japan", 10, ""))))))))))</f>
        <v>1</v>
      </c>
      <c r="G80" s="1">
        <f>IF('Master English Sheet'!H80="Daily", 1,
IF('Master English Sheet'!H80="Several times a week", 2,
IF('Master English Sheet'!H80="Once a week", 3,
IF('Master English Sheet'!H80 = "Rarely", 4,
IF('Master English Sheet'!H80 = "Never", 5, "")))))</f>
        <v>1</v>
      </c>
      <c r="H80" s="1">
        <f>IF('Master English Sheet'!I80="Pour Over", 1,
IF('Master English Sheet'!I80="Drip", 2,
IF('Master English Sheet'!I80="Latte", 3,
IF('Master English Sheet'!I80="Americano", 4,
IF('Master English Sheet'!I80 = "Cappuccino", 5,
IF('Master English Sheet'!I80 = "Flavored coffee (mocha, vanilla, caramel, etc.)", 6,
IF('Master English Sheet'!I80 = "Cold brew", 7,
IF('Master English Sheet'!I80 = "I don't drink coffee", 8,
IF('Master English Sheet'!I80 = "Other:", 9,
IF('Master English Sheet'!I80 ="", 10, ""))))))))))</f>
        <v>2</v>
      </c>
      <c r="I80" s="1">
        <f>IF('Master English Sheet'!K80="Daily", 1,
IF('Master English Sheet'!K80="Several times a week", 2,
IF('Master English Sheet'!K80="Once a week", 3,
IF('Master English Sheet'!K80 = "Rarely", 4,
IF('Master English Sheet'!K80 = "Never", 5, "")))))</f>
        <v>1</v>
      </c>
      <c r="J80" s="1">
        <f>IF('Master English Sheet'!L80="Usucha", 1,
IF('Master English Sheet'!L80="Koicha", 2,
IF('Master English Sheet'!L80="Matcha Latte", 3,
IF('Master English Sheet'!L80="I don’t drink matcha", 4,
IF('Master English Sheet'!L80 = "Other:", 5,
IF('Master English Sheet'!L80 ="", 6, ""))))))</f>
        <v>1</v>
      </c>
      <c r="K80" s="1">
        <f>IF('Parse of Qs'!A80="Taste/Flavor", 1,
IF('Parse of Qs'!A80="Price", 2,
IF('Parse of Qs'!A80="Energy boost/Caffeine", 3,
IF('Parse of Qs'!A80="Health benefits", 4,
IF('Parse of Qs'!A80 = "Social atmosphere", 5,
IF('Parse of Qs'!A80 ="Routine/Ritual", 6, 
IF('Parse of Qs'!A80 = "Branding/Imagery", 7,
IF('Parse of Qs'!A80 = "Social norms / influence (what people around me usually drink)", 8, 
IF('Parse of Qs'!A80 = "To try new things", 9,
IF('Parse of Qs'!A80 = "Other:", 10, 
IF('Parse of Qs'!A80 = "", 11, "")))))))))))</f>
        <v>5</v>
      </c>
      <c r="L80" s="1">
        <f>IF('Parse of Qs'!B80="Taste/Flavor", 1,
IF('Parse of Qs'!B80="Price", 2,
IF('Parse of Qs'!B80="Energy boost/Caffeine", 3,
IF('Parse of Qs'!B80="Health benefits", 4,
IF('Parse of Qs'!B80 = "Social atmosphere", 5,
IF('Parse of Qs'!B80 ="Routine/Ritual", 6, 
IF('Parse of Qs'!B80 = "Branding/Imagery", 7,
IF('Parse of Qs'!B80 = "Social norms / influence (what people around me usually drink)", 8, 
IF('Parse of Qs'!B80 = "To try new things", 9,
IF('Parse of Qs'!B80 = "Other:", 10, 
IF('Parse of Qs'!B80 = "", 11, "")))))))))))</f>
        <v>11</v>
      </c>
      <c r="M80" s="1">
        <f>IF('Parse of Qs'!C80="At cafés", 1,
IF('Parse of Qs'!C80="At home", 2,
IF('Parse of Qs'!C80="From convenience stores (7-Eleven, Lawson, etc.)", 3,
IF('Parse of Qs'!C80="From vending machines", 4,
IF('Parse of Qs'!C80 = "Other:", 5,
IF('Parse of Qs'!C80 = "", 6, ""))))))</f>
        <v>1</v>
      </c>
      <c r="N80" s="1">
        <f>IF('Parse of Qs'!D80="At cafés", 1,
IF('Parse of Qs'!D80="At home", 2,
IF('Parse of Qs'!D80="From convenience stores (7-Eleven, Lawson, etc.)", 3,
IF('Parse of Qs'!D80="From vending machines", 4,
IF('Parse of Qs'!D80 = "Other:", 5,
IF('Parse of Qs'!D80 = "", 6, ""))))))</f>
        <v>6</v>
      </c>
      <c r="O80" s="1">
        <f>IF('Parse of Qs'!E80="At cafés", 1,
IF('Parse of Qs'!E80="At home", 2,
IF('Parse of Qs'!E80="From convenience stores (7-Eleven, Lawson, etc.)", 3,
IF('Parse of Qs'!E80="From vending machines", 4,
IF('Parse of Qs'!E80 = "Other:", 5,
IF('Parse of Qs'!E80 = "", 6, ""))))))</f>
        <v>6</v>
      </c>
      <c r="P80" s="1">
        <f>IF('Parse of Qs'!F80="At cafés", 1,
IF('Parse of Qs'!F80="At home", 2,
IF('Parse of Qs'!F80="From convenience stores (7-Eleven, Lawson, etc.)", 3,
IF('Parse of Qs'!F80="From vending machines", 4,
IF('Parse of Qs'!F80 = "Other:", 5,
IF('Parse of Qs'!F80 = "", 6, ""))))))</f>
        <v>6</v>
      </c>
      <c r="Q80" s="1">
        <f>IF(OR('Master English Sheet'!R80="Every Day",'Master English Sheet'!R80="Daily"), 1,
IF('Master English Sheet'!R80="Several times a week", 2,
IF('Master English Sheet'!R80="Once a week", 3,
IF('Master English Sheet'!R80="A few times a month", 4,
IF('Master English Sheet'!R80="Rarely", 5,
IF('Master English Sheet'!R80="Never", 6, 
IF('Master English Sheet'!R80 = "", 7, "")))))))</f>
        <v>1</v>
      </c>
      <c r="R80" s="1">
        <f>IF('Master English Sheet'!S80="To relax or take a break", 1,
IF('Master English Sheet'!S80="To meet friends", 2,
IF('Master English Sheet'!S80="To study/work", 3,
IF('Master English Sheet'!S80="To try a new drink", 4,
IF('Master English Sheet'!S80="Out of habit", 5,
IF('Master English Sheet'!S80="Other:", 6, 
IF('Master English Sheet'!S80 = "", 7, "")))))))</f>
        <v>1</v>
      </c>
      <c r="S80" s="1">
        <f>IF('Master English Sheet'!U80="Quality of drinks", 1,
IF('Master English Sheet'!U80="Atmosphere", 2,
IF('Master English Sheet'!U80="Service", 3,
IF('Master English Sheet'!U80="Brand image", 4,
IF('Master English Sheet'!U80="Other:", 5, 
IF('Master English Sheet'!U80 = "", 6, ""))))))</f>
        <v>2</v>
      </c>
      <c r="T80" s="1">
        <f>IF('Master English Sheet'!W80="Yes, Western", 1,
IF('Master English Sheet'!W80="Yes, Global", 2,
IF('Master English Sheet'!W80="Yes,  Japanese", 3,
IF('Master English Sheet'!W80="No", 4,
IF('Master English Sheet'!W80="Unsure", 5, 
IF('Master English Sheet'!W80 = "", 6, ""))))))</f>
        <v>1</v>
      </c>
      <c r="U80" s="1">
        <f>IF('Master English Sheet'!X80="Yes, Western", 1,
IF('Master English Sheet'!X80="Yes, Global", 2,
IF('Master English Sheet'!X80="Yes,  Japanese", 3,
IF('Master English Sheet'!X80="No", 4,
IF('Master English Sheet'!X80="Unsure", 5, 
IF('Master English Sheet'!X80 = "", 6, ""))))))</f>
        <v>3</v>
      </c>
      <c r="V80" s="1">
        <f>'Master English Sheet'!Y80</f>
        <v>7</v>
      </c>
      <c r="W80" s="1">
        <f>'Master English Sheet'!Z80</f>
        <v>7</v>
      </c>
      <c r="X80" s="1">
        <f>'Master English Sheet'!AA80</f>
        <v>7</v>
      </c>
    </row>
    <row r="81">
      <c r="A81" s="6">
        <v>80.0</v>
      </c>
      <c r="B81" s="6">
        <v>1.0</v>
      </c>
      <c r="C81" s="1">
        <f>IF('Master English Sheet'!D81="18-25", 1,
IF('Master English Sheet'!D81="26-35", 2,
IF('Master English Sheet'!D81="36-45", 3,
IF('Master English Sheet'!D81="46-55", 4,
IF('Master English Sheet'!D81="56-65", 5,
IF('Master English Sheet'!D81="65+", 6, ""))))))</f>
        <v>3</v>
      </c>
      <c r="D81" s="1">
        <f>IF('Master English Sheet'!E81="Male", 1,
IF('Master English Sheet'!E81="Female", 2,
IF('Master English Sheet'!E81="Nonbinary", 3,
IF('Master English Sheet'!E81="Prefer not to say", 4, ""))))</f>
        <v>1</v>
      </c>
      <c r="E81" s="1">
        <f>IF('Master English Sheet'!F81="Under ¥3,000,000", 1,
IF('Master English Sheet'!F81="¥3,000,000 – ¥5,999,999", 2,
IF('Master English Sheet'!F81="¥6,000,000 – ¥8,999,999", 3,
IF('Master English Sheet'!F81="¥9,000,000 – ¥11,999,999", 4,
IF('Master English Sheet'!F81 = "¥12,000,000 or more", 5,
IF('Master English Sheet'!F81 = "Prefer not to say", 6, ""))))))</f>
        <v>2</v>
      </c>
      <c r="F81" s="1">
        <f>IF('Master English Sheet'!G81="Hokkaido", 1,
IF('Master English Sheet'!G81="Tohoku", 2,
IF('Master English Sheet'!G81="Kanto", 3,
IF('Master English Sheet'!G81="Chubu", 4,
IF('Master English Sheet'!G81 = "Kansai", 5,
IF('Master English Sheet'!G81 = "Chugoku", 6,
IF('Master English Sheet'!G81 = "Shikoku", 7,
IF('Master English Sheet'!G81 = "Kyushu", 8,
IF('Master English Sheet'!G81 = "Okinawa", 9, 
IF('Master English Sheet'!G81 = "I do not live in Japan", 10, ""))))))))))</f>
        <v>1</v>
      </c>
      <c r="G81" s="1">
        <f>IF('Master English Sheet'!H81="Daily", 1,
IF('Master English Sheet'!H81="Several times a week", 2,
IF('Master English Sheet'!H81="Once a week", 3,
IF('Master English Sheet'!H81 = "Rarely", 4,
IF('Master English Sheet'!H81 = "Never", 5, "")))))</f>
        <v>1</v>
      </c>
      <c r="H81" s="1">
        <f>IF('Master English Sheet'!I81="Pour Over", 1,
IF('Master English Sheet'!I81="Drip", 2,
IF('Master English Sheet'!I81="Latte", 3,
IF('Master English Sheet'!I81="Americano", 4,
IF('Master English Sheet'!I81 = "Cappuccino", 5,
IF('Master English Sheet'!I81 = "Flavored coffee (mocha, vanilla, caramel, etc.)", 6,
IF('Master English Sheet'!I81 = "Cold brew", 7,
IF('Master English Sheet'!I81 = "I don't drink coffee", 8,
IF('Master English Sheet'!I81 = "Other:", 9,
IF('Master English Sheet'!I81 ="", 10, ""))))))))))</f>
        <v>1</v>
      </c>
      <c r="I81" s="1">
        <f>IF('Master English Sheet'!K81="Daily", 1,
IF('Master English Sheet'!K81="Several times a week", 2,
IF('Master English Sheet'!K81="Once a week", 3,
IF('Master English Sheet'!K81 = "Rarely", 4,
IF('Master English Sheet'!K81 = "Never", 5, "")))))</f>
        <v>4</v>
      </c>
      <c r="J81" s="1">
        <f>IF('Master English Sheet'!L81="Usucha", 1,
IF('Master English Sheet'!L81="Koicha", 2,
IF('Master English Sheet'!L81="Matcha Latte", 3,
IF('Master English Sheet'!L81="I don’t drink matcha", 4,
IF('Master English Sheet'!L81 = "Other:", 5,
IF('Master English Sheet'!L81 ="", 6, ""))))))</f>
        <v>3</v>
      </c>
      <c r="K81" s="1">
        <f>IF('Parse of Qs'!A81="Taste/Flavor", 1,
IF('Parse of Qs'!A81="Price", 2,
IF('Parse of Qs'!A81="Energy boost/Caffeine", 3,
IF('Parse of Qs'!A81="Health benefits", 4,
IF('Parse of Qs'!A81 = "Social atmosphere", 5,
IF('Parse of Qs'!A81 ="Routine/Ritual", 6, 
IF('Parse of Qs'!A81 = "Branding/Imagery", 7,
IF('Parse of Qs'!A81 = "Social norms / influence (what people around me usually drink)", 8, 
IF('Parse of Qs'!A81 = "To try new things", 9,
IF('Parse of Qs'!A81 = "Other:", 10, 
IF('Parse of Qs'!A81 = "", 11, "")))))))))))</f>
        <v>1</v>
      </c>
      <c r="L81" s="1">
        <f>IF('Parse of Qs'!B81="Taste/Flavor", 1,
IF('Parse of Qs'!B81="Price", 2,
IF('Parse of Qs'!B81="Energy boost/Caffeine", 3,
IF('Parse of Qs'!B81="Health benefits", 4,
IF('Parse of Qs'!B81 = "Social atmosphere", 5,
IF('Parse of Qs'!B81 ="Routine/Ritual", 6, 
IF('Parse of Qs'!B81 = "Branding/Imagery", 7,
IF('Parse of Qs'!B81 = "Social norms / influence (what people around me usually drink)", 8, 
IF('Parse of Qs'!B81 = "To try new things", 9,
IF('Parse of Qs'!B81 = "Other:", 10, 
IF('Parse of Qs'!B81 = "", 11, "")))))))))))</f>
        <v>2</v>
      </c>
      <c r="M81" s="1">
        <f>IF('Parse of Qs'!C81="At cafés", 1,
IF('Parse of Qs'!C81="At home", 2,
IF('Parse of Qs'!C81="From convenience stores (7-Eleven, Lawson, etc.)", 3,
IF('Parse of Qs'!C81="From vending machines", 4,
IF('Parse of Qs'!C81 = "Other:", 5,
IF('Parse of Qs'!C81 = "", 6, ""))))))</f>
        <v>1</v>
      </c>
      <c r="N81" s="1">
        <f>IF('Parse of Qs'!D81="At cafés", 1,
IF('Parse of Qs'!D81="At home", 2,
IF('Parse of Qs'!D81="From convenience stores (7-Eleven, Lawson, etc.)", 3,
IF('Parse of Qs'!D81="From vending machines", 4,
IF('Parse of Qs'!D81 = "Other:", 5,
IF('Parse of Qs'!D81 = "", 6, ""))))))</f>
        <v>6</v>
      </c>
      <c r="O81" s="1">
        <f>IF('Parse of Qs'!E81="At cafés", 1,
IF('Parse of Qs'!E81="At home", 2,
IF('Parse of Qs'!E81="From convenience stores (7-Eleven, Lawson, etc.)", 3,
IF('Parse of Qs'!E81="From vending machines", 4,
IF('Parse of Qs'!E81 = "Other:", 5,
IF('Parse of Qs'!E81 = "", 6, ""))))))</f>
        <v>6</v>
      </c>
      <c r="P81" s="1">
        <f>IF('Parse of Qs'!F81="At cafés", 1,
IF('Parse of Qs'!F81="At home", 2,
IF('Parse of Qs'!F81="From convenience stores (7-Eleven, Lawson, etc.)", 3,
IF('Parse of Qs'!F81="From vending machines", 4,
IF('Parse of Qs'!F81 = "Other:", 5,
IF('Parse of Qs'!F81 = "", 6, ""))))))</f>
        <v>6</v>
      </c>
      <c r="Q81" s="1">
        <f>IF(OR('Master English Sheet'!R81="Every Day",'Master English Sheet'!R81="Daily"), 1,
IF('Master English Sheet'!R81="Several times a week", 2,
IF('Master English Sheet'!R81="Once a week", 3,
IF('Master English Sheet'!R81="A few times a month", 4,
IF('Master English Sheet'!R81="Rarely", 5,
IF('Master English Sheet'!R81="Never", 6, 
IF('Master English Sheet'!R81 = "", 7, "")))))))</f>
        <v>2</v>
      </c>
      <c r="R81" s="1">
        <f>IF('Master English Sheet'!S81="To relax or take a break", 1,
IF('Master English Sheet'!S81="To meet friends", 2,
IF('Master English Sheet'!S81="To study/work", 3,
IF('Master English Sheet'!S81="To try a new drink", 4,
IF('Master English Sheet'!S81="Out of habit", 5,
IF('Master English Sheet'!S81="Other:", 6, 
IF('Master English Sheet'!S81 = "", 7, "")))))))</f>
        <v>1</v>
      </c>
      <c r="S81" s="1">
        <f>IF('Master English Sheet'!U81="Quality of drinks", 1,
IF('Master English Sheet'!U81="Atmosphere", 2,
IF('Master English Sheet'!U81="Service", 3,
IF('Master English Sheet'!U81="Brand image", 4,
IF('Master English Sheet'!U81="Other:", 5, 
IF('Master English Sheet'!U81 = "", 6, ""))))))</f>
        <v>2</v>
      </c>
      <c r="T81" s="1">
        <f>IF('Master English Sheet'!W81="Yes, Western", 1,
IF('Master English Sheet'!W81="Yes, Global", 2,
IF('Master English Sheet'!W81="Yes,  Japanese", 3,
IF('Master English Sheet'!W81="No", 4,
IF('Master English Sheet'!W81="Unsure", 5, 
IF('Master English Sheet'!W81 = "", 6, ""))))))</f>
        <v>3</v>
      </c>
      <c r="U81" s="1">
        <f>IF('Master English Sheet'!X81="Yes, Western", 1,
IF('Master English Sheet'!X81="Yes, Global", 2,
IF('Master English Sheet'!X81="Yes,  Japanese", 3,
IF('Master English Sheet'!X81="No", 4,
IF('Master English Sheet'!X81="Unsure", 5, 
IF('Master English Sheet'!X81 = "", 6, ""))))))</f>
        <v>3</v>
      </c>
      <c r="V81" s="1">
        <f>'Master English Sheet'!Y81</f>
        <v>7</v>
      </c>
      <c r="W81" s="1">
        <f>'Master English Sheet'!Z81</f>
        <v>6</v>
      </c>
      <c r="X81" s="1">
        <f>'Master English Sheet'!AA81</f>
        <v>7</v>
      </c>
    </row>
    <row r="82">
      <c r="A82" s="6">
        <v>81.0</v>
      </c>
      <c r="B82" s="6">
        <v>1.0</v>
      </c>
      <c r="C82" s="1">
        <f>IF('Master English Sheet'!D82="18-25", 1,
IF('Master English Sheet'!D82="26-35", 2,
IF('Master English Sheet'!D82="36-45", 3,
IF('Master English Sheet'!D82="46-55", 4,
IF('Master English Sheet'!D82="56-65", 5,
IF('Master English Sheet'!D82="65+", 6, ""))))))</f>
        <v>3</v>
      </c>
      <c r="D82" s="1">
        <f>IF('Master English Sheet'!E82="Male", 1,
IF('Master English Sheet'!E82="Female", 2,
IF('Master English Sheet'!E82="Nonbinary", 3,
IF('Master English Sheet'!E82="Prefer not to say", 4, ""))))</f>
        <v>2</v>
      </c>
      <c r="E82" s="1">
        <f>IF('Master English Sheet'!F82="Under ¥3,000,000", 1,
IF('Master English Sheet'!F82="¥3,000,000 – ¥5,999,999", 2,
IF('Master English Sheet'!F82="¥6,000,000 – ¥8,999,999", 3,
IF('Master English Sheet'!F82="¥9,000,000 – ¥11,999,999", 4,
IF('Master English Sheet'!F82 = "¥12,000,000 or more", 5,
IF('Master English Sheet'!F82 = "Prefer not to say", 6, ""))))))</f>
        <v>6</v>
      </c>
      <c r="F82" s="1">
        <f>IF('Master English Sheet'!G82="Hokkaido", 1,
IF('Master English Sheet'!G82="Tohoku", 2,
IF('Master English Sheet'!G82="Kanto", 3,
IF('Master English Sheet'!G82="Chubu", 4,
IF('Master English Sheet'!G82 = "Kansai", 5,
IF('Master English Sheet'!G82 = "Chugoku", 6,
IF('Master English Sheet'!G82 = "Shikoku", 7,
IF('Master English Sheet'!G82 = "Kyushu", 8,
IF('Master English Sheet'!G82 = "Okinawa", 9, 
IF('Master English Sheet'!G82 = "I do not live in Japan", 10, ""))))))))))</f>
        <v>5</v>
      </c>
      <c r="G82" s="1">
        <f>IF('Master English Sheet'!H82="Daily", 1,
IF('Master English Sheet'!H82="Several times a week", 2,
IF('Master English Sheet'!H82="Once a week", 3,
IF('Master English Sheet'!H82 = "Rarely", 4,
IF('Master English Sheet'!H82 = "Never", 5, "")))))</f>
        <v>1</v>
      </c>
      <c r="H82" s="1">
        <f>IF('Master English Sheet'!I82="Pour Over", 1,
IF('Master English Sheet'!I82="Drip", 2,
IF('Master English Sheet'!I82="Latte", 3,
IF('Master English Sheet'!I82="Americano", 4,
IF('Master English Sheet'!I82 = "Cappuccino", 5,
IF('Master English Sheet'!I82 = "Flavored coffee (mocha, vanilla, caramel, etc.)", 6,
IF('Master English Sheet'!I82 = "Cold brew", 7,
IF('Master English Sheet'!I82 = "I don't drink coffee", 8,
IF('Master English Sheet'!I82 = "Other:", 9,
IF('Master English Sheet'!I82 ="", 10, ""))))))))))</f>
        <v>1</v>
      </c>
      <c r="I82" s="1">
        <f>IF('Master English Sheet'!K82="Daily", 1,
IF('Master English Sheet'!K82="Several times a week", 2,
IF('Master English Sheet'!K82="Once a week", 3,
IF('Master English Sheet'!K82 = "Rarely", 4,
IF('Master English Sheet'!K82 = "Never", 5, "")))))</f>
        <v>5</v>
      </c>
      <c r="J82" s="1">
        <f>IF('Master English Sheet'!L82="Usucha", 1,
IF('Master English Sheet'!L82="Koicha", 2,
IF('Master English Sheet'!L82="Matcha Latte", 3,
IF('Master English Sheet'!L82="I don’t drink matcha", 4,
IF('Master English Sheet'!L82 = "Other:", 5,
IF('Master English Sheet'!L82 ="", 6, ""))))))</f>
        <v>6</v>
      </c>
      <c r="K82" s="1">
        <f>IF('Parse of Qs'!A82="Taste/Flavor", 1,
IF('Parse of Qs'!A82="Price", 2,
IF('Parse of Qs'!A82="Energy boost/Caffeine", 3,
IF('Parse of Qs'!A82="Health benefits", 4,
IF('Parse of Qs'!A82 = "Social atmosphere", 5,
IF('Parse of Qs'!A82 ="Routine/Ritual", 6, 
IF('Parse of Qs'!A82 = "Branding/Imagery", 7,
IF('Parse of Qs'!A82 = "Social norms / influence (what people around me usually drink)", 8, 
IF('Parse of Qs'!A82 = "To try new things", 9,
IF('Parse of Qs'!A82 = "Other:", 10, 
IF('Parse of Qs'!A82 = "", 11, "")))))))))))</f>
        <v>11</v>
      </c>
      <c r="L82" s="1">
        <f>IF('Parse of Qs'!B82="Taste/Flavor", 1,
IF('Parse of Qs'!B82="Price", 2,
IF('Parse of Qs'!B82="Energy boost/Caffeine", 3,
IF('Parse of Qs'!B82="Health benefits", 4,
IF('Parse of Qs'!B82 = "Social atmosphere", 5,
IF('Parse of Qs'!B82 ="Routine/Ritual", 6, 
IF('Parse of Qs'!B82 = "Branding/Imagery", 7,
IF('Parse of Qs'!B82 = "Social norms / influence (what people around me usually drink)", 8, 
IF('Parse of Qs'!B82 = "To try new things", 9,
IF('Parse of Qs'!B82 = "Other:", 10, 
IF('Parse of Qs'!B82 = "", 11, "")))))))))))</f>
        <v>11</v>
      </c>
      <c r="M82" s="1">
        <f>IF('Parse of Qs'!C82="At cafés", 1,
IF('Parse of Qs'!C82="At home", 2,
IF('Parse of Qs'!C82="From convenience stores (7-Eleven, Lawson, etc.)", 3,
IF('Parse of Qs'!C82="From vending machines", 4,
IF('Parse of Qs'!C82 = "Other:", 5,
IF('Parse of Qs'!C82 = "", 6, ""))))))</f>
        <v>1</v>
      </c>
      <c r="N82" s="1">
        <f>IF('Parse of Qs'!D82="At cafés", 1,
IF('Parse of Qs'!D82="At home", 2,
IF('Parse of Qs'!D82="From convenience stores (7-Eleven, Lawson, etc.)", 3,
IF('Parse of Qs'!D82="From vending machines", 4,
IF('Parse of Qs'!D82 = "Other:", 5,
IF('Parse of Qs'!D82 = "", 6, ""))))))</f>
        <v>6</v>
      </c>
      <c r="O82" s="1">
        <f>IF('Parse of Qs'!E82="At cafés", 1,
IF('Parse of Qs'!E82="At home", 2,
IF('Parse of Qs'!E82="From convenience stores (7-Eleven, Lawson, etc.)", 3,
IF('Parse of Qs'!E82="From vending machines", 4,
IF('Parse of Qs'!E82 = "Other:", 5,
IF('Parse of Qs'!E82 = "", 6, ""))))))</f>
        <v>6</v>
      </c>
      <c r="P82" s="1">
        <f>IF('Parse of Qs'!F82="At cafés", 1,
IF('Parse of Qs'!F82="At home", 2,
IF('Parse of Qs'!F82="From convenience stores (7-Eleven, Lawson, etc.)", 3,
IF('Parse of Qs'!F82="From vending machines", 4,
IF('Parse of Qs'!F82 = "Other:", 5,
IF('Parse of Qs'!F82 = "", 6, ""))))))</f>
        <v>6</v>
      </c>
      <c r="Q82" s="1">
        <f>IF(OR('Master English Sheet'!R82="Every Day",'Master English Sheet'!R82="Daily"), 1,
IF('Master English Sheet'!R82="Several times a week", 2,
IF('Master English Sheet'!R82="Once a week", 3,
IF('Master English Sheet'!R82="A few times a month", 4,
IF('Master English Sheet'!R82="Rarely", 5,
IF('Master English Sheet'!R82="Never", 6, 
IF('Master English Sheet'!R82 = "", 7, "")))))))</f>
        <v>4</v>
      </c>
      <c r="R82" s="1">
        <f>IF('Master English Sheet'!S82="To relax or take a break", 1,
IF('Master English Sheet'!S82="To meet friends", 2,
IF('Master English Sheet'!S82="To study/work", 3,
IF('Master English Sheet'!S82="To try a new drink", 4,
IF('Master English Sheet'!S82="Out of habit", 5,
IF('Master English Sheet'!S82="Other:", 6, 
IF('Master English Sheet'!S82 = "", 7, "")))))))</f>
        <v>2</v>
      </c>
      <c r="S82" s="1">
        <f>IF('Master English Sheet'!U82="Quality of drinks", 1,
IF('Master English Sheet'!U82="Atmosphere", 2,
IF('Master English Sheet'!U82="Service", 3,
IF('Master English Sheet'!U82="Brand image", 4,
IF('Master English Sheet'!U82="Other:", 5, 
IF('Master English Sheet'!U82 = "", 6, ""))))))</f>
        <v>1</v>
      </c>
      <c r="T82" s="1">
        <f>IF('Master English Sheet'!W82="Yes, Western", 1,
IF('Master English Sheet'!W82="Yes, Global", 2,
IF('Master English Sheet'!W82="Yes,  Japanese", 3,
IF('Master English Sheet'!W82="No", 4,
IF('Master English Sheet'!W82="Unsure", 5, 
IF('Master English Sheet'!W82 = "", 6, ""))))))</f>
        <v>5</v>
      </c>
      <c r="U82" s="1">
        <f>IF('Master English Sheet'!X82="Yes, Western", 1,
IF('Master English Sheet'!X82="Yes, Global", 2,
IF('Master English Sheet'!X82="Yes,  Japanese", 3,
IF('Master English Sheet'!X82="No", 4,
IF('Master English Sheet'!X82="Unsure", 5, 
IF('Master English Sheet'!X82 = "", 6, ""))))))</f>
        <v>3</v>
      </c>
      <c r="V82" s="1">
        <f>'Master English Sheet'!Y82</f>
        <v>7</v>
      </c>
      <c r="W82" s="1">
        <f>'Master English Sheet'!Z82</f>
        <v>7</v>
      </c>
      <c r="X82" s="1">
        <f>'Master English Sheet'!AA82</f>
        <v>3</v>
      </c>
    </row>
    <row r="83">
      <c r="A83" s="6">
        <v>82.0</v>
      </c>
      <c r="B83" s="6">
        <v>1.0</v>
      </c>
      <c r="C83" s="1">
        <f>IF('Master English Sheet'!D83="18-25", 1,
IF('Master English Sheet'!D83="26-35", 2,
IF('Master English Sheet'!D83="36-45", 3,
IF('Master English Sheet'!D83="46-55", 4,
IF('Master English Sheet'!D83="56-65", 5,
IF('Master English Sheet'!D83="65+", 6, ""))))))</f>
        <v>3</v>
      </c>
      <c r="D83" s="1">
        <f>IF('Master English Sheet'!E83="Male", 1,
IF('Master English Sheet'!E83="Female", 2,
IF('Master English Sheet'!E83="Nonbinary", 3,
IF('Master English Sheet'!E83="Prefer not to say", 4, ""))))</f>
        <v>2</v>
      </c>
      <c r="E83" s="1">
        <f>IF('Master English Sheet'!F83="Under ¥3,000,000", 1,
IF('Master English Sheet'!F83="¥3,000,000 – ¥5,999,999", 2,
IF('Master English Sheet'!F83="¥6,000,000 – ¥8,999,999", 3,
IF('Master English Sheet'!F83="¥9,000,000 – ¥11,999,999", 4,
IF('Master English Sheet'!F83 = "¥12,000,000 or more", 5,
IF('Master English Sheet'!F83 = "Prefer not to say", 6, ""))))))</f>
        <v>3</v>
      </c>
      <c r="F83" s="1">
        <f>IF('Master English Sheet'!G83="Hokkaido", 1,
IF('Master English Sheet'!G83="Tohoku", 2,
IF('Master English Sheet'!G83="Kanto", 3,
IF('Master English Sheet'!G83="Chubu", 4,
IF('Master English Sheet'!G83 = "Kansai", 5,
IF('Master English Sheet'!G83 = "Chugoku", 6,
IF('Master English Sheet'!G83 = "Shikoku", 7,
IF('Master English Sheet'!G83 = "Kyushu", 8,
IF('Master English Sheet'!G83 = "Okinawa", 9, 
IF('Master English Sheet'!G83 = "I do not live in Japan", 10, ""))))))))))</f>
        <v>1</v>
      </c>
      <c r="G83" s="1">
        <f>IF('Master English Sheet'!H83="Daily", 1,
IF('Master English Sheet'!H83="Several times a week", 2,
IF('Master English Sheet'!H83="Once a week", 3,
IF('Master English Sheet'!H83 = "Rarely", 4,
IF('Master English Sheet'!H83 = "Never", 5, "")))))</f>
        <v>1</v>
      </c>
      <c r="H83" s="1">
        <f>IF('Master English Sheet'!I83="Pour Over", 1,
IF('Master English Sheet'!I83="Drip", 2,
IF('Master English Sheet'!I83="Latte", 3,
IF('Master English Sheet'!I83="Americano", 4,
IF('Master English Sheet'!I83 = "Cappuccino", 5,
IF('Master English Sheet'!I83 = "Flavored coffee (mocha, vanilla, caramel, etc.)", 6,
IF('Master English Sheet'!I83 = "Cold brew", 7,
IF('Master English Sheet'!I83 = "I don't drink coffee", 8,
IF('Master English Sheet'!I83 = "Other:", 9,
IF('Master English Sheet'!I83 ="", 10, ""))))))))))</f>
        <v>2</v>
      </c>
      <c r="I83" s="1">
        <f>IF('Master English Sheet'!K83="Daily", 1,
IF('Master English Sheet'!K83="Several times a week", 2,
IF('Master English Sheet'!K83="Once a week", 3,
IF('Master English Sheet'!K83 = "Rarely", 4,
IF('Master English Sheet'!K83 = "Never", 5, "")))))</f>
        <v>4</v>
      </c>
      <c r="J83" s="1">
        <f>IF('Master English Sheet'!L83="Usucha", 1,
IF('Master English Sheet'!L83="Koicha", 2,
IF('Master English Sheet'!L83="Matcha Latte", 3,
IF('Master English Sheet'!L83="I don’t drink matcha", 4,
IF('Master English Sheet'!L83 = "Other:", 5,
IF('Master English Sheet'!L83 ="", 6, ""))))))</f>
        <v>1</v>
      </c>
      <c r="K83" s="1">
        <f>IF('Parse of Qs'!A83="Taste/Flavor", 1,
IF('Parse of Qs'!A83="Price", 2,
IF('Parse of Qs'!A83="Energy boost/Caffeine", 3,
IF('Parse of Qs'!A83="Health benefits", 4,
IF('Parse of Qs'!A83 = "Social atmosphere", 5,
IF('Parse of Qs'!A83 ="Routine/Ritual", 6, 
IF('Parse of Qs'!A83 = "Branding/Imagery", 7,
IF('Parse of Qs'!A83 = "Social norms / influence (what people around me usually drink)", 8, 
IF('Parse of Qs'!A83 = "To try new things", 9,
IF('Parse of Qs'!A83 = "Other:", 10, 
IF('Parse of Qs'!A83 = "", 11, "")))))))))))</f>
        <v>4</v>
      </c>
      <c r="L83" s="1">
        <f>IF('Parse of Qs'!B83="Taste/Flavor", 1,
IF('Parse of Qs'!B83="Price", 2,
IF('Parse of Qs'!B83="Energy boost/Caffeine", 3,
IF('Parse of Qs'!B83="Health benefits", 4,
IF('Parse of Qs'!B83 = "Social atmosphere", 5,
IF('Parse of Qs'!B83 ="Routine/Ritual", 6, 
IF('Parse of Qs'!B83 = "Branding/Imagery", 7,
IF('Parse of Qs'!B83 = "Social norms / influence (what people around me usually drink)", 8, 
IF('Parse of Qs'!B83 = "To try new things", 9,
IF('Parse of Qs'!B83 = "Other:", 10, 
IF('Parse of Qs'!B83 = "", 11, "")))))))))))</f>
        <v>11</v>
      </c>
      <c r="M83" s="1">
        <f>IF('Parse of Qs'!C83="At cafés", 1,
IF('Parse of Qs'!C83="At home", 2,
IF('Parse of Qs'!C83="From convenience stores (7-Eleven, Lawson, etc.)", 3,
IF('Parse of Qs'!C83="From vending machines", 4,
IF('Parse of Qs'!C83 = "Other:", 5,
IF('Parse of Qs'!C83 = "", 6, ""))))))</f>
        <v>2</v>
      </c>
      <c r="N83" s="1">
        <f>IF('Parse of Qs'!D83="At cafés", 1,
IF('Parse of Qs'!D83="At home", 2,
IF('Parse of Qs'!D83="From convenience stores (7-Eleven, Lawson, etc.)", 3,
IF('Parse of Qs'!D83="From vending machines", 4,
IF('Parse of Qs'!D83 = "Other:", 5,
IF('Parse of Qs'!D83 = "", 6, ""))))))</f>
        <v>6</v>
      </c>
      <c r="O83" s="1">
        <f>IF('Parse of Qs'!E83="At cafés", 1,
IF('Parse of Qs'!E83="At home", 2,
IF('Parse of Qs'!E83="From convenience stores (7-Eleven, Lawson, etc.)", 3,
IF('Parse of Qs'!E83="From vending machines", 4,
IF('Parse of Qs'!E83 = "Other:", 5,
IF('Parse of Qs'!E83 = "", 6, ""))))))</f>
        <v>6</v>
      </c>
      <c r="P83" s="1">
        <f>IF('Parse of Qs'!F83="At cafés", 1,
IF('Parse of Qs'!F83="At home", 2,
IF('Parse of Qs'!F83="From convenience stores (7-Eleven, Lawson, etc.)", 3,
IF('Parse of Qs'!F83="From vending machines", 4,
IF('Parse of Qs'!F83 = "Other:", 5,
IF('Parse of Qs'!F83 = "", 6, ""))))))</f>
        <v>6</v>
      </c>
      <c r="Q83" s="1">
        <f>IF(OR('Master English Sheet'!R83="Every Day",'Master English Sheet'!R83="Daily"), 1,
IF('Master English Sheet'!R83="Several times a week", 2,
IF('Master English Sheet'!R83="Once a week", 3,
IF('Master English Sheet'!R83="A few times a month", 4,
IF('Master English Sheet'!R83="Rarely", 5,
IF('Master English Sheet'!R83="Never", 6, 
IF('Master English Sheet'!R83 = "", 7, "")))))))</f>
        <v>4</v>
      </c>
      <c r="R83" s="1">
        <f>IF('Master English Sheet'!S83="To relax or take a break", 1,
IF('Master English Sheet'!S83="To meet friends", 2,
IF('Master English Sheet'!S83="To study/work", 3,
IF('Master English Sheet'!S83="To try a new drink", 4,
IF('Master English Sheet'!S83="Out of habit", 5,
IF('Master English Sheet'!S83="Other:", 6, 
IF('Master English Sheet'!S83 = "", 7, "")))))))</f>
        <v>1</v>
      </c>
      <c r="S83" s="1">
        <f>IF('Master English Sheet'!U83="Quality of drinks", 1,
IF('Master English Sheet'!U83="Atmosphere", 2,
IF('Master English Sheet'!U83="Service", 3,
IF('Master English Sheet'!U83="Brand image", 4,
IF('Master English Sheet'!U83="Other:", 5, 
IF('Master English Sheet'!U83 = "", 6, ""))))))</f>
        <v>1</v>
      </c>
      <c r="T83" s="1">
        <f>IF('Master English Sheet'!W83="Yes, Western", 1,
IF('Master English Sheet'!W83="Yes, Global", 2,
IF('Master English Sheet'!W83="Yes,  Japanese", 3,
IF('Master English Sheet'!W83="No", 4,
IF('Master English Sheet'!W83="Unsure", 5, 
IF('Master English Sheet'!W83 = "", 6, ""))))))</f>
        <v>2</v>
      </c>
      <c r="U83" s="1">
        <f>IF('Master English Sheet'!X83="Yes, Western", 1,
IF('Master English Sheet'!X83="Yes, Global", 2,
IF('Master English Sheet'!X83="Yes,  Japanese", 3,
IF('Master English Sheet'!X83="No", 4,
IF('Master English Sheet'!X83="Unsure", 5, 
IF('Master English Sheet'!X83 = "", 6, ""))))))</f>
        <v>3</v>
      </c>
      <c r="V83" s="1">
        <f>'Master English Sheet'!Y83</f>
        <v>6</v>
      </c>
      <c r="W83" s="1">
        <f>'Master English Sheet'!Z83</f>
        <v>6</v>
      </c>
      <c r="X83" s="1">
        <f>'Master English Sheet'!AA83</f>
        <v>6</v>
      </c>
    </row>
    <row r="84">
      <c r="A84" s="6">
        <v>83.0</v>
      </c>
      <c r="B84" s="6">
        <v>1.0</v>
      </c>
      <c r="C84" s="1">
        <f>IF('Master English Sheet'!D84="18-25", 1,
IF('Master English Sheet'!D84="26-35", 2,
IF('Master English Sheet'!D84="36-45", 3,
IF('Master English Sheet'!D84="46-55", 4,
IF('Master English Sheet'!D84="56-65", 5,
IF('Master English Sheet'!D84="65+", 6, ""))))))</f>
        <v>1</v>
      </c>
      <c r="D84" s="1">
        <f>IF('Master English Sheet'!E84="Male", 1,
IF('Master English Sheet'!E84="Female", 2,
IF('Master English Sheet'!E84="Nonbinary", 3,
IF('Master English Sheet'!E84="Prefer not to say", 4, ""))))</f>
        <v>1</v>
      </c>
      <c r="E84" s="1">
        <f>IF('Master English Sheet'!F84="Under ¥3,000,000", 1,
IF('Master English Sheet'!F84="¥3,000,000 – ¥5,999,999", 2,
IF('Master English Sheet'!F84="¥6,000,000 – ¥8,999,999", 3,
IF('Master English Sheet'!F84="¥9,000,000 – ¥11,999,999", 4,
IF('Master English Sheet'!F84 = "¥12,000,000 or more", 5,
IF('Master English Sheet'!F84 = "Prefer not to say", 6, ""))))))</f>
        <v>2</v>
      </c>
      <c r="F84" s="1">
        <f>IF('Master English Sheet'!G84="Hokkaido", 1,
IF('Master English Sheet'!G84="Tohoku", 2,
IF('Master English Sheet'!G84="Kanto", 3,
IF('Master English Sheet'!G84="Chubu", 4,
IF('Master English Sheet'!G84 = "Kansai", 5,
IF('Master English Sheet'!G84 = "Chugoku", 6,
IF('Master English Sheet'!G84 = "Shikoku", 7,
IF('Master English Sheet'!G84 = "Kyushu", 8,
IF('Master English Sheet'!G84 = "Okinawa", 9, 
IF('Master English Sheet'!G84 = "I do not live in Japan", 10, ""))))))))))</f>
        <v>2</v>
      </c>
      <c r="G84" s="1">
        <f>IF('Master English Sheet'!H84="Daily", 1,
IF('Master English Sheet'!H84="Several times a week", 2,
IF('Master English Sheet'!H84="Once a week", 3,
IF('Master English Sheet'!H84 = "Rarely", 4,
IF('Master English Sheet'!H84 = "Never", 5, "")))))</f>
        <v>1</v>
      </c>
      <c r="H84" s="1">
        <f>IF('Master English Sheet'!I84="Pour Over", 1,
IF('Master English Sheet'!I84="Drip", 2,
IF('Master English Sheet'!I84="Latte", 3,
IF('Master English Sheet'!I84="Americano", 4,
IF('Master English Sheet'!I84 = "Cappuccino", 5,
IF('Master English Sheet'!I84 = "Flavored coffee (mocha, vanilla, caramel, etc.)", 6,
IF('Master English Sheet'!I84 = "Cold brew", 7,
IF('Master English Sheet'!I84 = "I don't drink coffee", 8,
IF('Master English Sheet'!I84 = "Other:", 9,
IF('Master English Sheet'!I84 ="", 10, ""))))))))))</f>
        <v>1</v>
      </c>
      <c r="I84" s="1">
        <f>IF('Master English Sheet'!K84="Daily", 1,
IF('Master English Sheet'!K84="Several times a week", 2,
IF('Master English Sheet'!K84="Once a week", 3,
IF('Master English Sheet'!K84 = "Rarely", 4,
IF('Master English Sheet'!K84 = "Never", 5, "")))))</f>
        <v>4</v>
      </c>
      <c r="J84" s="1">
        <f>IF('Master English Sheet'!L84="Usucha", 1,
IF('Master English Sheet'!L84="Koicha", 2,
IF('Master English Sheet'!L84="Matcha Latte", 3,
IF('Master English Sheet'!L84="I don’t drink matcha", 4,
IF('Master English Sheet'!L84 = "Other:", 5,
IF('Master English Sheet'!L84 ="", 6, ""))))))</f>
        <v>1</v>
      </c>
      <c r="K84" s="1">
        <f>IF('Parse of Qs'!A84="Taste/Flavor", 1,
IF('Parse of Qs'!A84="Price", 2,
IF('Parse of Qs'!A84="Energy boost/Caffeine", 3,
IF('Parse of Qs'!A84="Health benefits", 4,
IF('Parse of Qs'!A84 = "Social atmosphere", 5,
IF('Parse of Qs'!A84 ="Routine/Ritual", 6, 
IF('Parse of Qs'!A84 = "Branding/Imagery", 7,
IF('Parse of Qs'!A84 = "Social norms / influence (what people around me usually drink)", 8, 
IF('Parse of Qs'!A84 = "To try new things", 9,
IF('Parse of Qs'!A84 = "Other:", 10, 
IF('Parse of Qs'!A84 = "", 11, "")))))))))))</f>
        <v>6</v>
      </c>
      <c r="L84" s="1">
        <f>IF('Parse of Qs'!B84="Taste/Flavor", 1,
IF('Parse of Qs'!B84="Price", 2,
IF('Parse of Qs'!B84="Energy boost/Caffeine", 3,
IF('Parse of Qs'!B84="Health benefits", 4,
IF('Parse of Qs'!B84 = "Social atmosphere", 5,
IF('Parse of Qs'!B84 ="Routine/Ritual", 6, 
IF('Parse of Qs'!B84 = "Branding/Imagery", 7,
IF('Parse of Qs'!B84 = "Social norms / influence (what people around me usually drink)", 8, 
IF('Parse of Qs'!B84 = "To try new things", 9,
IF('Parse of Qs'!B84 = "Other:", 10, 
IF('Parse of Qs'!B84 = "", 11, "")))))))))))</f>
        <v>11</v>
      </c>
      <c r="M84" s="1">
        <f>IF('Parse of Qs'!C84="At cafés", 1,
IF('Parse of Qs'!C84="At home", 2,
IF('Parse of Qs'!C84="From convenience stores (7-Eleven, Lawson, etc.)", 3,
IF('Parse of Qs'!C84="From vending machines", 4,
IF('Parse of Qs'!C84 = "Other:", 5,
IF('Parse of Qs'!C84 = "", 6, ""))))))</f>
        <v>1</v>
      </c>
      <c r="N84" s="1">
        <f>IF('Parse of Qs'!D84="At cafés", 1,
IF('Parse of Qs'!D84="At home", 2,
IF('Parse of Qs'!D84="From convenience stores (7-Eleven, Lawson, etc.)", 3,
IF('Parse of Qs'!D84="From vending machines", 4,
IF('Parse of Qs'!D84 = "Other:", 5,
IF('Parse of Qs'!D84 = "", 6, ""))))))</f>
        <v>6</v>
      </c>
      <c r="O84" s="1">
        <f>IF('Parse of Qs'!E84="At cafés", 1,
IF('Parse of Qs'!E84="At home", 2,
IF('Parse of Qs'!E84="From convenience stores (7-Eleven, Lawson, etc.)", 3,
IF('Parse of Qs'!E84="From vending machines", 4,
IF('Parse of Qs'!E84 = "Other:", 5,
IF('Parse of Qs'!E84 = "", 6, ""))))))</f>
        <v>6</v>
      </c>
      <c r="P84" s="1">
        <f>IF('Parse of Qs'!F84="At cafés", 1,
IF('Parse of Qs'!F84="At home", 2,
IF('Parse of Qs'!F84="From convenience stores (7-Eleven, Lawson, etc.)", 3,
IF('Parse of Qs'!F84="From vending machines", 4,
IF('Parse of Qs'!F84 = "Other:", 5,
IF('Parse of Qs'!F84 = "", 6, ""))))))</f>
        <v>6</v>
      </c>
      <c r="Q84" s="1">
        <f>IF(OR('Master English Sheet'!R84="Every Day",'Master English Sheet'!R84="Daily"), 1,
IF('Master English Sheet'!R84="Several times a week", 2,
IF('Master English Sheet'!R84="Once a week", 3,
IF('Master English Sheet'!R84="A few times a month", 4,
IF('Master English Sheet'!R84="Rarely", 5,
IF('Master English Sheet'!R84="Never", 6, 
IF('Master English Sheet'!R84 = "", 7, "")))))))</f>
        <v>2</v>
      </c>
      <c r="R84" s="1">
        <f>IF('Master English Sheet'!S84="To relax or take a break", 1,
IF('Master English Sheet'!S84="To meet friends", 2,
IF('Master English Sheet'!S84="To study/work", 3,
IF('Master English Sheet'!S84="To try a new drink", 4,
IF('Master English Sheet'!S84="Out of habit", 5,
IF('Master English Sheet'!S84="Other:", 6, 
IF('Master English Sheet'!S84 = "", 7, "")))))))</f>
        <v>1</v>
      </c>
      <c r="S84" s="1">
        <f>IF('Master English Sheet'!U84="Quality of drinks", 1,
IF('Master English Sheet'!U84="Atmosphere", 2,
IF('Master English Sheet'!U84="Service", 3,
IF('Master English Sheet'!U84="Brand image", 4,
IF('Master English Sheet'!U84="Other:", 5, 
IF('Master English Sheet'!U84 = "", 6, ""))))))</f>
        <v>3</v>
      </c>
      <c r="T84" s="1">
        <f>IF('Master English Sheet'!W84="Yes, Western", 1,
IF('Master English Sheet'!W84="Yes, Global", 2,
IF('Master English Sheet'!W84="Yes,  Japanese", 3,
IF('Master English Sheet'!W84="No", 4,
IF('Master English Sheet'!W84="Unsure", 5, 
IF('Master English Sheet'!W84 = "", 6, ""))))))</f>
        <v>2</v>
      </c>
      <c r="U84" s="1">
        <f>IF('Master English Sheet'!X84="Yes, Western", 1,
IF('Master English Sheet'!X84="Yes, Global", 2,
IF('Master English Sheet'!X84="Yes,  Japanese", 3,
IF('Master English Sheet'!X84="No", 4,
IF('Master English Sheet'!X84="Unsure", 5, 
IF('Master English Sheet'!X84 = "", 6, ""))))))</f>
        <v>3</v>
      </c>
      <c r="V84" s="1">
        <f>'Master English Sheet'!Y84</f>
        <v>7</v>
      </c>
      <c r="W84" s="1">
        <f>'Master English Sheet'!Z84</f>
        <v>7</v>
      </c>
      <c r="X84" s="1">
        <f>'Master English Sheet'!AA84</f>
        <v>7</v>
      </c>
    </row>
    <row r="85">
      <c r="A85" s="6">
        <v>84.0</v>
      </c>
      <c r="B85" s="6">
        <v>1.0</v>
      </c>
      <c r="C85" s="1">
        <f>IF('Master English Sheet'!D85="18-25", 1,
IF('Master English Sheet'!D85="26-35", 2,
IF('Master English Sheet'!D85="36-45", 3,
IF('Master English Sheet'!D85="46-55", 4,
IF('Master English Sheet'!D85="56-65", 5,
IF('Master English Sheet'!D85="65+", 6, ""))))))</f>
        <v>1</v>
      </c>
      <c r="D85" s="1">
        <f>IF('Master English Sheet'!E85="Male", 1,
IF('Master English Sheet'!E85="Female", 2,
IF('Master English Sheet'!E85="Nonbinary", 3,
IF('Master English Sheet'!E85="Prefer not to say", 4, ""))))</f>
        <v>1</v>
      </c>
      <c r="E85" s="1">
        <f>IF('Master English Sheet'!F85="Under ¥3,000,000", 1,
IF('Master English Sheet'!F85="¥3,000,000 – ¥5,999,999", 2,
IF('Master English Sheet'!F85="¥6,000,000 – ¥8,999,999", 3,
IF('Master English Sheet'!F85="¥9,000,000 – ¥11,999,999", 4,
IF('Master English Sheet'!F85 = "¥12,000,000 or more", 5,
IF('Master English Sheet'!F85 = "Prefer not to say", 6, ""))))))</f>
        <v>2</v>
      </c>
      <c r="F85" s="1">
        <f>IF('Master English Sheet'!G85="Hokkaido", 1,
IF('Master English Sheet'!G85="Tohoku", 2,
IF('Master English Sheet'!G85="Kanto", 3,
IF('Master English Sheet'!G85="Chubu", 4,
IF('Master English Sheet'!G85 = "Kansai", 5,
IF('Master English Sheet'!G85 = "Chugoku", 6,
IF('Master English Sheet'!G85 = "Shikoku", 7,
IF('Master English Sheet'!G85 = "Kyushu", 8,
IF('Master English Sheet'!G85 = "Okinawa", 9, 
IF('Master English Sheet'!G85 = "I do not live in Japan", 10, ""))))))))))</f>
        <v>3</v>
      </c>
      <c r="G85" s="1">
        <f>IF('Master English Sheet'!H85="Daily", 1,
IF('Master English Sheet'!H85="Several times a week", 2,
IF('Master English Sheet'!H85="Once a week", 3,
IF('Master English Sheet'!H85 = "Rarely", 4,
IF('Master English Sheet'!H85 = "Never", 5, "")))))</f>
        <v>1</v>
      </c>
      <c r="H85" s="1">
        <f>IF('Master English Sheet'!I85="Pour Over", 1,
IF('Master English Sheet'!I85="Drip", 2,
IF('Master English Sheet'!I85="Latte", 3,
IF('Master English Sheet'!I85="Americano", 4,
IF('Master English Sheet'!I85 = "Cappuccino", 5,
IF('Master English Sheet'!I85 = "Flavored coffee (mocha, vanilla, caramel, etc.)", 6,
IF('Master English Sheet'!I85 = "Cold brew", 7,
IF('Master English Sheet'!I85 = "I don't drink coffee", 8,
IF('Master English Sheet'!I85 = "Other:", 9,
IF('Master English Sheet'!I85 ="", 10, ""))))))))))</f>
        <v>1</v>
      </c>
      <c r="I85" s="1">
        <f>IF('Master English Sheet'!K85="Daily", 1,
IF('Master English Sheet'!K85="Several times a week", 2,
IF('Master English Sheet'!K85="Once a week", 3,
IF('Master English Sheet'!K85 = "Rarely", 4,
IF('Master English Sheet'!K85 = "Never", 5, "")))))</f>
        <v>4</v>
      </c>
      <c r="J85" s="1">
        <f>IF('Master English Sheet'!L85="Usucha", 1,
IF('Master English Sheet'!L85="Koicha", 2,
IF('Master English Sheet'!L85="Matcha Latte", 3,
IF('Master English Sheet'!L85="I don’t drink matcha", 4,
IF('Master English Sheet'!L85 = "Other:", 5,
IF('Master English Sheet'!L85 ="", 6, ""))))))</f>
        <v>1</v>
      </c>
      <c r="K85" s="1">
        <f>IF('Parse of Qs'!A85="Taste/Flavor", 1,
IF('Parse of Qs'!A85="Price", 2,
IF('Parse of Qs'!A85="Energy boost/Caffeine", 3,
IF('Parse of Qs'!A85="Health benefits", 4,
IF('Parse of Qs'!A85 = "Social atmosphere", 5,
IF('Parse of Qs'!A85 ="Routine/Ritual", 6, 
IF('Parse of Qs'!A85 = "Branding/Imagery", 7,
IF('Parse of Qs'!A85 = "Social norms / influence (what people around me usually drink)", 8, 
IF('Parse of Qs'!A85 = "To try new things", 9,
IF('Parse of Qs'!A85 = "Other:", 10, 
IF('Parse of Qs'!A85 = "", 11, "")))))))))))</f>
        <v>6</v>
      </c>
      <c r="L85" s="1">
        <f>IF('Parse of Qs'!B85="Taste/Flavor", 1,
IF('Parse of Qs'!B85="Price", 2,
IF('Parse of Qs'!B85="Energy boost/Caffeine", 3,
IF('Parse of Qs'!B85="Health benefits", 4,
IF('Parse of Qs'!B85 = "Social atmosphere", 5,
IF('Parse of Qs'!B85 ="Routine/Ritual", 6, 
IF('Parse of Qs'!B85 = "Branding/Imagery", 7,
IF('Parse of Qs'!B85 = "Social norms / influence (what people around me usually drink)", 8, 
IF('Parse of Qs'!B85 = "To try new things", 9,
IF('Parse of Qs'!B85 = "Other:", 10, 
IF('Parse of Qs'!B85 = "", 11, "")))))))))))</f>
        <v>11</v>
      </c>
      <c r="M85" s="1">
        <f>IF('Parse of Qs'!C85="At cafés", 1,
IF('Parse of Qs'!C85="At home", 2,
IF('Parse of Qs'!C85="From convenience stores (7-Eleven, Lawson, etc.)", 3,
IF('Parse of Qs'!C85="From vending machines", 4,
IF('Parse of Qs'!C85 = "Other:", 5,
IF('Parse of Qs'!C85 = "", 6, ""))))))</f>
        <v>5</v>
      </c>
      <c r="N85" s="1">
        <f>IF('Parse of Qs'!D85="At cafés", 1,
IF('Parse of Qs'!D85="At home", 2,
IF('Parse of Qs'!D85="From convenience stores (7-Eleven, Lawson, etc.)", 3,
IF('Parse of Qs'!D85="From vending machines", 4,
IF('Parse of Qs'!D85 = "Other:", 5,
IF('Parse of Qs'!D85 = "", 6, ""))))))</f>
        <v>6</v>
      </c>
      <c r="O85" s="1">
        <f>IF('Parse of Qs'!E85="At cafés", 1,
IF('Parse of Qs'!E85="At home", 2,
IF('Parse of Qs'!E85="From convenience stores (7-Eleven, Lawson, etc.)", 3,
IF('Parse of Qs'!E85="From vending machines", 4,
IF('Parse of Qs'!E85 = "Other:", 5,
IF('Parse of Qs'!E85 = "", 6, ""))))))</f>
        <v>6</v>
      </c>
      <c r="P85" s="1">
        <f>IF('Parse of Qs'!F85="At cafés", 1,
IF('Parse of Qs'!F85="At home", 2,
IF('Parse of Qs'!F85="From convenience stores (7-Eleven, Lawson, etc.)", 3,
IF('Parse of Qs'!F85="From vending machines", 4,
IF('Parse of Qs'!F85 = "Other:", 5,
IF('Parse of Qs'!F85 = "", 6, ""))))))</f>
        <v>6</v>
      </c>
      <c r="Q85" s="1">
        <f>IF(OR('Master English Sheet'!R85="Every Day",'Master English Sheet'!R85="Daily"), 1,
IF('Master English Sheet'!R85="Several times a week", 2,
IF('Master English Sheet'!R85="Once a week", 3,
IF('Master English Sheet'!R85="A few times a month", 4,
IF('Master English Sheet'!R85="Rarely", 5,
IF('Master English Sheet'!R85="Never", 6, 
IF('Master English Sheet'!R85 = "", 7, "")))))))</f>
        <v>4</v>
      </c>
      <c r="R85" s="1">
        <f>IF('Master English Sheet'!S85="To relax or take a break", 1,
IF('Master English Sheet'!S85="To meet friends", 2,
IF('Master English Sheet'!S85="To study/work", 3,
IF('Master English Sheet'!S85="To try a new drink", 4,
IF('Master English Sheet'!S85="Out of habit", 5,
IF('Master English Sheet'!S85="Other:", 6, 
IF('Master English Sheet'!S85 = "", 7, "")))))))</f>
        <v>4</v>
      </c>
      <c r="S85" s="1">
        <f>IF('Master English Sheet'!U85="Quality of drinks", 1,
IF('Master English Sheet'!U85="Atmosphere", 2,
IF('Master English Sheet'!U85="Service", 3,
IF('Master English Sheet'!U85="Brand image", 4,
IF('Master English Sheet'!U85="Other:", 5, 
IF('Master English Sheet'!U85 = "", 6, ""))))))</f>
        <v>2</v>
      </c>
      <c r="T85" s="1">
        <f>IF('Master English Sheet'!W85="Yes, Western", 1,
IF('Master English Sheet'!W85="Yes, Global", 2,
IF('Master English Sheet'!W85="Yes,  Japanese", 3,
IF('Master English Sheet'!W85="No", 4,
IF('Master English Sheet'!W85="Unsure", 5, 
IF('Master English Sheet'!W85 = "", 6, ""))))))</f>
        <v>2</v>
      </c>
      <c r="U85" s="1">
        <f>IF('Master English Sheet'!X85="Yes, Western", 1,
IF('Master English Sheet'!X85="Yes, Global", 2,
IF('Master English Sheet'!X85="Yes,  Japanese", 3,
IF('Master English Sheet'!X85="No", 4,
IF('Master English Sheet'!X85="Unsure", 5, 
IF('Master English Sheet'!X85 = "", 6, ""))))))</f>
        <v>2</v>
      </c>
      <c r="V85" s="1">
        <f>'Master English Sheet'!Y85</f>
        <v>6</v>
      </c>
      <c r="W85" s="1">
        <f>'Master English Sheet'!Z85</f>
        <v>2</v>
      </c>
      <c r="X85" s="1" t="str">
        <f>'Master English Sheet'!AA85</f>
        <v/>
      </c>
    </row>
    <row r="86">
      <c r="A86" s="6">
        <v>85.0</v>
      </c>
      <c r="B86" s="6">
        <v>1.0</v>
      </c>
      <c r="C86" s="1">
        <f>IF('Master English Sheet'!D86="18-25", 1,
IF('Master English Sheet'!D86="26-35", 2,
IF('Master English Sheet'!D86="36-45", 3,
IF('Master English Sheet'!D86="46-55", 4,
IF('Master English Sheet'!D86="56-65", 5,
IF('Master English Sheet'!D86="65+", 6, ""))))))</f>
        <v>2</v>
      </c>
      <c r="D86" s="1">
        <f>IF('Master English Sheet'!E86="Male", 1,
IF('Master English Sheet'!E86="Female", 2,
IF('Master English Sheet'!E86="Nonbinary", 3,
IF('Master English Sheet'!E86="Prefer not to say", 4, ""))))</f>
        <v>1</v>
      </c>
      <c r="E86" s="1">
        <f>IF('Master English Sheet'!F86="Under ¥3,000,000", 1,
IF('Master English Sheet'!F86="¥3,000,000 – ¥5,999,999", 2,
IF('Master English Sheet'!F86="¥6,000,000 – ¥8,999,999", 3,
IF('Master English Sheet'!F86="¥9,000,000 – ¥11,999,999", 4,
IF('Master English Sheet'!F86 = "¥12,000,000 or more", 5,
IF('Master English Sheet'!F86 = "Prefer not to say", 6, ""))))))</f>
        <v>5</v>
      </c>
      <c r="F86" s="1">
        <f>IF('Master English Sheet'!G86="Hokkaido", 1,
IF('Master English Sheet'!G86="Tohoku", 2,
IF('Master English Sheet'!G86="Kanto", 3,
IF('Master English Sheet'!G86="Chubu", 4,
IF('Master English Sheet'!G86 = "Kansai", 5,
IF('Master English Sheet'!G86 = "Chugoku", 6,
IF('Master English Sheet'!G86 = "Shikoku", 7,
IF('Master English Sheet'!G86 = "Kyushu", 8,
IF('Master English Sheet'!G86 = "Okinawa", 9, 
IF('Master English Sheet'!G86 = "I do not live in Japan", 10, ""))))))))))</f>
        <v>3</v>
      </c>
      <c r="G86" s="1">
        <f>IF('Master English Sheet'!H86="Daily", 1,
IF('Master English Sheet'!H86="Several times a week", 2,
IF('Master English Sheet'!H86="Once a week", 3,
IF('Master English Sheet'!H86 = "Rarely", 4,
IF('Master English Sheet'!H86 = "Never", 5, "")))))</f>
        <v>1</v>
      </c>
      <c r="H86" s="1">
        <f>IF('Master English Sheet'!I86="Pour Over", 1,
IF('Master English Sheet'!I86="Drip", 2,
IF('Master English Sheet'!I86="Latte", 3,
IF('Master English Sheet'!I86="Americano", 4,
IF('Master English Sheet'!I86 = "Cappuccino", 5,
IF('Master English Sheet'!I86 = "Flavored coffee (mocha, vanilla, caramel, etc.)", 6,
IF('Master English Sheet'!I86 = "Cold brew", 7,
IF('Master English Sheet'!I86 = "I don't drink coffee", 8,
IF('Master English Sheet'!I86 = "Other:", 9,
IF('Master English Sheet'!I86 ="", 10, ""))))))))))</f>
        <v>2</v>
      </c>
      <c r="I86" s="1">
        <f>IF('Master English Sheet'!K86="Daily", 1,
IF('Master English Sheet'!K86="Several times a week", 2,
IF('Master English Sheet'!K86="Once a week", 3,
IF('Master English Sheet'!K86 = "Rarely", 4,
IF('Master English Sheet'!K86 = "Never", 5, "")))))</f>
        <v>2</v>
      </c>
      <c r="J86" s="1">
        <f>IF('Master English Sheet'!L86="Usucha", 1,
IF('Master English Sheet'!L86="Koicha", 2,
IF('Master English Sheet'!L86="Matcha Latte", 3,
IF('Master English Sheet'!L86="I don’t drink matcha", 4,
IF('Master English Sheet'!L86 = "Other:", 5,
IF('Master English Sheet'!L86 ="", 6, ""))))))</f>
        <v>3</v>
      </c>
      <c r="K86" s="1">
        <f>IF('Parse of Qs'!A86="Taste/Flavor", 1,
IF('Parse of Qs'!A86="Price", 2,
IF('Parse of Qs'!A86="Energy boost/Caffeine", 3,
IF('Parse of Qs'!A86="Health benefits", 4,
IF('Parse of Qs'!A86 = "Social atmosphere", 5,
IF('Parse of Qs'!A86 ="Routine/Ritual", 6, 
IF('Parse of Qs'!A86 = "Branding/Imagery", 7,
IF('Parse of Qs'!A86 = "Social norms / influence (what people around me usually drink)", 8, 
IF('Parse of Qs'!A86 = "To try new things", 9,
IF('Parse of Qs'!A86 = "Other:", 10, 
IF('Parse of Qs'!A86 = "", 11, "")))))))))))</f>
        <v>6</v>
      </c>
      <c r="L86" s="1">
        <f>IF('Parse of Qs'!B86="Taste/Flavor", 1,
IF('Parse of Qs'!B86="Price", 2,
IF('Parse of Qs'!B86="Energy boost/Caffeine", 3,
IF('Parse of Qs'!B86="Health benefits", 4,
IF('Parse of Qs'!B86 = "Social atmosphere", 5,
IF('Parse of Qs'!B86 ="Routine/Ritual", 6, 
IF('Parse of Qs'!B86 = "Branding/Imagery", 7,
IF('Parse of Qs'!B86 = "Social norms / influence (what people around me usually drink)", 8, 
IF('Parse of Qs'!B86 = "To try new things", 9,
IF('Parse of Qs'!B86 = "Other:", 10, 
IF('Parse of Qs'!B86 = "", 11, "")))))))))))</f>
        <v>11</v>
      </c>
      <c r="M86" s="1">
        <f>IF('Parse of Qs'!C86="At cafés", 1,
IF('Parse of Qs'!C86="At home", 2,
IF('Parse of Qs'!C86="From convenience stores (7-Eleven, Lawson, etc.)", 3,
IF('Parse of Qs'!C86="From vending machines", 4,
IF('Parse of Qs'!C86 = "Other:", 5,
IF('Parse of Qs'!C86 = "", 6, ""))))))</f>
        <v>2</v>
      </c>
      <c r="N86" s="1">
        <f>IF('Parse of Qs'!D86="At cafés", 1,
IF('Parse of Qs'!D86="At home", 2,
IF('Parse of Qs'!D86="From convenience stores (7-Eleven, Lawson, etc.)", 3,
IF('Parse of Qs'!D86="From vending machines", 4,
IF('Parse of Qs'!D86 = "Other:", 5,
IF('Parse of Qs'!D86 = "", 6, ""))))))</f>
        <v>1</v>
      </c>
      <c r="O86" s="1">
        <f>IF('Parse of Qs'!E86="At cafés", 1,
IF('Parse of Qs'!E86="At home", 2,
IF('Parse of Qs'!E86="From convenience stores (7-Eleven, Lawson, etc.)", 3,
IF('Parse of Qs'!E86="From vending machines", 4,
IF('Parse of Qs'!E86 = "Other:", 5,
IF('Parse of Qs'!E86 = "", 6, ""))))))</f>
        <v>3</v>
      </c>
      <c r="P86" s="1">
        <f>IF('Parse of Qs'!F86="At cafés", 1,
IF('Parse of Qs'!F86="At home", 2,
IF('Parse of Qs'!F86="From convenience stores (7-Eleven, Lawson, etc.)", 3,
IF('Parse of Qs'!F86="From vending machines", 4,
IF('Parse of Qs'!F86 = "Other:", 5,
IF('Parse of Qs'!F86 = "", 6, ""))))))</f>
        <v>4</v>
      </c>
      <c r="Q86" s="1">
        <f>IF(OR('Master English Sheet'!R86="Every Day",'Master English Sheet'!R86="Daily"), 1,
IF('Master English Sheet'!R86="Several times a week", 2,
IF('Master English Sheet'!R86="Once a week", 3,
IF('Master English Sheet'!R86="A few times a month", 4,
IF('Master English Sheet'!R86="Rarely", 5,
IF('Master English Sheet'!R86="Never", 6, 
IF('Master English Sheet'!R86 = "", 7, "")))))))</f>
        <v>2</v>
      </c>
      <c r="R86" s="1">
        <f>IF('Master English Sheet'!S86="To relax or take a break", 1,
IF('Master English Sheet'!S86="To meet friends", 2,
IF('Master English Sheet'!S86="To study/work", 3,
IF('Master English Sheet'!S86="To try a new drink", 4,
IF('Master English Sheet'!S86="Out of habit", 5,
IF('Master English Sheet'!S86="Other:", 6, 
IF('Master English Sheet'!S86 = "", 7, "")))))))</f>
        <v>5</v>
      </c>
      <c r="S86" s="1">
        <f>IF('Master English Sheet'!U86="Quality of drinks", 1,
IF('Master English Sheet'!U86="Atmosphere", 2,
IF('Master English Sheet'!U86="Service", 3,
IF('Master English Sheet'!U86="Brand image", 4,
IF('Master English Sheet'!U86="Other:", 5, 
IF('Master English Sheet'!U86 = "", 6, ""))))))</f>
        <v>5</v>
      </c>
      <c r="T86" s="1">
        <f>IF('Master English Sheet'!W86="Yes, Western", 1,
IF('Master English Sheet'!W86="Yes, Global", 2,
IF('Master English Sheet'!W86="Yes,  Japanese", 3,
IF('Master English Sheet'!W86="No", 4,
IF('Master English Sheet'!W86="Unsure", 5, 
IF('Master English Sheet'!W86 = "", 6, ""))))))</f>
        <v>2</v>
      </c>
      <c r="U86" s="1">
        <f>IF('Master English Sheet'!X86="Yes, Western", 1,
IF('Master English Sheet'!X86="Yes, Global", 2,
IF('Master English Sheet'!X86="Yes,  Japanese", 3,
IF('Master English Sheet'!X86="No", 4,
IF('Master English Sheet'!X86="Unsure", 5, 
IF('Master English Sheet'!X86 = "", 6, ""))))))</f>
        <v>3</v>
      </c>
      <c r="V86" s="1">
        <f>'Master English Sheet'!Y86</f>
        <v>7</v>
      </c>
      <c r="W86" s="1">
        <f>'Master English Sheet'!Z86</f>
        <v>7</v>
      </c>
      <c r="X86" s="1">
        <f>'Master English Sheet'!AA86</f>
        <v>7</v>
      </c>
    </row>
    <row r="87">
      <c r="A87" s="6">
        <v>86.0</v>
      </c>
      <c r="B87" s="6">
        <v>1.0</v>
      </c>
      <c r="C87" s="1">
        <f>IF('Master English Sheet'!D87="18-25", 1,
IF('Master English Sheet'!D87="26-35", 2,
IF('Master English Sheet'!D87="36-45", 3,
IF('Master English Sheet'!D87="46-55", 4,
IF('Master English Sheet'!D87="56-65", 5,
IF('Master English Sheet'!D87="65+", 6, ""))))))</f>
        <v>1</v>
      </c>
      <c r="D87" s="1">
        <f>IF('Master English Sheet'!E87="Male", 1,
IF('Master English Sheet'!E87="Female", 2,
IF('Master English Sheet'!E87="Nonbinary", 3,
IF('Master English Sheet'!E87="Prefer not to say", 4, ""))))</f>
        <v>2</v>
      </c>
      <c r="E87" s="1">
        <f>IF('Master English Sheet'!F87="Under ¥3,000,000", 1,
IF('Master English Sheet'!F87="¥3,000,000 – ¥5,999,999", 2,
IF('Master English Sheet'!F87="¥6,000,000 – ¥8,999,999", 3,
IF('Master English Sheet'!F87="¥9,000,000 – ¥11,999,999", 4,
IF('Master English Sheet'!F87 = "¥12,000,000 or more", 5,
IF('Master English Sheet'!F87 = "Prefer not to say", 6, ""))))))</f>
        <v>1</v>
      </c>
      <c r="F87" s="1">
        <f>IF('Master English Sheet'!G87="Hokkaido", 1,
IF('Master English Sheet'!G87="Tohoku", 2,
IF('Master English Sheet'!G87="Kanto", 3,
IF('Master English Sheet'!G87="Chubu", 4,
IF('Master English Sheet'!G87 = "Kansai", 5,
IF('Master English Sheet'!G87 = "Chugoku", 6,
IF('Master English Sheet'!G87 = "Shikoku", 7,
IF('Master English Sheet'!G87 = "Kyushu", 8,
IF('Master English Sheet'!G87 = "Okinawa", 9, 
IF('Master English Sheet'!G87 = "I do not live in Japan", 10, ""))))))))))</f>
        <v>3</v>
      </c>
      <c r="G87" s="1">
        <f>IF('Master English Sheet'!H87="Daily", 1,
IF('Master English Sheet'!H87="Several times a week", 2,
IF('Master English Sheet'!H87="Once a week", 3,
IF('Master English Sheet'!H87 = "Rarely", 4,
IF('Master English Sheet'!H87 = "Never", 5, "")))))</f>
        <v>2</v>
      </c>
      <c r="H87" s="1">
        <f>IF('Master English Sheet'!I87="Pour Over", 1,
IF('Master English Sheet'!I87="Drip", 2,
IF('Master English Sheet'!I87="Latte", 3,
IF('Master English Sheet'!I87="Americano", 4,
IF('Master English Sheet'!I87 = "Cappuccino", 5,
IF('Master English Sheet'!I87 = "Flavored coffee (mocha, vanilla, caramel, etc.)", 6,
IF('Master English Sheet'!I87 = "Cold brew", 7,
IF('Master English Sheet'!I87 = "I don't drink coffee", 8,
IF('Master English Sheet'!I87 = "Other:", 9,
IF('Master English Sheet'!I87 ="", 10, ""))))))))))</f>
        <v>1</v>
      </c>
      <c r="I87" s="1">
        <f>IF('Master English Sheet'!K87="Daily", 1,
IF('Master English Sheet'!K87="Several times a week", 2,
IF('Master English Sheet'!K87="Once a week", 3,
IF('Master English Sheet'!K87 = "Rarely", 4,
IF('Master English Sheet'!K87 = "Never", 5, "")))))</f>
        <v>3</v>
      </c>
      <c r="J87" s="1">
        <f>IF('Master English Sheet'!L87="Usucha", 1,
IF('Master English Sheet'!L87="Koicha", 2,
IF('Master English Sheet'!L87="Matcha Latte", 3,
IF('Master English Sheet'!L87="I don’t drink matcha", 4,
IF('Master English Sheet'!L87 = "Other:", 5,
IF('Master English Sheet'!L87 ="", 6, ""))))))</f>
        <v>3</v>
      </c>
      <c r="K87" s="1">
        <f>IF('Parse of Qs'!A87="Taste/Flavor", 1,
IF('Parse of Qs'!A87="Price", 2,
IF('Parse of Qs'!A87="Energy boost/Caffeine", 3,
IF('Parse of Qs'!A87="Health benefits", 4,
IF('Parse of Qs'!A87 = "Social atmosphere", 5,
IF('Parse of Qs'!A87 ="Routine/Ritual", 6, 
IF('Parse of Qs'!A87 = "Branding/Imagery", 7,
IF('Parse of Qs'!A87 = "Social norms / influence (what people around me usually drink)", 8, 
IF('Parse of Qs'!A87 = "To try new things", 9,
IF('Parse of Qs'!A87 = "Other:", 10, 
IF('Parse of Qs'!A87 = "", 11, "")))))))))))</f>
        <v>1</v>
      </c>
      <c r="L87" s="1">
        <f>IF('Parse of Qs'!B87="Taste/Flavor", 1,
IF('Parse of Qs'!B87="Price", 2,
IF('Parse of Qs'!B87="Energy boost/Caffeine", 3,
IF('Parse of Qs'!B87="Health benefits", 4,
IF('Parse of Qs'!B87 = "Social atmosphere", 5,
IF('Parse of Qs'!B87 ="Routine/Ritual", 6, 
IF('Parse of Qs'!B87 = "Branding/Imagery", 7,
IF('Parse of Qs'!B87 = "Social norms / influence (what people around me usually drink)", 8, 
IF('Parse of Qs'!B87 = "To try new things", 9,
IF('Parse of Qs'!B87 = "Other:", 10, 
IF('Parse of Qs'!B87 = "", 11, "")))))))))))</f>
        <v>3</v>
      </c>
      <c r="M87" s="1">
        <f>IF('Parse of Qs'!C87="At cafés", 1,
IF('Parse of Qs'!C87="At home", 2,
IF('Parse of Qs'!C87="From convenience stores (7-Eleven, Lawson, etc.)", 3,
IF('Parse of Qs'!C87="From vending machines", 4,
IF('Parse of Qs'!C87 = "Other:", 5,
IF('Parse of Qs'!C87 = "", 6, ""))))))</f>
        <v>1</v>
      </c>
      <c r="N87" s="1">
        <f>IF('Parse of Qs'!D87="At cafés", 1,
IF('Parse of Qs'!D87="At home", 2,
IF('Parse of Qs'!D87="From convenience stores (7-Eleven, Lawson, etc.)", 3,
IF('Parse of Qs'!D87="From vending machines", 4,
IF('Parse of Qs'!D87 = "Other:", 5,
IF('Parse of Qs'!D87 = "", 6, ""))))))</f>
        <v>2</v>
      </c>
      <c r="O87" s="1">
        <f>IF('Parse of Qs'!E87="At cafés", 1,
IF('Parse of Qs'!E87="At home", 2,
IF('Parse of Qs'!E87="From convenience stores (7-Eleven, Lawson, etc.)", 3,
IF('Parse of Qs'!E87="From vending machines", 4,
IF('Parse of Qs'!E87 = "Other:", 5,
IF('Parse of Qs'!E87 = "", 6, ""))))))</f>
        <v>3</v>
      </c>
      <c r="P87" s="1">
        <f>IF('Parse of Qs'!F87="At cafés", 1,
IF('Parse of Qs'!F87="At home", 2,
IF('Parse of Qs'!F87="From convenience stores (7-Eleven, Lawson, etc.)", 3,
IF('Parse of Qs'!F87="From vending machines", 4,
IF('Parse of Qs'!F87 = "Other:", 5,
IF('Parse of Qs'!F87 = "", 6, ""))))))</f>
        <v>6</v>
      </c>
      <c r="Q87" s="1">
        <f>IF(OR('Master English Sheet'!R87="Every Day",'Master English Sheet'!R87="Daily"), 1,
IF('Master English Sheet'!R87="Several times a week", 2,
IF('Master English Sheet'!R87="Once a week", 3,
IF('Master English Sheet'!R87="A few times a month", 4,
IF('Master English Sheet'!R87="Rarely", 5,
IF('Master English Sheet'!R87="Never", 6, 
IF('Master English Sheet'!R87 = "", 7, "")))))))</f>
        <v>3</v>
      </c>
      <c r="R87" s="1">
        <f>IF('Master English Sheet'!S87="To relax or take a break", 1,
IF('Master English Sheet'!S87="To meet friends", 2,
IF('Master English Sheet'!S87="To study/work", 3,
IF('Master English Sheet'!S87="To try a new drink", 4,
IF('Master English Sheet'!S87="Out of habit", 5,
IF('Master English Sheet'!S87="Other:", 6, 
IF('Master English Sheet'!S87 = "", 7, "")))))))</f>
        <v>5</v>
      </c>
      <c r="S87" s="1">
        <f>IF('Master English Sheet'!U87="Quality of drinks", 1,
IF('Master English Sheet'!U87="Atmosphere", 2,
IF('Master English Sheet'!U87="Service", 3,
IF('Master English Sheet'!U87="Brand image", 4,
IF('Master English Sheet'!U87="Other:", 5, 
IF('Master English Sheet'!U87 = "", 6, ""))))))</f>
        <v>3</v>
      </c>
      <c r="T87" s="1">
        <f>IF('Master English Sheet'!W87="Yes, Western", 1,
IF('Master English Sheet'!W87="Yes, Global", 2,
IF('Master English Sheet'!W87="Yes,  Japanese", 3,
IF('Master English Sheet'!W87="No", 4,
IF('Master English Sheet'!W87="Unsure", 5, 
IF('Master English Sheet'!W87 = "", 6, ""))))))</f>
        <v>2</v>
      </c>
      <c r="U87" s="1">
        <f>IF('Master English Sheet'!X87="Yes, Western", 1,
IF('Master English Sheet'!X87="Yes, Global", 2,
IF('Master English Sheet'!X87="Yes,  Japanese", 3,
IF('Master English Sheet'!X87="No", 4,
IF('Master English Sheet'!X87="Unsure", 5, 
IF('Master English Sheet'!X87 = "", 6, ""))))))</f>
        <v>3</v>
      </c>
      <c r="V87" s="1">
        <f>'Master English Sheet'!Y87</f>
        <v>5</v>
      </c>
      <c r="W87" s="1">
        <f>'Master English Sheet'!Z87</f>
        <v>7</v>
      </c>
      <c r="X87" s="1">
        <f>'Master English Sheet'!AA87</f>
        <v>6</v>
      </c>
    </row>
    <row r="88">
      <c r="A88" s="6">
        <v>87.0</v>
      </c>
      <c r="B88" s="6">
        <v>1.0</v>
      </c>
      <c r="C88" s="1">
        <f>IF('Master English Sheet'!D88="18-25", 1,
IF('Master English Sheet'!D88="26-35", 2,
IF('Master English Sheet'!D88="36-45", 3,
IF('Master English Sheet'!D88="46-55", 4,
IF('Master English Sheet'!D88="56-65", 5,
IF('Master English Sheet'!D88="65+", 6, ""))))))</f>
        <v>3</v>
      </c>
      <c r="D88" s="1">
        <f>IF('Master English Sheet'!E88="Male", 1,
IF('Master English Sheet'!E88="Female", 2,
IF('Master English Sheet'!E88="Nonbinary", 3,
IF('Master English Sheet'!E88="Prefer not to say", 4, ""))))</f>
        <v>2</v>
      </c>
      <c r="E88" s="1">
        <f>IF('Master English Sheet'!F88="Under ¥3,000,000", 1,
IF('Master English Sheet'!F88="¥3,000,000 – ¥5,999,999", 2,
IF('Master English Sheet'!F88="¥6,000,000 – ¥8,999,999", 3,
IF('Master English Sheet'!F88="¥9,000,000 – ¥11,999,999", 4,
IF('Master English Sheet'!F88 = "¥12,000,000 or more", 5,
IF('Master English Sheet'!F88 = "Prefer not to say", 6, ""))))))</f>
        <v>1</v>
      </c>
      <c r="F88" s="1">
        <f>IF('Master English Sheet'!G88="Hokkaido", 1,
IF('Master English Sheet'!G88="Tohoku", 2,
IF('Master English Sheet'!G88="Kanto", 3,
IF('Master English Sheet'!G88="Chubu", 4,
IF('Master English Sheet'!G88 = "Kansai", 5,
IF('Master English Sheet'!G88 = "Chugoku", 6,
IF('Master English Sheet'!G88 = "Shikoku", 7,
IF('Master English Sheet'!G88 = "Kyushu", 8,
IF('Master English Sheet'!G88 = "Okinawa", 9, 
IF('Master English Sheet'!G88 = "I do not live in Japan", 10, ""))))))))))</f>
        <v>3</v>
      </c>
      <c r="G88" s="1">
        <f>IF('Master English Sheet'!H88="Daily", 1,
IF('Master English Sheet'!H88="Several times a week", 2,
IF('Master English Sheet'!H88="Once a week", 3,
IF('Master English Sheet'!H88 = "Rarely", 4,
IF('Master English Sheet'!H88 = "Never", 5, "")))))</f>
        <v>1</v>
      </c>
      <c r="H88" s="1">
        <f>IF('Master English Sheet'!I88="Pour Over", 1,
IF('Master English Sheet'!I88="Drip", 2,
IF('Master English Sheet'!I88="Latte", 3,
IF('Master English Sheet'!I88="Americano", 4,
IF('Master English Sheet'!I88 = "Cappuccino", 5,
IF('Master English Sheet'!I88 = "Flavored coffee (mocha, vanilla, caramel, etc.)", 6,
IF('Master English Sheet'!I88 = "Cold brew", 7,
IF('Master English Sheet'!I88 = "I don't drink coffee", 8,
IF('Master English Sheet'!I88 = "Other:", 9,
IF('Master English Sheet'!I88 ="", 10, ""))))))))))</f>
        <v>1</v>
      </c>
      <c r="I88" s="1">
        <f>IF('Master English Sheet'!K88="Daily", 1,
IF('Master English Sheet'!K88="Several times a week", 2,
IF('Master English Sheet'!K88="Once a week", 3,
IF('Master English Sheet'!K88 = "Rarely", 4,
IF('Master English Sheet'!K88 = "Never", 5, "")))))</f>
        <v>4</v>
      </c>
      <c r="J88" s="1">
        <f>IF('Master English Sheet'!L88="Usucha", 1,
IF('Master English Sheet'!L88="Koicha", 2,
IF('Master English Sheet'!L88="Matcha Latte", 3,
IF('Master English Sheet'!L88="I don’t drink matcha", 4,
IF('Master English Sheet'!L88 = "Other:", 5,
IF('Master English Sheet'!L88 ="", 6, ""))))))</f>
        <v>1</v>
      </c>
      <c r="K88" s="1">
        <f>IF('Parse of Qs'!A88="Taste/Flavor", 1,
IF('Parse of Qs'!A88="Price", 2,
IF('Parse of Qs'!A88="Energy boost/Caffeine", 3,
IF('Parse of Qs'!A88="Health benefits", 4,
IF('Parse of Qs'!A88 = "Social atmosphere", 5,
IF('Parse of Qs'!A88 ="Routine/Ritual", 6, 
IF('Parse of Qs'!A88 = "Branding/Imagery", 7,
IF('Parse of Qs'!A88 = "Social norms / influence (what people around me usually drink)", 8, 
IF('Parse of Qs'!A88 = "To try new things", 9,
IF('Parse of Qs'!A88 = "Other:", 10, 
IF('Parse of Qs'!A88 = "", 11, "")))))))))))</f>
        <v>6</v>
      </c>
      <c r="L88" s="1">
        <f>IF('Parse of Qs'!B88="Taste/Flavor", 1,
IF('Parse of Qs'!B88="Price", 2,
IF('Parse of Qs'!B88="Energy boost/Caffeine", 3,
IF('Parse of Qs'!B88="Health benefits", 4,
IF('Parse of Qs'!B88 = "Social atmosphere", 5,
IF('Parse of Qs'!B88 ="Routine/Ritual", 6, 
IF('Parse of Qs'!B88 = "Branding/Imagery", 7,
IF('Parse of Qs'!B88 = "Social norms / influence (what people around me usually drink)", 8, 
IF('Parse of Qs'!B88 = "To try new things", 9,
IF('Parse of Qs'!B88 = "Other:", 10, 
IF('Parse of Qs'!B88 = "", 11, "")))))))))))</f>
        <v>10</v>
      </c>
      <c r="M88" s="1">
        <f>IF('Parse of Qs'!C88="At cafés", 1,
IF('Parse of Qs'!C88="At home", 2,
IF('Parse of Qs'!C88="From convenience stores (7-Eleven, Lawson, etc.)", 3,
IF('Parse of Qs'!C88="From vending machines", 4,
IF('Parse of Qs'!C88 = "Other:", 5,
IF('Parse of Qs'!C88 = "", 6, ""))))))</f>
        <v>1</v>
      </c>
      <c r="N88" s="1">
        <f>IF('Parse of Qs'!D88="At cafés", 1,
IF('Parse of Qs'!D88="At home", 2,
IF('Parse of Qs'!D88="From convenience stores (7-Eleven, Lawson, etc.)", 3,
IF('Parse of Qs'!D88="From vending machines", 4,
IF('Parse of Qs'!D88 = "Other:", 5,
IF('Parse of Qs'!D88 = "", 6, ""))))))</f>
        <v>5</v>
      </c>
      <c r="O88" s="1">
        <f>IF('Parse of Qs'!E88="At cafés", 1,
IF('Parse of Qs'!E88="At home", 2,
IF('Parse of Qs'!E88="From convenience stores (7-Eleven, Lawson, etc.)", 3,
IF('Parse of Qs'!E88="From vending machines", 4,
IF('Parse of Qs'!E88 = "Other:", 5,
IF('Parse of Qs'!E88 = "", 6, ""))))))</f>
        <v>6</v>
      </c>
      <c r="P88" s="1">
        <f>IF('Parse of Qs'!F88="At cafés", 1,
IF('Parse of Qs'!F88="At home", 2,
IF('Parse of Qs'!F88="From convenience stores (7-Eleven, Lawson, etc.)", 3,
IF('Parse of Qs'!F88="From vending machines", 4,
IF('Parse of Qs'!F88 = "Other:", 5,
IF('Parse of Qs'!F88 = "", 6, ""))))))</f>
        <v>6</v>
      </c>
      <c r="Q88" s="1">
        <f>IF(OR('Master English Sheet'!R88="Every Day",'Master English Sheet'!R88="Daily"), 1,
IF('Master English Sheet'!R88="Several times a week", 2,
IF('Master English Sheet'!R88="Once a week", 3,
IF('Master English Sheet'!R88="A few times a month", 4,
IF('Master English Sheet'!R88="Rarely", 5,
IF('Master English Sheet'!R88="Never", 6, 
IF('Master English Sheet'!R88 = "", 7, "")))))))</f>
        <v>7</v>
      </c>
      <c r="R88" s="1">
        <f>IF('Master English Sheet'!S88="To relax or take a break", 1,
IF('Master English Sheet'!S88="To meet friends", 2,
IF('Master English Sheet'!S88="To study/work", 3,
IF('Master English Sheet'!S88="To try a new drink", 4,
IF('Master English Sheet'!S88="Out of habit", 5,
IF('Master English Sheet'!S88="Other:", 6, 
IF('Master English Sheet'!S88 = "", 7, "")))))))</f>
        <v>1</v>
      </c>
      <c r="S88" s="1">
        <f>IF('Master English Sheet'!U88="Quality of drinks", 1,
IF('Master English Sheet'!U88="Atmosphere", 2,
IF('Master English Sheet'!U88="Service", 3,
IF('Master English Sheet'!U88="Brand image", 4,
IF('Master English Sheet'!U88="Other:", 5, 
IF('Master English Sheet'!U88 = "", 6, ""))))))</f>
        <v>1</v>
      </c>
      <c r="T88" s="1">
        <f>IF('Master English Sheet'!W88="Yes, Western", 1,
IF('Master English Sheet'!W88="Yes, Global", 2,
IF('Master English Sheet'!W88="Yes,  Japanese", 3,
IF('Master English Sheet'!W88="No", 4,
IF('Master English Sheet'!W88="Unsure", 5, 
IF('Master English Sheet'!W88 = "", 6, ""))))))</f>
        <v>2</v>
      </c>
      <c r="U88" s="1">
        <f>IF('Master English Sheet'!X88="Yes, Western", 1,
IF('Master English Sheet'!X88="Yes, Global", 2,
IF('Master English Sheet'!X88="Yes,  Japanese", 3,
IF('Master English Sheet'!X88="No", 4,
IF('Master English Sheet'!X88="Unsure", 5, 
IF('Master English Sheet'!X88 = "", 6, ""))))))</f>
        <v>3</v>
      </c>
      <c r="V88" s="1">
        <f>'Master English Sheet'!Y88</f>
        <v>7</v>
      </c>
      <c r="W88" s="1">
        <f>'Master English Sheet'!Z88</f>
        <v>7</v>
      </c>
      <c r="X88" s="1">
        <f>'Master English Sheet'!AA88</f>
        <v>5</v>
      </c>
    </row>
    <row r="89">
      <c r="A89" s="6">
        <v>88.0</v>
      </c>
      <c r="B89" s="6">
        <v>1.0</v>
      </c>
      <c r="C89" s="1">
        <f>IF('Master English Sheet'!D89="18-25", 1,
IF('Master English Sheet'!D89="26-35", 2,
IF('Master English Sheet'!D89="36-45", 3,
IF('Master English Sheet'!D89="46-55", 4,
IF('Master English Sheet'!D89="56-65", 5,
IF('Master English Sheet'!D89="65+", 6, ""))))))</f>
        <v>1</v>
      </c>
      <c r="D89" s="1">
        <f>IF('Master English Sheet'!E89="Male", 1,
IF('Master English Sheet'!E89="Female", 2,
IF('Master English Sheet'!E89="Nonbinary", 3,
IF('Master English Sheet'!E89="Prefer not to say", 4, ""))))</f>
        <v>2</v>
      </c>
      <c r="E89" s="1">
        <f>IF('Master English Sheet'!F89="Under ¥3,000,000", 1,
IF('Master English Sheet'!F89="¥3,000,000 – ¥5,999,999", 2,
IF('Master English Sheet'!F89="¥6,000,000 – ¥8,999,999", 3,
IF('Master English Sheet'!F89="¥9,000,000 – ¥11,999,999", 4,
IF('Master English Sheet'!F89 = "¥12,000,000 or more", 5,
IF('Master English Sheet'!F89 = "Prefer not to say", 6, ""))))))</f>
        <v>6</v>
      </c>
      <c r="F89" s="1">
        <f>IF('Master English Sheet'!G89="Hokkaido", 1,
IF('Master English Sheet'!G89="Tohoku", 2,
IF('Master English Sheet'!G89="Kanto", 3,
IF('Master English Sheet'!G89="Chubu", 4,
IF('Master English Sheet'!G89 = "Kansai", 5,
IF('Master English Sheet'!G89 = "Chugoku", 6,
IF('Master English Sheet'!G89 = "Shikoku", 7,
IF('Master English Sheet'!G89 = "Kyushu", 8,
IF('Master English Sheet'!G89 = "Okinawa", 9, 
IF('Master English Sheet'!G89 = "I do not live in Japan", 10, ""))))))))))</f>
        <v>3</v>
      </c>
      <c r="G89" s="1">
        <f>IF('Master English Sheet'!H89="Daily", 1,
IF('Master English Sheet'!H89="Several times a week", 2,
IF('Master English Sheet'!H89="Once a week", 3,
IF('Master English Sheet'!H89 = "Rarely", 4,
IF('Master English Sheet'!H89 = "Never", 5, "")))))</f>
        <v>1</v>
      </c>
      <c r="H89" s="1">
        <f>IF('Master English Sheet'!I89="Pour Over", 1,
IF('Master English Sheet'!I89="Drip", 2,
IF('Master English Sheet'!I89="Latte", 3,
IF('Master English Sheet'!I89="Americano", 4,
IF('Master English Sheet'!I89 = "Cappuccino", 5,
IF('Master English Sheet'!I89 = "Flavored coffee (mocha, vanilla, caramel, etc.)", 6,
IF('Master English Sheet'!I89 = "Cold brew", 7,
IF('Master English Sheet'!I89 = "I don't drink coffee", 8,
IF('Master English Sheet'!I89 = "Other:", 9,
IF('Master English Sheet'!I89 ="", 10, ""))))))))))</f>
        <v>4</v>
      </c>
      <c r="I89" s="1">
        <f>IF('Master English Sheet'!K89="Daily", 1,
IF('Master English Sheet'!K89="Several times a week", 2,
IF('Master English Sheet'!K89="Once a week", 3,
IF('Master English Sheet'!K89 = "Rarely", 4,
IF('Master English Sheet'!K89 = "Never", 5, "")))))</f>
        <v>4</v>
      </c>
      <c r="J89" s="1">
        <f>IF('Master English Sheet'!L89="Usucha", 1,
IF('Master English Sheet'!L89="Koicha", 2,
IF('Master English Sheet'!L89="Matcha Latte", 3,
IF('Master English Sheet'!L89="I don’t drink matcha", 4,
IF('Master English Sheet'!L89 = "Other:", 5,
IF('Master English Sheet'!L89 ="", 6, ""))))))</f>
        <v>3</v>
      </c>
      <c r="K89" s="1">
        <f>IF('Parse of Qs'!A89="Taste/Flavor", 1,
IF('Parse of Qs'!A89="Price", 2,
IF('Parse of Qs'!A89="Energy boost/Caffeine", 3,
IF('Parse of Qs'!A89="Health benefits", 4,
IF('Parse of Qs'!A89 = "Social atmosphere", 5,
IF('Parse of Qs'!A89 ="Routine/Ritual", 6, 
IF('Parse of Qs'!A89 = "Branding/Imagery", 7,
IF('Parse of Qs'!A89 = "Social norms / influence (what people around me usually drink)", 8, 
IF('Parse of Qs'!A89 = "To try new things", 9,
IF('Parse of Qs'!A89 = "Other:", 10, 
IF('Parse of Qs'!A89 = "", 11, "")))))))))))</f>
        <v>1</v>
      </c>
      <c r="L89" s="1">
        <f>IF('Parse of Qs'!B89="Taste/Flavor", 1,
IF('Parse of Qs'!B89="Price", 2,
IF('Parse of Qs'!B89="Energy boost/Caffeine", 3,
IF('Parse of Qs'!B89="Health benefits", 4,
IF('Parse of Qs'!B89 = "Social atmosphere", 5,
IF('Parse of Qs'!B89 ="Routine/Ritual", 6, 
IF('Parse of Qs'!B89 = "Branding/Imagery", 7,
IF('Parse of Qs'!B89 = "Social norms / influence (what people around me usually drink)", 8, 
IF('Parse of Qs'!B89 = "To try new things", 9,
IF('Parse of Qs'!B89 = "Other:", 10, 
IF('Parse of Qs'!B89 = "", 11, "")))))))))))</f>
        <v>3</v>
      </c>
      <c r="M89" s="1">
        <f>IF('Parse of Qs'!C89="At cafés", 1,
IF('Parse of Qs'!C89="At home", 2,
IF('Parse of Qs'!C89="From convenience stores (7-Eleven, Lawson, etc.)", 3,
IF('Parse of Qs'!C89="From vending machines", 4,
IF('Parse of Qs'!C89 = "Other:", 5,
IF('Parse of Qs'!C89 = "", 6, ""))))))</f>
        <v>1</v>
      </c>
      <c r="N89" s="1">
        <f>IF('Parse of Qs'!D89="At cafés", 1,
IF('Parse of Qs'!D89="At home", 2,
IF('Parse of Qs'!D89="From convenience stores (7-Eleven, Lawson, etc.)", 3,
IF('Parse of Qs'!D89="From vending machines", 4,
IF('Parse of Qs'!D89 = "Other:", 5,
IF('Parse of Qs'!D89 = "", 6, ""))))))</f>
        <v>6</v>
      </c>
      <c r="O89" s="1">
        <f>IF('Parse of Qs'!E89="At cafés", 1,
IF('Parse of Qs'!E89="At home", 2,
IF('Parse of Qs'!E89="From convenience stores (7-Eleven, Lawson, etc.)", 3,
IF('Parse of Qs'!E89="From vending machines", 4,
IF('Parse of Qs'!E89 = "Other:", 5,
IF('Parse of Qs'!E89 = "", 6, ""))))))</f>
        <v>6</v>
      </c>
      <c r="P89" s="1">
        <f>IF('Parse of Qs'!F89="At cafés", 1,
IF('Parse of Qs'!F89="At home", 2,
IF('Parse of Qs'!F89="From convenience stores (7-Eleven, Lawson, etc.)", 3,
IF('Parse of Qs'!F89="From vending machines", 4,
IF('Parse of Qs'!F89 = "Other:", 5,
IF('Parse of Qs'!F89 = "", 6, ""))))))</f>
        <v>6</v>
      </c>
      <c r="Q89" s="1">
        <f>IF(OR('Master English Sheet'!R89="Every Day",'Master English Sheet'!R89="Daily"), 1,
IF('Master English Sheet'!R89="Several times a week", 2,
IF('Master English Sheet'!R89="Once a week", 3,
IF('Master English Sheet'!R89="A few times a month", 4,
IF('Master English Sheet'!R89="Rarely", 5,
IF('Master English Sheet'!R89="Never", 6, 
IF('Master English Sheet'!R89 = "", 7, "")))))))</f>
        <v>1</v>
      </c>
      <c r="R89" s="1">
        <f>IF('Master English Sheet'!S89="To relax or take a break", 1,
IF('Master English Sheet'!S89="To meet friends", 2,
IF('Master English Sheet'!S89="To study/work", 3,
IF('Master English Sheet'!S89="To try a new drink", 4,
IF('Master English Sheet'!S89="Out of habit", 5,
IF('Master English Sheet'!S89="Other:", 6, 
IF('Master English Sheet'!S89 = "", 7, "")))))))</f>
        <v>5</v>
      </c>
      <c r="S89" s="1">
        <f>IF('Master English Sheet'!U89="Quality of drinks", 1,
IF('Master English Sheet'!U89="Atmosphere", 2,
IF('Master English Sheet'!U89="Service", 3,
IF('Master English Sheet'!U89="Brand image", 4,
IF('Master English Sheet'!U89="Other:", 5, 
IF('Master English Sheet'!U89 = "", 6, ""))))))</f>
        <v>2</v>
      </c>
      <c r="T89" s="1">
        <f>IF('Master English Sheet'!W89="Yes, Western", 1,
IF('Master English Sheet'!W89="Yes, Global", 2,
IF('Master English Sheet'!W89="Yes,  Japanese", 3,
IF('Master English Sheet'!W89="No", 4,
IF('Master English Sheet'!W89="Unsure", 5, 
IF('Master English Sheet'!W89 = "", 6, ""))))))</f>
        <v>4</v>
      </c>
      <c r="U89" s="1">
        <f>IF('Master English Sheet'!X89="Yes, Western", 1,
IF('Master English Sheet'!X89="Yes, Global", 2,
IF('Master English Sheet'!X89="Yes,  Japanese", 3,
IF('Master English Sheet'!X89="No", 4,
IF('Master English Sheet'!X89="Unsure", 5, 
IF('Master English Sheet'!X89 = "", 6, ""))))))</f>
        <v>3</v>
      </c>
      <c r="V89" s="1">
        <f>'Master English Sheet'!Y89</f>
        <v>6</v>
      </c>
      <c r="W89" s="1">
        <f>'Master English Sheet'!Z89</f>
        <v>6</v>
      </c>
      <c r="X89" s="1">
        <f>'Master English Sheet'!AA89</f>
        <v>7</v>
      </c>
    </row>
    <row r="90">
      <c r="A90" s="6">
        <v>89.0</v>
      </c>
      <c r="B90" s="6">
        <v>1.0</v>
      </c>
      <c r="C90" s="1">
        <f>IF('Master English Sheet'!D90="18-25", 1,
IF('Master English Sheet'!D90="26-35", 2,
IF('Master English Sheet'!D90="36-45", 3,
IF('Master English Sheet'!D90="46-55", 4,
IF('Master English Sheet'!D90="56-65", 5,
IF('Master English Sheet'!D90="65+", 6, ""))))))</f>
        <v>1</v>
      </c>
      <c r="D90" s="1">
        <f>IF('Master English Sheet'!E90="Male", 1,
IF('Master English Sheet'!E90="Female", 2,
IF('Master English Sheet'!E90="Nonbinary", 3,
IF('Master English Sheet'!E90="Prefer not to say", 4, ""))))</f>
        <v>1</v>
      </c>
      <c r="E90" s="1">
        <f>IF('Master English Sheet'!F90="Under ¥3,000,000", 1,
IF('Master English Sheet'!F90="¥3,000,000 – ¥5,999,999", 2,
IF('Master English Sheet'!F90="¥6,000,000 – ¥8,999,999", 3,
IF('Master English Sheet'!F90="¥9,000,000 – ¥11,999,999", 4,
IF('Master English Sheet'!F90 = "¥12,000,000 or more", 5,
IF('Master English Sheet'!F90 = "Prefer not to say", 6, ""))))))</f>
        <v>3</v>
      </c>
      <c r="F90" s="1">
        <f>IF('Master English Sheet'!G90="Hokkaido", 1,
IF('Master English Sheet'!G90="Tohoku", 2,
IF('Master English Sheet'!G90="Kanto", 3,
IF('Master English Sheet'!G90="Chubu", 4,
IF('Master English Sheet'!G90 = "Kansai", 5,
IF('Master English Sheet'!G90 = "Chugoku", 6,
IF('Master English Sheet'!G90 = "Shikoku", 7,
IF('Master English Sheet'!G90 = "Kyushu", 8,
IF('Master English Sheet'!G90 = "Okinawa", 9, 
IF('Master English Sheet'!G90 = "I do not live in Japan", 10, ""))))))))))</f>
        <v>3</v>
      </c>
      <c r="G90" s="1">
        <f>IF('Master English Sheet'!H90="Daily", 1,
IF('Master English Sheet'!H90="Several times a week", 2,
IF('Master English Sheet'!H90="Once a week", 3,
IF('Master English Sheet'!H90 = "Rarely", 4,
IF('Master English Sheet'!H90 = "Never", 5, "")))))</f>
        <v>2</v>
      </c>
      <c r="H90" s="1">
        <f>IF('Master English Sheet'!I90="Pour Over", 1,
IF('Master English Sheet'!I90="Drip", 2,
IF('Master English Sheet'!I90="Latte", 3,
IF('Master English Sheet'!I90="Americano", 4,
IF('Master English Sheet'!I90 = "Cappuccino", 5,
IF('Master English Sheet'!I90 = "Flavored coffee (mocha, vanilla, caramel, etc.)", 6,
IF('Master English Sheet'!I90 = "Cold brew", 7,
IF('Master English Sheet'!I90 = "I don't drink coffee", 8,
IF('Master English Sheet'!I90 = "Other:", 9,
IF('Master English Sheet'!I90 ="", 10, ""))))))))))</f>
        <v>1</v>
      </c>
      <c r="I90" s="1">
        <f>IF('Master English Sheet'!K90="Daily", 1,
IF('Master English Sheet'!K90="Several times a week", 2,
IF('Master English Sheet'!K90="Once a week", 3,
IF('Master English Sheet'!K90 = "Rarely", 4,
IF('Master English Sheet'!K90 = "Never", 5, "")))))</f>
        <v>4</v>
      </c>
      <c r="J90" s="1">
        <f>IF('Master English Sheet'!L90="Usucha", 1,
IF('Master English Sheet'!L90="Koicha", 2,
IF('Master English Sheet'!L90="Matcha Latte", 3,
IF('Master English Sheet'!L90="I don’t drink matcha", 4,
IF('Master English Sheet'!L90 = "Other:", 5,
IF('Master English Sheet'!L90 ="", 6, ""))))))</f>
        <v>6</v>
      </c>
      <c r="K90" s="1">
        <f>IF('Parse of Qs'!A90="Taste/Flavor", 1,
IF('Parse of Qs'!A90="Price", 2,
IF('Parse of Qs'!A90="Energy boost/Caffeine", 3,
IF('Parse of Qs'!A90="Health benefits", 4,
IF('Parse of Qs'!A90 = "Social atmosphere", 5,
IF('Parse of Qs'!A90 ="Routine/Ritual", 6, 
IF('Parse of Qs'!A90 = "Branding/Imagery", 7,
IF('Parse of Qs'!A90 = "Social norms / influence (what people around me usually drink)", 8, 
IF('Parse of Qs'!A90 = "To try new things", 9,
IF('Parse of Qs'!A90 = "Other:", 10, 
IF('Parse of Qs'!A90 = "", 11, "")))))))))))</f>
        <v>1</v>
      </c>
      <c r="L90" s="1">
        <f>IF('Parse of Qs'!B90="Taste/Flavor", 1,
IF('Parse of Qs'!B90="Price", 2,
IF('Parse of Qs'!B90="Energy boost/Caffeine", 3,
IF('Parse of Qs'!B90="Health benefits", 4,
IF('Parse of Qs'!B90 = "Social atmosphere", 5,
IF('Parse of Qs'!B90 ="Routine/Ritual", 6, 
IF('Parse of Qs'!B90 = "Branding/Imagery", 7,
IF('Parse of Qs'!B90 = "Social norms / influence (what people around me usually drink)", 8, 
IF('Parse of Qs'!B90 = "To try new things", 9,
IF('Parse of Qs'!B90 = "Other:", 10, 
IF('Parse of Qs'!B90 = "", 11, "")))))))))))</f>
        <v>5</v>
      </c>
      <c r="M90" s="1">
        <f>IF('Parse of Qs'!C90="At cafés", 1,
IF('Parse of Qs'!C90="At home", 2,
IF('Parse of Qs'!C90="From convenience stores (7-Eleven, Lawson, etc.)", 3,
IF('Parse of Qs'!C90="From vending machines", 4,
IF('Parse of Qs'!C90 = "Other:", 5,
IF('Parse of Qs'!C90 = "", 6, ""))))))</f>
        <v>2</v>
      </c>
      <c r="N90" s="1">
        <f>IF('Parse of Qs'!D90="At cafés", 1,
IF('Parse of Qs'!D90="At home", 2,
IF('Parse of Qs'!D90="From convenience stores (7-Eleven, Lawson, etc.)", 3,
IF('Parse of Qs'!D90="From vending machines", 4,
IF('Parse of Qs'!D90 = "Other:", 5,
IF('Parse of Qs'!D90 = "", 6, ""))))))</f>
        <v>1</v>
      </c>
      <c r="O90" s="1">
        <f>IF('Parse of Qs'!E90="At cafés", 1,
IF('Parse of Qs'!E90="At home", 2,
IF('Parse of Qs'!E90="From convenience stores (7-Eleven, Lawson, etc.)", 3,
IF('Parse of Qs'!E90="From vending machines", 4,
IF('Parse of Qs'!E90 = "Other:", 5,
IF('Parse of Qs'!E90 = "", 6, ""))))))</f>
        <v>6</v>
      </c>
      <c r="P90" s="1">
        <f>IF('Parse of Qs'!F90="At cafés", 1,
IF('Parse of Qs'!F90="At home", 2,
IF('Parse of Qs'!F90="From convenience stores (7-Eleven, Lawson, etc.)", 3,
IF('Parse of Qs'!F90="From vending machines", 4,
IF('Parse of Qs'!F90 = "Other:", 5,
IF('Parse of Qs'!F90 = "", 6, ""))))))</f>
        <v>6</v>
      </c>
      <c r="Q90" s="1">
        <f>IF(OR('Master English Sheet'!R90="Every Day",'Master English Sheet'!R90="Daily"), 1,
IF('Master English Sheet'!R90="Several times a week", 2,
IF('Master English Sheet'!R90="Once a week", 3,
IF('Master English Sheet'!R90="A few times a month", 4,
IF('Master English Sheet'!R90="Rarely", 5,
IF('Master English Sheet'!R90="Never", 6, 
IF('Master English Sheet'!R90 = "", 7, "")))))))</f>
        <v>2</v>
      </c>
      <c r="R90" s="1">
        <f>IF('Master English Sheet'!S90="To relax or take a break", 1,
IF('Master English Sheet'!S90="To meet friends", 2,
IF('Master English Sheet'!S90="To study/work", 3,
IF('Master English Sheet'!S90="To try a new drink", 4,
IF('Master English Sheet'!S90="Out of habit", 5,
IF('Master English Sheet'!S90="Other:", 6, 
IF('Master English Sheet'!S90 = "", 7, "")))))))</f>
        <v>3</v>
      </c>
      <c r="S90" s="1">
        <f>IF('Master English Sheet'!U90="Quality of drinks", 1,
IF('Master English Sheet'!U90="Atmosphere", 2,
IF('Master English Sheet'!U90="Service", 3,
IF('Master English Sheet'!U90="Brand image", 4,
IF('Master English Sheet'!U90="Other:", 5, 
IF('Master English Sheet'!U90 = "", 6, ""))))))</f>
        <v>2</v>
      </c>
      <c r="T90" s="1">
        <f>IF('Master English Sheet'!W90="Yes, Western", 1,
IF('Master English Sheet'!W90="Yes, Global", 2,
IF('Master English Sheet'!W90="Yes,  Japanese", 3,
IF('Master English Sheet'!W90="No", 4,
IF('Master English Sheet'!W90="Unsure", 5, 
IF('Master English Sheet'!W90 = "", 6, ""))))))</f>
        <v>4</v>
      </c>
      <c r="U90" s="1">
        <f>IF('Master English Sheet'!X90="Yes, Western", 1,
IF('Master English Sheet'!X90="Yes, Global", 2,
IF('Master English Sheet'!X90="Yes,  Japanese", 3,
IF('Master English Sheet'!X90="No", 4,
IF('Master English Sheet'!X90="Unsure", 5, 
IF('Master English Sheet'!X90 = "", 6, ""))))))</f>
        <v>3</v>
      </c>
      <c r="V90" s="1">
        <f>'Master English Sheet'!Y90</f>
        <v>6</v>
      </c>
      <c r="W90" s="1">
        <f>'Master English Sheet'!Z90</f>
        <v>6</v>
      </c>
      <c r="X90" s="1">
        <f>'Master English Sheet'!AA90</f>
        <v>7</v>
      </c>
    </row>
    <row r="91">
      <c r="A91" s="6">
        <v>90.0</v>
      </c>
      <c r="B91" s="6">
        <v>1.0</v>
      </c>
      <c r="C91" s="1">
        <f>IF('Master English Sheet'!D91="18-25", 1,
IF('Master English Sheet'!D91="26-35", 2,
IF('Master English Sheet'!D91="36-45", 3,
IF('Master English Sheet'!D91="46-55", 4,
IF('Master English Sheet'!D91="56-65", 5,
IF('Master English Sheet'!D91="65+", 6, ""))))))</f>
        <v>2</v>
      </c>
      <c r="D91" s="1">
        <f>IF('Master English Sheet'!E91="Male", 1,
IF('Master English Sheet'!E91="Female", 2,
IF('Master English Sheet'!E91="Nonbinary", 3,
IF('Master English Sheet'!E91="Prefer not to say", 4, ""))))</f>
        <v>1</v>
      </c>
      <c r="E91" s="1">
        <f>IF('Master English Sheet'!F91="Under ¥3,000,000", 1,
IF('Master English Sheet'!F91="¥3,000,000 – ¥5,999,999", 2,
IF('Master English Sheet'!F91="¥6,000,000 – ¥8,999,999", 3,
IF('Master English Sheet'!F91="¥9,000,000 – ¥11,999,999", 4,
IF('Master English Sheet'!F91 = "¥12,000,000 or more", 5,
IF('Master English Sheet'!F91 = "Prefer not to say", 6, ""))))))</f>
        <v>2</v>
      </c>
      <c r="F91" s="1">
        <f>IF('Master English Sheet'!G91="Hokkaido", 1,
IF('Master English Sheet'!G91="Tohoku", 2,
IF('Master English Sheet'!G91="Kanto", 3,
IF('Master English Sheet'!G91="Chubu", 4,
IF('Master English Sheet'!G91 = "Kansai", 5,
IF('Master English Sheet'!G91 = "Chugoku", 6,
IF('Master English Sheet'!G91 = "Shikoku", 7,
IF('Master English Sheet'!G91 = "Kyushu", 8,
IF('Master English Sheet'!G91 = "Okinawa", 9, 
IF('Master English Sheet'!G91 = "I do not live in Japan", 10, ""))))))))))</f>
        <v>3</v>
      </c>
      <c r="G91" s="1">
        <f>IF('Master English Sheet'!H91="Daily", 1,
IF('Master English Sheet'!H91="Several times a week", 2,
IF('Master English Sheet'!H91="Once a week", 3,
IF('Master English Sheet'!H91 = "Rarely", 4,
IF('Master English Sheet'!H91 = "Never", 5, "")))))</f>
        <v>4</v>
      </c>
      <c r="H91" s="1">
        <f>IF('Master English Sheet'!I91="Pour Over", 1,
IF('Master English Sheet'!I91="Drip", 2,
IF('Master English Sheet'!I91="Latte", 3,
IF('Master English Sheet'!I91="Americano", 4,
IF('Master English Sheet'!I91 = "Cappuccino", 5,
IF('Master English Sheet'!I91 = "Flavored coffee (mocha, vanilla, caramel, etc.)", 6,
IF('Master English Sheet'!I91 = "Cold brew", 7,
IF('Master English Sheet'!I91 = "I don't drink coffee", 8,
IF('Master English Sheet'!I91 = "Other:", 9,
IF('Master English Sheet'!I91 ="", 10, ""))))))))))</f>
        <v>8</v>
      </c>
      <c r="I91" s="1">
        <f>IF('Master English Sheet'!K91="Daily", 1,
IF('Master English Sheet'!K91="Several times a week", 2,
IF('Master English Sheet'!K91="Once a week", 3,
IF('Master English Sheet'!K91 = "Rarely", 4,
IF('Master English Sheet'!K91 = "Never", 5, "")))))</f>
        <v>2</v>
      </c>
      <c r="J91" s="1">
        <f>IF('Master English Sheet'!L91="Usucha", 1,
IF('Master English Sheet'!L91="Koicha", 2,
IF('Master English Sheet'!L91="Matcha Latte", 3,
IF('Master English Sheet'!L91="I don’t drink matcha", 4,
IF('Master English Sheet'!L91 = "Other:", 5,
IF('Master English Sheet'!L91 ="", 6, ""))))))</f>
        <v>3</v>
      </c>
      <c r="K91" s="1">
        <f>IF('Parse of Qs'!A91="Taste/Flavor", 1,
IF('Parse of Qs'!A91="Price", 2,
IF('Parse of Qs'!A91="Energy boost/Caffeine", 3,
IF('Parse of Qs'!A91="Health benefits", 4,
IF('Parse of Qs'!A91 = "Social atmosphere", 5,
IF('Parse of Qs'!A91 ="Routine/Ritual", 6, 
IF('Parse of Qs'!A91 = "Branding/Imagery", 7,
IF('Parse of Qs'!A91 = "Social norms / influence (what people around me usually drink)", 8, 
IF('Parse of Qs'!A91 = "To try new things", 9,
IF('Parse of Qs'!A91 = "Other:", 10, 
IF('Parse of Qs'!A91 = "", 11, "")))))))))))</f>
        <v>1</v>
      </c>
      <c r="L91" s="1">
        <f>IF('Parse of Qs'!B91="Taste/Flavor", 1,
IF('Parse of Qs'!B91="Price", 2,
IF('Parse of Qs'!B91="Energy boost/Caffeine", 3,
IF('Parse of Qs'!B91="Health benefits", 4,
IF('Parse of Qs'!B91 = "Social atmosphere", 5,
IF('Parse of Qs'!B91 ="Routine/Ritual", 6, 
IF('Parse of Qs'!B91 = "Branding/Imagery", 7,
IF('Parse of Qs'!B91 = "Social norms / influence (what people around me usually drink)", 8, 
IF('Parse of Qs'!B91 = "To try new things", 9,
IF('Parse of Qs'!B91 = "Other:", 10, 
IF('Parse of Qs'!B91 = "", 11, "")))))))))))</f>
        <v>9</v>
      </c>
      <c r="M91" s="1">
        <f>IF('Parse of Qs'!C91="At cafés", 1,
IF('Parse of Qs'!C91="At home", 2,
IF('Parse of Qs'!C91="From convenience stores (7-Eleven, Lawson, etc.)", 3,
IF('Parse of Qs'!C91="From vending machines", 4,
IF('Parse of Qs'!C91 = "Other:", 5,
IF('Parse of Qs'!C91 = "", 6, ""))))))</f>
        <v>1</v>
      </c>
      <c r="N91" s="1">
        <f>IF('Parse of Qs'!D91="At cafés", 1,
IF('Parse of Qs'!D91="At home", 2,
IF('Parse of Qs'!D91="From convenience stores (7-Eleven, Lawson, etc.)", 3,
IF('Parse of Qs'!D91="From vending machines", 4,
IF('Parse of Qs'!D91 = "Other:", 5,
IF('Parse of Qs'!D91 = "", 6, ""))))))</f>
        <v>6</v>
      </c>
      <c r="O91" s="1">
        <f>IF('Parse of Qs'!E91="At cafés", 1,
IF('Parse of Qs'!E91="At home", 2,
IF('Parse of Qs'!E91="From convenience stores (7-Eleven, Lawson, etc.)", 3,
IF('Parse of Qs'!E91="From vending machines", 4,
IF('Parse of Qs'!E91 = "Other:", 5,
IF('Parse of Qs'!E91 = "", 6, ""))))))</f>
        <v>6</v>
      </c>
      <c r="P91" s="1">
        <f>IF('Parse of Qs'!F91="At cafés", 1,
IF('Parse of Qs'!F91="At home", 2,
IF('Parse of Qs'!F91="From convenience stores (7-Eleven, Lawson, etc.)", 3,
IF('Parse of Qs'!F91="From vending machines", 4,
IF('Parse of Qs'!F91 = "Other:", 5,
IF('Parse of Qs'!F91 = "", 6, ""))))))</f>
        <v>6</v>
      </c>
      <c r="Q91" s="1">
        <f>IF(OR('Master English Sheet'!R91="Every Day",'Master English Sheet'!R91="Daily"), 1,
IF('Master English Sheet'!R91="Several times a week", 2,
IF('Master English Sheet'!R91="Once a week", 3,
IF('Master English Sheet'!R91="A few times a month", 4,
IF('Master English Sheet'!R91="Rarely", 5,
IF('Master English Sheet'!R91="Never", 6, 
IF('Master English Sheet'!R91 = "", 7, "")))))))</f>
        <v>4</v>
      </c>
      <c r="R91" s="1">
        <f>IF('Master English Sheet'!S91="To relax or take a break", 1,
IF('Master English Sheet'!S91="To meet friends", 2,
IF('Master English Sheet'!S91="To study/work", 3,
IF('Master English Sheet'!S91="To try a new drink", 4,
IF('Master English Sheet'!S91="Out of habit", 5,
IF('Master English Sheet'!S91="Other:", 6, 
IF('Master English Sheet'!S91 = "", 7, "")))))))</f>
        <v>2</v>
      </c>
      <c r="S91" s="1">
        <f>IF('Master English Sheet'!U91="Quality of drinks", 1,
IF('Master English Sheet'!U91="Atmosphere", 2,
IF('Master English Sheet'!U91="Service", 3,
IF('Master English Sheet'!U91="Brand image", 4,
IF('Master English Sheet'!U91="Other:", 5, 
IF('Master English Sheet'!U91 = "", 6, ""))))))</f>
        <v>2</v>
      </c>
      <c r="T91" s="1">
        <f>IF('Master English Sheet'!W91="Yes, Western", 1,
IF('Master English Sheet'!W91="Yes, Global", 2,
IF('Master English Sheet'!W91="Yes,  Japanese", 3,
IF('Master English Sheet'!W91="No", 4,
IF('Master English Sheet'!W91="Unsure", 5, 
IF('Master English Sheet'!W91 = "", 6, ""))))))</f>
        <v>5</v>
      </c>
      <c r="U91" s="1">
        <f>IF('Master English Sheet'!X91="Yes, Western", 1,
IF('Master English Sheet'!X91="Yes, Global", 2,
IF('Master English Sheet'!X91="Yes,  Japanese", 3,
IF('Master English Sheet'!X91="No", 4,
IF('Master English Sheet'!X91="Unsure", 5, 
IF('Master English Sheet'!X91 = "", 6, ""))))))</f>
        <v>3</v>
      </c>
      <c r="V91" s="1">
        <f>'Master English Sheet'!Y91</f>
        <v>0</v>
      </c>
      <c r="W91" s="1">
        <f>'Master English Sheet'!Z91</f>
        <v>7</v>
      </c>
      <c r="X91" s="1">
        <f>'Master English Sheet'!AA91</f>
        <v>6</v>
      </c>
    </row>
    <row r="92">
      <c r="A92" s="6">
        <v>91.0</v>
      </c>
      <c r="B92" s="6">
        <v>1.0</v>
      </c>
      <c r="C92" s="1">
        <f>IF('Master English Sheet'!D92="18-25", 1,
IF('Master English Sheet'!D92="26-35", 2,
IF('Master English Sheet'!D92="36-45", 3,
IF('Master English Sheet'!D92="46-55", 4,
IF('Master English Sheet'!D92="56-65", 5,
IF('Master English Sheet'!D92="65+", 6, ""))))))</f>
        <v>4</v>
      </c>
      <c r="D92" s="1">
        <f>IF('Master English Sheet'!E92="Male", 1,
IF('Master English Sheet'!E92="Female", 2,
IF('Master English Sheet'!E92="Nonbinary", 3,
IF('Master English Sheet'!E92="Prefer not to say", 4, ""))))</f>
        <v>2</v>
      </c>
      <c r="E92" s="1">
        <f>IF('Master English Sheet'!F92="Under ¥3,000,000", 1,
IF('Master English Sheet'!F92="¥3,000,000 – ¥5,999,999", 2,
IF('Master English Sheet'!F92="¥6,000,000 – ¥8,999,999", 3,
IF('Master English Sheet'!F92="¥9,000,000 – ¥11,999,999", 4,
IF('Master English Sheet'!F92 = "¥12,000,000 or more", 5,
IF('Master English Sheet'!F92 = "Prefer not to say", 6, ""))))))</f>
        <v>6</v>
      </c>
      <c r="F92" s="1">
        <f>IF('Master English Sheet'!G92="Hokkaido", 1,
IF('Master English Sheet'!G92="Tohoku", 2,
IF('Master English Sheet'!G92="Kanto", 3,
IF('Master English Sheet'!G92="Chubu", 4,
IF('Master English Sheet'!G92 = "Kansai", 5,
IF('Master English Sheet'!G92 = "Chugoku", 6,
IF('Master English Sheet'!G92 = "Shikoku", 7,
IF('Master English Sheet'!G92 = "Kyushu", 8,
IF('Master English Sheet'!G92 = "Okinawa", 9, 
IF('Master English Sheet'!G92 = "I do not live in Japan", 10, ""))))))))))</f>
        <v>10</v>
      </c>
      <c r="G92" s="1">
        <f>IF('Master English Sheet'!H92="Daily", 1,
IF('Master English Sheet'!H92="Several times a week", 2,
IF('Master English Sheet'!H92="Once a week", 3,
IF('Master English Sheet'!H92 = "Rarely", 4,
IF('Master English Sheet'!H92 = "Never", 5, "")))))</f>
        <v>1</v>
      </c>
      <c r="H92" s="1">
        <f>IF('Master English Sheet'!I92="Pour Over", 1,
IF('Master English Sheet'!I92="Drip", 2,
IF('Master English Sheet'!I92="Latte", 3,
IF('Master English Sheet'!I92="Americano", 4,
IF('Master English Sheet'!I92 = "Cappuccino", 5,
IF('Master English Sheet'!I92 = "Flavored coffee (mocha, vanilla, caramel, etc.)", 6,
IF('Master English Sheet'!I92 = "Cold brew", 7,
IF('Master English Sheet'!I92 = "I don't drink coffee", 8,
IF('Master English Sheet'!I92 = "Other:", 9,
IF('Master English Sheet'!I92 ="", 10, ""))))))))))</f>
        <v>2</v>
      </c>
      <c r="I92" s="1">
        <f>IF('Master English Sheet'!K92="Daily", 1,
IF('Master English Sheet'!K92="Several times a week", 2,
IF('Master English Sheet'!K92="Once a week", 3,
IF('Master English Sheet'!K92 = "Rarely", 4,
IF('Master English Sheet'!K92 = "Never", 5, "")))))</f>
        <v>5</v>
      </c>
      <c r="J92" s="1">
        <f>IF('Master English Sheet'!L92="Usucha", 1,
IF('Master English Sheet'!L92="Koicha", 2,
IF('Master English Sheet'!L92="Matcha Latte", 3,
IF('Master English Sheet'!L92="I don’t drink matcha", 4,
IF('Master English Sheet'!L92 = "Other:", 5,
IF('Master English Sheet'!L92 ="", 6, ""))))))</f>
        <v>6</v>
      </c>
      <c r="K92" s="1">
        <f>IF('Parse of Qs'!A92="Taste/Flavor", 1,
IF('Parse of Qs'!A92="Price", 2,
IF('Parse of Qs'!A92="Energy boost/Caffeine", 3,
IF('Parse of Qs'!A92="Health benefits", 4,
IF('Parse of Qs'!A92 = "Social atmosphere", 5,
IF('Parse of Qs'!A92 ="Routine/Ritual", 6, 
IF('Parse of Qs'!A92 = "Branding/Imagery", 7,
IF('Parse of Qs'!A92 = "Social norms / influence (what people around me usually drink)", 8, 
IF('Parse of Qs'!A92 = "To try new things", 9,
IF('Parse of Qs'!A92 = "Other:", 10, 
IF('Parse of Qs'!A92 = "", 11, "")))))))))))</f>
        <v>6</v>
      </c>
      <c r="L92" s="1">
        <f>IF('Parse of Qs'!B92="Taste/Flavor", 1,
IF('Parse of Qs'!B92="Price", 2,
IF('Parse of Qs'!B92="Energy boost/Caffeine", 3,
IF('Parse of Qs'!B92="Health benefits", 4,
IF('Parse of Qs'!B92 = "Social atmosphere", 5,
IF('Parse of Qs'!B92 ="Routine/Ritual", 6, 
IF('Parse of Qs'!B92 = "Branding/Imagery", 7,
IF('Parse of Qs'!B92 = "Social norms / influence (what people around me usually drink)", 8, 
IF('Parse of Qs'!B92 = "To try new things", 9,
IF('Parse of Qs'!B92 = "Other:", 10, 
IF('Parse of Qs'!B92 = "", 11, "")))))))))))</f>
        <v>2</v>
      </c>
      <c r="M92" s="1">
        <f>IF('Parse of Qs'!C92="At cafés", 1,
IF('Parse of Qs'!C92="At home", 2,
IF('Parse of Qs'!C92="From convenience stores (7-Eleven, Lawson, etc.)", 3,
IF('Parse of Qs'!C92="From vending machines", 4,
IF('Parse of Qs'!C92 = "Other:", 5,
IF('Parse of Qs'!C92 = "", 6, ""))))))</f>
        <v>6</v>
      </c>
      <c r="N92" s="1">
        <f>IF('Parse of Qs'!D92="At cafés", 1,
IF('Parse of Qs'!D92="At home", 2,
IF('Parse of Qs'!D92="From convenience stores (7-Eleven, Lawson, etc.)", 3,
IF('Parse of Qs'!D92="From vending machines", 4,
IF('Parse of Qs'!D92 = "Other:", 5,
IF('Parse of Qs'!D92 = "", 6, ""))))))</f>
        <v>6</v>
      </c>
      <c r="O92" s="1">
        <f>IF('Parse of Qs'!E92="At cafés", 1,
IF('Parse of Qs'!E92="At home", 2,
IF('Parse of Qs'!E92="From convenience stores (7-Eleven, Lawson, etc.)", 3,
IF('Parse of Qs'!E92="From vending machines", 4,
IF('Parse of Qs'!E92 = "Other:", 5,
IF('Parse of Qs'!E92 = "", 6, ""))))))</f>
        <v>6</v>
      </c>
      <c r="P92" s="1">
        <f>IF('Parse of Qs'!F92="At cafés", 1,
IF('Parse of Qs'!F92="At home", 2,
IF('Parse of Qs'!F92="From convenience stores (7-Eleven, Lawson, etc.)", 3,
IF('Parse of Qs'!F92="From vending machines", 4,
IF('Parse of Qs'!F92 = "Other:", 5,
IF('Parse of Qs'!F92 = "", 6, ""))))))</f>
        <v>6</v>
      </c>
      <c r="Q92" s="1">
        <f>IF(OR('Master English Sheet'!R92="Every Day",'Master English Sheet'!R92="Daily"), 1,
IF('Master English Sheet'!R92="Several times a week", 2,
IF('Master English Sheet'!R92="Once a week", 3,
IF('Master English Sheet'!R92="A few times a month", 4,
IF('Master English Sheet'!R92="Rarely", 5,
IF('Master English Sheet'!R92="Never", 6, 
IF('Master English Sheet'!R92 = "", 7, "")))))))</f>
        <v>5</v>
      </c>
      <c r="R92" s="1">
        <f>IF('Master English Sheet'!S92="To relax or take a break", 1,
IF('Master English Sheet'!S92="To meet friends", 2,
IF('Master English Sheet'!S92="To study/work", 3,
IF('Master English Sheet'!S92="To try a new drink", 4,
IF('Master English Sheet'!S92="Out of habit", 5,
IF('Master English Sheet'!S92="Other:", 6, 
IF('Master English Sheet'!S92 = "", 7, "")))))))</f>
        <v>7</v>
      </c>
      <c r="S92" s="1">
        <f>IF('Master English Sheet'!U92="Quality of drinks", 1,
IF('Master English Sheet'!U92="Atmosphere", 2,
IF('Master English Sheet'!U92="Service", 3,
IF('Master English Sheet'!U92="Brand image", 4,
IF('Master English Sheet'!U92="Other:", 5, 
IF('Master English Sheet'!U92 = "", 6, ""))))))</f>
        <v>6</v>
      </c>
      <c r="T92" s="1">
        <f>IF('Master English Sheet'!W92="Yes, Western", 1,
IF('Master English Sheet'!W92="Yes, Global", 2,
IF('Master English Sheet'!W92="Yes,  Japanese", 3,
IF('Master English Sheet'!W92="No", 4,
IF('Master English Sheet'!W92="Unsure", 5, 
IF('Master English Sheet'!W92 = "", 6, ""))))))</f>
        <v>4</v>
      </c>
      <c r="U92" s="1">
        <f>IF('Master English Sheet'!X92="Yes, Western", 1,
IF('Master English Sheet'!X92="Yes, Global", 2,
IF('Master English Sheet'!X92="Yes,  Japanese", 3,
IF('Master English Sheet'!X92="No", 4,
IF('Master English Sheet'!X92="Unsure", 5, 
IF('Master English Sheet'!X92 = "", 6, ""))))))</f>
        <v>3</v>
      </c>
      <c r="V92" s="1" t="str">
        <f>'Master English Sheet'!Y92</f>
        <v/>
      </c>
      <c r="W92" s="1" t="str">
        <f>'Master English Sheet'!Z92</f>
        <v/>
      </c>
      <c r="X92" s="1" t="str">
        <f>'Master English Sheet'!AA92</f>
        <v/>
      </c>
    </row>
    <row r="93">
      <c r="A93" s="6">
        <v>92.0</v>
      </c>
      <c r="B93" s="6">
        <v>1.0</v>
      </c>
      <c r="C93" s="1">
        <f>IF('Master English Sheet'!D93="18-25", 1,
IF('Master English Sheet'!D93="26-35", 2,
IF('Master English Sheet'!D93="36-45", 3,
IF('Master English Sheet'!D93="46-55", 4,
IF('Master English Sheet'!D93="56-65", 5,
IF('Master English Sheet'!D93="65+", 6, ""))))))</f>
        <v>5</v>
      </c>
      <c r="D93" s="1">
        <f>IF('Master English Sheet'!E93="Male", 1,
IF('Master English Sheet'!E93="Female", 2,
IF('Master English Sheet'!E93="Nonbinary", 3,
IF('Master English Sheet'!E93="Prefer not to say", 4, ""))))</f>
        <v>1</v>
      </c>
      <c r="E93" s="1">
        <f>IF('Master English Sheet'!F93="Under ¥3,000,000", 1,
IF('Master English Sheet'!F93="¥3,000,000 – ¥5,999,999", 2,
IF('Master English Sheet'!F93="¥6,000,000 – ¥8,999,999", 3,
IF('Master English Sheet'!F93="¥9,000,000 – ¥11,999,999", 4,
IF('Master English Sheet'!F93 = "¥12,000,000 or more", 5,
IF('Master English Sheet'!F93 = "Prefer not to say", 6, ""))))))</f>
        <v>4</v>
      </c>
      <c r="F93" s="1">
        <f>IF('Master English Sheet'!G93="Hokkaido", 1,
IF('Master English Sheet'!G93="Tohoku", 2,
IF('Master English Sheet'!G93="Kanto", 3,
IF('Master English Sheet'!G93="Chubu", 4,
IF('Master English Sheet'!G93 = "Kansai", 5,
IF('Master English Sheet'!G93 = "Chugoku", 6,
IF('Master English Sheet'!G93 = "Shikoku", 7,
IF('Master English Sheet'!G93 = "Kyushu", 8,
IF('Master English Sheet'!G93 = "Okinawa", 9, 
IF('Master English Sheet'!G93 = "I do not live in Japan", 10, ""))))))))))</f>
        <v>3</v>
      </c>
      <c r="G93" s="1">
        <f>IF('Master English Sheet'!H93="Daily", 1,
IF('Master English Sheet'!H93="Several times a week", 2,
IF('Master English Sheet'!H93="Once a week", 3,
IF('Master English Sheet'!H93 = "Rarely", 4,
IF('Master English Sheet'!H93 = "Never", 5, "")))))</f>
        <v>1</v>
      </c>
      <c r="H93" s="1">
        <f>IF('Master English Sheet'!I93="Pour Over", 1,
IF('Master English Sheet'!I93="Drip", 2,
IF('Master English Sheet'!I93="Latte", 3,
IF('Master English Sheet'!I93="Americano", 4,
IF('Master English Sheet'!I93 = "Cappuccino", 5,
IF('Master English Sheet'!I93 = "Flavored coffee (mocha, vanilla, caramel, etc.)", 6,
IF('Master English Sheet'!I93 = "Cold brew", 7,
IF('Master English Sheet'!I93 = "I don't drink coffee", 8,
IF('Master English Sheet'!I93 = "Other:", 9,
IF('Master English Sheet'!I93 ="", 10, ""))))))))))</f>
        <v>9</v>
      </c>
      <c r="I93" s="1">
        <f>IF('Master English Sheet'!K93="Daily", 1,
IF('Master English Sheet'!K93="Several times a week", 2,
IF('Master English Sheet'!K93="Once a week", 3,
IF('Master English Sheet'!K93 = "Rarely", 4,
IF('Master English Sheet'!K93 = "Never", 5, "")))))</f>
        <v>4</v>
      </c>
      <c r="J93" s="1">
        <f>IF('Master English Sheet'!L93="Usucha", 1,
IF('Master English Sheet'!L93="Koicha", 2,
IF('Master English Sheet'!L93="Matcha Latte", 3,
IF('Master English Sheet'!L93="I don’t drink matcha", 4,
IF('Master English Sheet'!L93 = "Other:", 5,
IF('Master English Sheet'!L93 ="", 6, ""))))))</f>
        <v>5</v>
      </c>
      <c r="K93" s="1">
        <f>IF('Parse of Qs'!A93="Taste/Flavor", 1,
IF('Parse of Qs'!A93="Price", 2,
IF('Parse of Qs'!A93="Energy boost/Caffeine", 3,
IF('Parse of Qs'!A93="Health benefits", 4,
IF('Parse of Qs'!A93 = "Social atmosphere", 5,
IF('Parse of Qs'!A93 ="Routine/Ritual", 6, 
IF('Parse of Qs'!A93 = "Branding/Imagery", 7,
IF('Parse of Qs'!A93 = "Social norms / influence (what people around me usually drink)", 8, 
IF('Parse of Qs'!A93 = "To try new things", 9,
IF('Parse of Qs'!A93 = "Other:", 10, 
IF('Parse of Qs'!A93 = "", 11, "")))))))))))</f>
        <v>5</v>
      </c>
      <c r="L93" s="1">
        <f>IF('Parse of Qs'!B93="Taste/Flavor", 1,
IF('Parse of Qs'!B93="Price", 2,
IF('Parse of Qs'!B93="Energy boost/Caffeine", 3,
IF('Parse of Qs'!B93="Health benefits", 4,
IF('Parse of Qs'!B93 = "Social atmosphere", 5,
IF('Parse of Qs'!B93 ="Routine/Ritual", 6, 
IF('Parse of Qs'!B93 = "Branding/Imagery", 7,
IF('Parse of Qs'!B93 = "Social norms / influence (what people around me usually drink)", 8, 
IF('Parse of Qs'!B93 = "To try new things", 9,
IF('Parse of Qs'!B93 = "Other:", 10, 
IF('Parse of Qs'!B93 = "", 11, "")))))))))))</f>
        <v>11</v>
      </c>
      <c r="M93" s="1">
        <f>IF('Parse of Qs'!C93="At cafés", 1,
IF('Parse of Qs'!C93="At home", 2,
IF('Parse of Qs'!C93="From convenience stores (7-Eleven, Lawson, etc.)", 3,
IF('Parse of Qs'!C93="From vending machines", 4,
IF('Parse of Qs'!C93 = "Other:", 5,
IF('Parse of Qs'!C93 = "", 6, ""))))))</f>
        <v>2</v>
      </c>
      <c r="N93" s="1">
        <f>IF('Parse of Qs'!D93="At cafés", 1,
IF('Parse of Qs'!D93="At home", 2,
IF('Parse of Qs'!D93="From convenience stores (7-Eleven, Lawson, etc.)", 3,
IF('Parse of Qs'!D93="From vending machines", 4,
IF('Parse of Qs'!D93 = "Other:", 5,
IF('Parse of Qs'!D93 = "", 6, ""))))))</f>
        <v>6</v>
      </c>
      <c r="O93" s="1">
        <f>IF('Parse of Qs'!E93="At cafés", 1,
IF('Parse of Qs'!E93="At home", 2,
IF('Parse of Qs'!E93="From convenience stores (7-Eleven, Lawson, etc.)", 3,
IF('Parse of Qs'!E93="From vending machines", 4,
IF('Parse of Qs'!E93 = "Other:", 5,
IF('Parse of Qs'!E93 = "", 6, ""))))))</f>
        <v>6</v>
      </c>
      <c r="P93" s="1">
        <f>IF('Parse of Qs'!F93="At cafés", 1,
IF('Parse of Qs'!F93="At home", 2,
IF('Parse of Qs'!F93="From convenience stores (7-Eleven, Lawson, etc.)", 3,
IF('Parse of Qs'!F93="From vending machines", 4,
IF('Parse of Qs'!F93 = "Other:", 5,
IF('Parse of Qs'!F93 = "", 6, ""))))))</f>
        <v>6</v>
      </c>
      <c r="Q93" s="1">
        <f>IF(OR('Master English Sheet'!R93="Every Day",'Master English Sheet'!R93="Daily"), 1,
IF('Master English Sheet'!R93="Several times a week", 2,
IF('Master English Sheet'!R93="Once a week", 3,
IF('Master English Sheet'!R93="A few times a month", 4,
IF('Master English Sheet'!R93="Rarely", 5,
IF('Master English Sheet'!R93="Never", 6, 
IF('Master English Sheet'!R93 = "", 7, "")))))))</f>
        <v>4</v>
      </c>
      <c r="R93" s="1">
        <f>IF('Master English Sheet'!S93="To relax or take a break", 1,
IF('Master English Sheet'!S93="To meet friends", 2,
IF('Master English Sheet'!S93="To study/work", 3,
IF('Master English Sheet'!S93="To try a new drink", 4,
IF('Master English Sheet'!S93="Out of habit", 5,
IF('Master English Sheet'!S93="Other:", 6, 
IF('Master English Sheet'!S93 = "", 7, "")))))))</f>
        <v>1</v>
      </c>
      <c r="S93" s="1">
        <f>IF('Master English Sheet'!U93="Quality of drinks", 1,
IF('Master English Sheet'!U93="Atmosphere", 2,
IF('Master English Sheet'!U93="Service", 3,
IF('Master English Sheet'!U93="Brand image", 4,
IF('Master English Sheet'!U93="Other:", 5, 
IF('Master English Sheet'!U93 = "", 6, ""))))))</f>
        <v>2</v>
      </c>
      <c r="T93" s="1">
        <f>IF('Master English Sheet'!W93="Yes, Western", 1,
IF('Master English Sheet'!W93="Yes, Global", 2,
IF('Master English Sheet'!W93="Yes,  Japanese", 3,
IF('Master English Sheet'!W93="No", 4,
IF('Master English Sheet'!W93="Unsure", 5, 
IF('Master English Sheet'!W93 = "", 6, ""))))))</f>
        <v>4</v>
      </c>
      <c r="U93" s="1">
        <f>IF('Master English Sheet'!X93="Yes, Western", 1,
IF('Master English Sheet'!X93="Yes, Global", 2,
IF('Master English Sheet'!X93="Yes,  Japanese", 3,
IF('Master English Sheet'!X93="No", 4,
IF('Master English Sheet'!X93="Unsure", 5, 
IF('Master English Sheet'!X93 = "", 6, ""))))))</f>
        <v>3</v>
      </c>
      <c r="V93" s="1">
        <f>'Master English Sheet'!Y93</f>
        <v>7</v>
      </c>
      <c r="W93" s="1">
        <f>'Master English Sheet'!Z93</f>
        <v>7</v>
      </c>
      <c r="X93" s="1">
        <f>'Master English Sheet'!AA93</f>
        <v>7</v>
      </c>
    </row>
    <row r="94">
      <c r="A94" s="6">
        <v>93.0</v>
      </c>
      <c r="B94" s="6">
        <v>1.0</v>
      </c>
      <c r="C94" s="1">
        <f>IF('Master English Sheet'!D94="18-25", 1,
IF('Master English Sheet'!D94="26-35", 2,
IF('Master English Sheet'!D94="36-45", 3,
IF('Master English Sheet'!D94="46-55", 4,
IF('Master English Sheet'!D94="56-65", 5,
IF('Master English Sheet'!D94="65+", 6, ""))))))</f>
        <v>4</v>
      </c>
      <c r="D94" s="1">
        <f>IF('Master English Sheet'!E94="Male", 1,
IF('Master English Sheet'!E94="Female", 2,
IF('Master English Sheet'!E94="Nonbinary", 3,
IF('Master English Sheet'!E94="Prefer not to say", 4, ""))))</f>
        <v>2</v>
      </c>
      <c r="E94" s="1">
        <f>IF('Master English Sheet'!F94="Under ¥3,000,000", 1,
IF('Master English Sheet'!F94="¥3,000,000 – ¥5,999,999", 2,
IF('Master English Sheet'!F94="¥6,000,000 – ¥8,999,999", 3,
IF('Master English Sheet'!F94="¥9,000,000 – ¥11,999,999", 4,
IF('Master English Sheet'!F94 = "¥12,000,000 or more", 5,
IF('Master English Sheet'!F94 = "Prefer not to say", 6, ""))))))</f>
        <v>4</v>
      </c>
      <c r="F94" s="1">
        <f>IF('Master English Sheet'!G94="Hokkaido", 1,
IF('Master English Sheet'!G94="Tohoku", 2,
IF('Master English Sheet'!G94="Kanto", 3,
IF('Master English Sheet'!G94="Chubu", 4,
IF('Master English Sheet'!G94 = "Kansai", 5,
IF('Master English Sheet'!G94 = "Chugoku", 6,
IF('Master English Sheet'!G94 = "Shikoku", 7,
IF('Master English Sheet'!G94 = "Kyushu", 8,
IF('Master English Sheet'!G94 = "Okinawa", 9, 
IF('Master English Sheet'!G94 = "I do not live in Japan", 10, ""))))))))))</f>
        <v>3</v>
      </c>
      <c r="G94" s="1">
        <f>IF('Master English Sheet'!H94="Daily", 1,
IF('Master English Sheet'!H94="Several times a week", 2,
IF('Master English Sheet'!H94="Once a week", 3,
IF('Master English Sheet'!H94 = "Rarely", 4,
IF('Master English Sheet'!H94 = "Never", 5, "")))))</f>
        <v>1</v>
      </c>
      <c r="H94" s="1">
        <f>IF('Master English Sheet'!I94="Pour Over", 1,
IF('Master English Sheet'!I94="Drip", 2,
IF('Master English Sheet'!I94="Latte", 3,
IF('Master English Sheet'!I94="Americano", 4,
IF('Master English Sheet'!I94 = "Cappuccino", 5,
IF('Master English Sheet'!I94 = "Flavored coffee (mocha, vanilla, caramel, etc.)", 6,
IF('Master English Sheet'!I94 = "Cold brew", 7,
IF('Master English Sheet'!I94 = "I don't drink coffee", 8,
IF('Master English Sheet'!I94 = "Other:", 9,
IF('Master English Sheet'!I94 ="", 10, ""))))))))))</f>
        <v>3</v>
      </c>
      <c r="I94" s="1">
        <f>IF('Master English Sheet'!K94="Daily", 1,
IF('Master English Sheet'!K94="Several times a week", 2,
IF('Master English Sheet'!K94="Once a week", 3,
IF('Master English Sheet'!K94 = "Rarely", 4,
IF('Master English Sheet'!K94 = "Never", 5, "")))))</f>
        <v>4</v>
      </c>
      <c r="J94" s="1">
        <f>IF('Master English Sheet'!L94="Usucha", 1,
IF('Master English Sheet'!L94="Koicha", 2,
IF('Master English Sheet'!L94="Matcha Latte", 3,
IF('Master English Sheet'!L94="I don’t drink matcha", 4,
IF('Master English Sheet'!L94 = "Other:", 5,
IF('Master English Sheet'!L94 ="", 6, ""))))))</f>
        <v>1</v>
      </c>
      <c r="K94" s="1">
        <f>IF('Parse of Qs'!A94="Taste/Flavor", 1,
IF('Parse of Qs'!A94="Price", 2,
IF('Parse of Qs'!A94="Energy boost/Caffeine", 3,
IF('Parse of Qs'!A94="Health benefits", 4,
IF('Parse of Qs'!A94 = "Social atmosphere", 5,
IF('Parse of Qs'!A94 ="Routine/Ritual", 6, 
IF('Parse of Qs'!A94 = "Branding/Imagery", 7,
IF('Parse of Qs'!A94 = "Social norms / influence (what people around me usually drink)", 8, 
IF('Parse of Qs'!A94 = "To try new things", 9,
IF('Parse of Qs'!A94 = "Other:", 10, 
IF('Parse of Qs'!A94 = "", 11, "")))))))))))</f>
        <v>1</v>
      </c>
      <c r="L94" s="1">
        <f>IF('Parse of Qs'!B94="Taste/Flavor", 1,
IF('Parse of Qs'!B94="Price", 2,
IF('Parse of Qs'!B94="Energy boost/Caffeine", 3,
IF('Parse of Qs'!B94="Health benefits", 4,
IF('Parse of Qs'!B94 = "Social atmosphere", 5,
IF('Parse of Qs'!B94 ="Routine/Ritual", 6, 
IF('Parse of Qs'!B94 = "Branding/Imagery", 7,
IF('Parse of Qs'!B94 = "Social norms / influence (what people around me usually drink)", 8, 
IF('Parse of Qs'!B94 = "To try new things", 9,
IF('Parse of Qs'!B94 = "Other:", 10, 
IF('Parse of Qs'!B94 = "", 11, "")))))))))))</f>
        <v>6</v>
      </c>
      <c r="M94" s="1">
        <f>IF('Parse of Qs'!C94="At cafés", 1,
IF('Parse of Qs'!C94="At home", 2,
IF('Parse of Qs'!C94="From convenience stores (7-Eleven, Lawson, etc.)", 3,
IF('Parse of Qs'!C94="From vending machines", 4,
IF('Parse of Qs'!C94 = "Other:", 5,
IF('Parse of Qs'!C94 = "", 6, ""))))))</f>
        <v>2</v>
      </c>
      <c r="N94" s="1">
        <f>IF('Parse of Qs'!D94="At cafés", 1,
IF('Parse of Qs'!D94="At home", 2,
IF('Parse of Qs'!D94="From convenience stores (7-Eleven, Lawson, etc.)", 3,
IF('Parse of Qs'!D94="From vending machines", 4,
IF('Parse of Qs'!D94 = "Other:", 5,
IF('Parse of Qs'!D94 = "", 6, ""))))))</f>
        <v>3</v>
      </c>
      <c r="O94" s="1">
        <f>IF('Parse of Qs'!E94="At cafés", 1,
IF('Parse of Qs'!E94="At home", 2,
IF('Parse of Qs'!E94="From convenience stores (7-Eleven, Lawson, etc.)", 3,
IF('Parse of Qs'!E94="From vending machines", 4,
IF('Parse of Qs'!E94 = "Other:", 5,
IF('Parse of Qs'!E94 = "", 6, ""))))))</f>
        <v>1</v>
      </c>
      <c r="P94" s="1">
        <f>IF('Parse of Qs'!F94="At cafés", 1,
IF('Parse of Qs'!F94="At home", 2,
IF('Parse of Qs'!F94="From convenience stores (7-Eleven, Lawson, etc.)", 3,
IF('Parse of Qs'!F94="From vending machines", 4,
IF('Parse of Qs'!F94 = "Other:", 5,
IF('Parse of Qs'!F94 = "", 6, ""))))))</f>
        <v>6</v>
      </c>
      <c r="Q94" s="1">
        <f>IF(OR('Master English Sheet'!R94="Every Day",'Master English Sheet'!R94="Daily"), 1,
IF('Master English Sheet'!R94="Several times a week", 2,
IF('Master English Sheet'!R94="Once a week", 3,
IF('Master English Sheet'!R94="A few times a month", 4,
IF('Master English Sheet'!R94="Rarely", 5,
IF('Master English Sheet'!R94="Never", 6, 
IF('Master English Sheet'!R94 = "", 7, "")))))))</f>
        <v>5</v>
      </c>
      <c r="R94" s="1">
        <f>IF('Master English Sheet'!S94="To relax or take a break", 1,
IF('Master English Sheet'!S94="To meet friends", 2,
IF('Master English Sheet'!S94="To study/work", 3,
IF('Master English Sheet'!S94="To try a new drink", 4,
IF('Master English Sheet'!S94="Out of habit", 5,
IF('Master English Sheet'!S94="Other:", 6, 
IF('Master English Sheet'!S94 = "", 7, "")))))))</f>
        <v>1</v>
      </c>
      <c r="S94" s="1">
        <f>IF('Master English Sheet'!U94="Quality of drinks", 1,
IF('Master English Sheet'!U94="Atmosphere", 2,
IF('Master English Sheet'!U94="Service", 3,
IF('Master English Sheet'!U94="Brand image", 4,
IF('Master English Sheet'!U94="Other:", 5, 
IF('Master English Sheet'!U94 = "", 6, ""))))))</f>
        <v>2</v>
      </c>
      <c r="T94" s="1">
        <f>IF('Master English Sheet'!W94="Yes, Western", 1,
IF('Master English Sheet'!W94="Yes, Global", 2,
IF('Master English Sheet'!W94="Yes,  Japanese", 3,
IF('Master English Sheet'!W94="No", 4,
IF('Master English Sheet'!W94="Unsure", 5, 
IF('Master English Sheet'!W94 = "", 6, ""))))))</f>
        <v>4</v>
      </c>
      <c r="U94" s="1">
        <f>IF('Master English Sheet'!X94="Yes, Western", 1,
IF('Master English Sheet'!X94="Yes, Global", 2,
IF('Master English Sheet'!X94="Yes,  Japanese", 3,
IF('Master English Sheet'!X94="No", 4,
IF('Master English Sheet'!X94="Unsure", 5, 
IF('Master English Sheet'!X94 = "", 6, ""))))))</f>
        <v>3</v>
      </c>
      <c r="V94" s="1">
        <f>'Master English Sheet'!Y94</f>
        <v>6</v>
      </c>
      <c r="W94" s="1">
        <f>'Master English Sheet'!Z94</f>
        <v>7</v>
      </c>
      <c r="X94" s="1">
        <f>'Master English Sheet'!AA94</f>
        <v>7</v>
      </c>
    </row>
    <row r="95">
      <c r="A95" s="6">
        <v>94.0</v>
      </c>
      <c r="B95" s="6">
        <v>1.0</v>
      </c>
      <c r="C95" s="1">
        <f>IF('Master English Sheet'!D95="18-25", 1,
IF('Master English Sheet'!D95="26-35", 2,
IF('Master English Sheet'!D95="36-45", 3,
IF('Master English Sheet'!D95="46-55", 4,
IF('Master English Sheet'!D95="56-65", 5,
IF('Master English Sheet'!D95="65+", 6, ""))))))</f>
        <v>5</v>
      </c>
      <c r="D95" s="1">
        <f>IF('Master English Sheet'!E95="Male", 1,
IF('Master English Sheet'!E95="Female", 2,
IF('Master English Sheet'!E95="Nonbinary", 3,
IF('Master English Sheet'!E95="Prefer not to say", 4, ""))))</f>
        <v>2</v>
      </c>
      <c r="E95" s="1">
        <f>IF('Master English Sheet'!F95="Under ¥3,000,000", 1,
IF('Master English Sheet'!F95="¥3,000,000 – ¥5,999,999", 2,
IF('Master English Sheet'!F95="¥6,000,000 – ¥8,999,999", 3,
IF('Master English Sheet'!F95="¥9,000,000 – ¥11,999,999", 4,
IF('Master English Sheet'!F95 = "¥12,000,000 or more", 5,
IF('Master English Sheet'!F95 = "Prefer not to say", 6, ""))))))</f>
        <v>2</v>
      </c>
      <c r="F95" s="1">
        <f>IF('Master English Sheet'!G95="Hokkaido", 1,
IF('Master English Sheet'!G95="Tohoku", 2,
IF('Master English Sheet'!G95="Kanto", 3,
IF('Master English Sheet'!G95="Chubu", 4,
IF('Master English Sheet'!G95 = "Kansai", 5,
IF('Master English Sheet'!G95 = "Chugoku", 6,
IF('Master English Sheet'!G95 = "Shikoku", 7,
IF('Master English Sheet'!G95 = "Kyushu", 8,
IF('Master English Sheet'!G95 = "Okinawa", 9, 
IF('Master English Sheet'!G95 = "I do not live in Japan", 10, ""))))))))))</f>
        <v>5</v>
      </c>
      <c r="G95" s="1">
        <f>IF('Master English Sheet'!H95="Daily", 1,
IF('Master English Sheet'!H95="Several times a week", 2,
IF('Master English Sheet'!H95="Once a week", 3,
IF('Master English Sheet'!H95 = "Rarely", 4,
IF('Master English Sheet'!H95 = "Never", 5, "")))))</f>
        <v>1</v>
      </c>
      <c r="H95" s="1">
        <f>IF('Master English Sheet'!I95="Pour Over", 1,
IF('Master English Sheet'!I95="Drip", 2,
IF('Master English Sheet'!I95="Latte", 3,
IF('Master English Sheet'!I95="Americano", 4,
IF('Master English Sheet'!I95 = "Cappuccino", 5,
IF('Master English Sheet'!I95 = "Flavored coffee (mocha, vanilla, caramel, etc.)", 6,
IF('Master English Sheet'!I95 = "Cold brew", 7,
IF('Master English Sheet'!I95 = "I don't drink coffee", 8,
IF('Master English Sheet'!I95 = "Other:", 9,
IF('Master English Sheet'!I95 ="", 10, ""))))))))))</f>
        <v>2</v>
      </c>
      <c r="I95" s="1">
        <f>IF('Master English Sheet'!K95="Daily", 1,
IF('Master English Sheet'!K95="Several times a week", 2,
IF('Master English Sheet'!K95="Once a week", 3,
IF('Master English Sheet'!K95 = "Rarely", 4,
IF('Master English Sheet'!K95 = "Never", 5, "")))))</f>
        <v>4</v>
      </c>
      <c r="J95" s="1">
        <f>IF('Master English Sheet'!L95="Usucha", 1,
IF('Master English Sheet'!L95="Koicha", 2,
IF('Master English Sheet'!L95="Matcha Latte", 3,
IF('Master English Sheet'!L95="I don’t drink matcha", 4,
IF('Master English Sheet'!L95 = "Other:", 5,
IF('Master English Sheet'!L95 ="", 6, ""))))))</f>
        <v>5</v>
      </c>
      <c r="K95" s="1">
        <f>IF('Parse of Qs'!A95="Taste/Flavor", 1,
IF('Parse of Qs'!A95="Price", 2,
IF('Parse of Qs'!A95="Energy boost/Caffeine", 3,
IF('Parse of Qs'!A95="Health benefits", 4,
IF('Parse of Qs'!A95 = "Social atmosphere", 5,
IF('Parse of Qs'!A95 ="Routine/Ritual", 6, 
IF('Parse of Qs'!A95 = "Branding/Imagery", 7,
IF('Parse of Qs'!A95 = "Social norms / influence (what people around me usually drink)", 8, 
IF('Parse of Qs'!A95 = "To try new things", 9,
IF('Parse of Qs'!A95 = "Other:", 10, 
IF('Parse of Qs'!A95 = "", 11, "")))))))))))</f>
        <v>1</v>
      </c>
      <c r="L95" s="1">
        <f>IF('Parse of Qs'!B95="Taste/Flavor", 1,
IF('Parse of Qs'!B95="Price", 2,
IF('Parse of Qs'!B95="Energy boost/Caffeine", 3,
IF('Parse of Qs'!B95="Health benefits", 4,
IF('Parse of Qs'!B95 = "Social atmosphere", 5,
IF('Parse of Qs'!B95 ="Routine/Ritual", 6, 
IF('Parse of Qs'!B95 = "Branding/Imagery", 7,
IF('Parse of Qs'!B95 = "Social norms / influence (what people around me usually drink)", 8, 
IF('Parse of Qs'!B95 = "To try new things", 9,
IF('Parse of Qs'!B95 = "Other:", 10, 
IF('Parse of Qs'!B95 = "", 11, "")))))))))))</f>
        <v>6</v>
      </c>
      <c r="M95" s="1">
        <f>IF('Parse of Qs'!C95="At cafés", 1,
IF('Parse of Qs'!C95="At home", 2,
IF('Parse of Qs'!C95="From convenience stores (7-Eleven, Lawson, etc.)", 3,
IF('Parse of Qs'!C95="From vending machines", 4,
IF('Parse of Qs'!C95 = "Other:", 5,
IF('Parse of Qs'!C95 = "", 6, ""))))))</f>
        <v>1</v>
      </c>
      <c r="N95" s="1">
        <f>IF('Parse of Qs'!D95="At cafés", 1,
IF('Parse of Qs'!D95="At home", 2,
IF('Parse of Qs'!D95="From convenience stores (7-Eleven, Lawson, etc.)", 3,
IF('Parse of Qs'!D95="From vending machines", 4,
IF('Parse of Qs'!D95 = "Other:", 5,
IF('Parse of Qs'!D95 = "", 6, ""))))))</f>
        <v>2</v>
      </c>
      <c r="O95" s="1">
        <f>IF('Parse of Qs'!E95="At cafés", 1,
IF('Parse of Qs'!E95="At home", 2,
IF('Parse of Qs'!E95="From convenience stores (7-Eleven, Lawson, etc.)", 3,
IF('Parse of Qs'!E95="From vending machines", 4,
IF('Parse of Qs'!E95 = "Other:", 5,
IF('Parse of Qs'!E95 = "", 6, ""))))))</f>
        <v>6</v>
      </c>
      <c r="P95" s="1">
        <f>IF('Parse of Qs'!F95="At cafés", 1,
IF('Parse of Qs'!F95="At home", 2,
IF('Parse of Qs'!F95="From convenience stores (7-Eleven, Lawson, etc.)", 3,
IF('Parse of Qs'!F95="From vending machines", 4,
IF('Parse of Qs'!F95 = "Other:", 5,
IF('Parse of Qs'!F95 = "", 6, ""))))))</f>
        <v>6</v>
      </c>
      <c r="Q95" s="1">
        <f>IF(OR('Master English Sheet'!R95="Every Day",'Master English Sheet'!R95="Daily"), 1,
IF('Master English Sheet'!R95="Several times a week", 2,
IF('Master English Sheet'!R95="Once a week", 3,
IF('Master English Sheet'!R95="A few times a month", 4,
IF('Master English Sheet'!R95="Rarely", 5,
IF('Master English Sheet'!R95="Never", 6, 
IF('Master English Sheet'!R95 = "", 7, "")))))))</f>
        <v>2</v>
      </c>
      <c r="R95" s="1">
        <f>IF('Master English Sheet'!S95="To relax or take a break", 1,
IF('Master English Sheet'!S95="To meet friends", 2,
IF('Master English Sheet'!S95="To study/work", 3,
IF('Master English Sheet'!S95="To try a new drink", 4,
IF('Master English Sheet'!S95="Out of habit", 5,
IF('Master English Sheet'!S95="Other:", 6, 
IF('Master English Sheet'!S95 = "", 7, "")))))))</f>
        <v>1</v>
      </c>
      <c r="S95" s="1">
        <f>IF('Master English Sheet'!U95="Quality of drinks", 1,
IF('Master English Sheet'!U95="Atmosphere", 2,
IF('Master English Sheet'!U95="Service", 3,
IF('Master English Sheet'!U95="Brand image", 4,
IF('Master English Sheet'!U95="Other:", 5, 
IF('Master English Sheet'!U95 = "", 6, ""))))))</f>
        <v>2</v>
      </c>
      <c r="T95" s="1">
        <f>IF('Master English Sheet'!W95="Yes, Western", 1,
IF('Master English Sheet'!W95="Yes, Global", 2,
IF('Master English Sheet'!W95="Yes,  Japanese", 3,
IF('Master English Sheet'!W95="No", 4,
IF('Master English Sheet'!W95="Unsure", 5, 
IF('Master English Sheet'!W95 = "", 6, ""))))))</f>
        <v>4</v>
      </c>
      <c r="U95" s="1">
        <f>IF('Master English Sheet'!X95="Yes, Western", 1,
IF('Master English Sheet'!X95="Yes, Global", 2,
IF('Master English Sheet'!X95="Yes,  Japanese", 3,
IF('Master English Sheet'!X95="No", 4,
IF('Master English Sheet'!X95="Unsure", 5, 
IF('Master English Sheet'!X95 = "", 6, ""))))))</f>
        <v>3</v>
      </c>
      <c r="V95" s="1">
        <f>'Master English Sheet'!Y95</f>
        <v>4</v>
      </c>
      <c r="W95" s="1">
        <f>'Master English Sheet'!Z95</f>
        <v>6</v>
      </c>
      <c r="X95" s="1">
        <f>'Master English Sheet'!AA95</f>
        <v>5</v>
      </c>
    </row>
    <row r="96">
      <c r="A96" s="6">
        <v>95.0</v>
      </c>
      <c r="B96" s="6">
        <v>1.0</v>
      </c>
      <c r="C96" s="1">
        <f>IF('Master English Sheet'!D96="18-25", 1,
IF('Master English Sheet'!D96="26-35", 2,
IF('Master English Sheet'!D96="36-45", 3,
IF('Master English Sheet'!D96="46-55", 4,
IF('Master English Sheet'!D96="56-65", 5,
IF('Master English Sheet'!D96="65+", 6, ""))))))</f>
        <v>2</v>
      </c>
      <c r="D96" s="1">
        <f>IF('Master English Sheet'!E96="Male", 1,
IF('Master English Sheet'!E96="Female", 2,
IF('Master English Sheet'!E96="Nonbinary", 3,
IF('Master English Sheet'!E96="Prefer not to say", 4, ""))))</f>
        <v>1</v>
      </c>
      <c r="E96" s="1">
        <f>IF('Master English Sheet'!F96="Under ¥3,000,000", 1,
IF('Master English Sheet'!F96="¥3,000,000 – ¥5,999,999", 2,
IF('Master English Sheet'!F96="¥6,000,000 – ¥8,999,999", 3,
IF('Master English Sheet'!F96="¥9,000,000 – ¥11,999,999", 4,
IF('Master English Sheet'!F96 = "¥12,000,000 or more", 5,
IF('Master English Sheet'!F96 = "Prefer not to say", 6, ""))))))</f>
        <v>3</v>
      </c>
      <c r="F96" s="1">
        <f>IF('Master English Sheet'!G96="Hokkaido", 1,
IF('Master English Sheet'!G96="Tohoku", 2,
IF('Master English Sheet'!G96="Kanto", 3,
IF('Master English Sheet'!G96="Chubu", 4,
IF('Master English Sheet'!G96 = "Kansai", 5,
IF('Master English Sheet'!G96 = "Chugoku", 6,
IF('Master English Sheet'!G96 = "Shikoku", 7,
IF('Master English Sheet'!G96 = "Kyushu", 8,
IF('Master English Sheet'!G96 = "Okinawa", 9, 
IF('Master English Sheet'!G96 = "I do not live in Japan", 10, ""))))))))))</f>
        <v>3</v>
      </c>
      <c r="G96" s="1">
        <f>IF('Master English Sheet'!H96="Daily", 1,
IF('Master English Sheet'!H96="Several times a week", 2,
IF('Master English Sheet'!H96="Once a week", 3,
IF('Master English Sheet'!H96 = "Rarely", 4,
IF('Master English Sheet'!H96 = "Never", 5, "")))))</f>
        <v>2</v>
      </c>
      <c r="H96" s="1">
        <f>IF('Master English Sheet'!I96="Pour Over", 1,
IF('Master English Sheet'!I96="Drip", 2,
IF('Master English Sheet'!I96="Latte", 3,
IF('Master English Sheet'!I96="Americano", 4,
IF('Master English Sheet'!I96 = "Cappuccino", 5,
IF('Master English Sheet'!I96 = "Flavored coffee (mocha, vanilla, caramel, etc.)", 6,
IF('Master English Sheet'!I96 = "Cold brew", 7,
IF('Master English Sheet'!I96 = "I don't drink coffee", 8,
IF('Master English Sheet'!I96 = "Other:", 9,
IF('Master English Sheet'!I96 ="", 10, ""))))))))))</f>
        <v>3</v>
      </c>
      <c r="I96" s="1">
        <f>IF('Master English Sheet'!K96="Daily", 1,
IF('Master English Sheet'!K96="Several times a week", 2,
IF('Master English Sheet'!K96="Once a week", 3,
IF('Master English Sheet'!K96 = "Rarely", 4,
IF('Master English Sheet'!K96 = "Never", 5, "")))))</f>
        <v>3</v>
      </c>
      <c r="J96" s="1">
        <f>IF('Master English Sheet'!L96="Usucha", 1,
IF('Master English Sheet'!L96="Koicha", 2,
IF('Master English Sheet'!L96="Matcha Latte", 3,
IF('Master English Sheet'!L96="I don’t drink matcha", 4,
IF('Master English Sheet'!L96 = "Other:", 5,
IF('Master English Sheet'!L96 ="", 6, ""))))))</f>
        <v>4</v>
      </c>
      <c r="K96" s="1">
        <f>IF('Parse of Qs'!A96="Taste/Flavor", 1,
IF('Parse of Qs'!A96="Price", 2,
IF('Parse of Qs'!A96="Energy boost/Caffeine", 3,
IF('Parse of Qs'!A96="Health benefits", 4,
IF('Parse of Qs'!A96 = "Social atmosphere", 5,
IF('Parse of Qs'!A96 ="Routine/Ritual", 6, 
IF('Parse of Qs'!A96 = "Branding/Imagery", 7,
IF('Parse of Qs'!A96 = "Social norms / influence (what people around me usually drink)", 8, 
IF('Parse of Qs'!A96 = "To try new things", 9,
IF('Parse of Qs'!A96 = "Other:", 10, 
IF('Parse of Qs'!A96 = "", 11, "")))))))))))</f>
        <v>7</v>
      </c>
      <c r="L96" s="1">
        <f>IF('Parse of Qs'!B96="Taste/Flavor", 1,
IF('Parse of Qs'!B96="Price", 2,
IF('Parse of Qs'!B96="Energy boost/Caffeine", 3,
IF('Parse of Qs'!B96="Health benefits", 4,
IF('Parse of Qs'!B96 = "Social atmosphere", 5,
IF('Parse of Qs'!B96 ="Routine/Ritual", 6, 
IF('Parse of Qs'!B96 = "Branding/Imagery", 7,
IF('Parse of Qs'!B96 = "Social norms / influence (what people around me usually drink)", 8, 
IF('Parse of Qs'!B96 = "To try new things", 9,
IF('Parse of Qs'!B96 = "Other:", 10, 
IF('Parse of Qs'!B96 = "", 11, "")))))))))))</f>
        <v>1</v>
      </c>
      <c r="M96" s="1">
        <f>IF('Parse of Qs'!C96="At cafés", 1,
IF('Parse of Qs'!C96="At home", 2,
IF('Parse of Qs'!C96="From convenience stores (7-Eleven, Lawson, etc.)", 3,
IF('Parse of Qs'!C96="From vending machines", 4,
IF('Parse of Qs'!C96 = "Other:", 5,
IF('Parse of Qs'!C96 = "", 6, ""))))))</f>
        <v>1</v>
      </c>
      <c r="N96" s="1">
        <f>IF('Parse of Qs'!D96="At cafés", 1,
IF('Parse of Qs'!D96="At home", 2,
IF('Parse of Qs'!D96="From convenience stores (7-Eleven, Lawson, etc.)", 3,
IF('Parse of Qs'!D96="From vending machines", 4,
IF('Parse of Qs'!D96 = "Other:", 5,
IF('Parse of Qs'!D96 = "", 6, ""))))))</f>
        <v>6</v>
      </c>
      <c r="O96" s="1">
        <f>IF('Parse of Qs'!E96="At cafés", 1,
IF('Parse of Qs'!E96="At home", 2,
IF('Parse of Qs'!E96="From convenience stores (7-Eleven, Lawson, etc.)", 3,
IF('Parse of Qs'!E96="From vending machines", 4,
IF('Parse of Qs'!E96 = "Other:", 5,
IF('Parse of Qs'!E96 = "", 6, ""))))))</f>
        <v>6</v>
      </c>
      <c r="P96" s="1">
        <f>IF('Parse of Qs'!F96="At cafés", 1,
IF('Parse of Qs'!F96="At home", 2,
IF('Parse of Qs'!F96="From convenience stores (7-Eleven, Lawson, etc.)", 3,
IF('Parse of Qs'!F96="From vending machines", 4,
IF('Parse of Qs'!F96 = "Other:", 5,
IF('Parse of Qs'!F96 = "", 6, ""))))))</f>
        <v>6</v>
      </c>
      <c r="Q96" s="1">
        <f>IF(OR('Master English Sheet'!R96="Every Day",'Master English Sheet'!R96="Daily"), 1,
IF('Master English Sheet'!R96="Several times a week", 2,
IF('Master English Sheet'!R96="Once a week", 3,
IF('Master English Sheet'!R96="A few times a month", 4,
IF('Master English Sheet'!R96="Rarely", 5,
IF('Master English Sheet'!R96="Never", 6, 
IF('Master English Sheet'!R96 = "", 7, "")))))))</f>
        <v>2</v>
      </c>
      <c r="R96" s="1">
        <f>IF('Master English Sheet'!S96="To relax or take a break", 1,
IF('Master English Sheet'!S96="To meet friends", 2,
IF('Master English Sheet'!S96="To study/work", 3,
IF('Master English Sheet'!S96="To try a new drink", 4,
IF('Master English Sheet'!S96="Out of habit", 5,
IF('Master English Sheet'!S96="Other:", 6, 
IF('Master English Sheet'!S96 = "", 7, "")))))))</f>
        <v>3</v>
      </c>
      <c r="S96" s="1">
        <f>IF('Master English Sheet'!U96="Quality of drinks", 1,
IF('Master English Sheet'!U96="Atmosphere", 2,
IF('Master English Sheet'!U96="Service", 3,
IF('Master English Sheet'!U96="Brand image", 4,
IF('Master English Sheet'!U96="Other:", 5, 
IF('Master English Sheet'!U96 = "", 6, ""))))))</f>
        <v>2</v>
      </c>
      <c r="T96" s="1">
        <f>IF('Master English Sheet'!W96="Yes, Western", 1,
IF('Master English Sheet'!W96="Yes, Global", 2,
IF('Master English Sheet'!W96="Yes,  Japanese", 3,
IF('Master English Sheet'!W96="No", 4,
IF('Master English Sheet'!W96="Unsure", 5, 
IF('Master English Sheet'!W96 = "", 6, ""))))))</f>
        <v>2</v>
      </c>
      <c r="U96" s="1">
        <f>IF('Master English Sheet'!X96="Yes, Western", 1,
IF('Master English Sheet'!X96="Yes, Global", 2,
IF('Master English Sheet'!X96="Yes,  Japanese", 3,
IF('Master English Sheet'!X96="No", 4,
IF('Master English Sheet'!X96="Unsure", 5, 
IF('Master English Sheet'!X96 = "", 6, ""))))))</f>
        <v>2</v>
      </c>
      <c r="V96" s="1">
        <f>'Master English Sheet'!Y96</f>
        <v>6</v>
      </c>
      <c r="W96" s="1">
        <f>'Master English Sheet'!Z96</f>
        <v>6</v>
      </c>
      <c r="X96" s="1">
        <f>'Master English Sheet'!AA96</f>
        <v>3</v>
      </c>
    </row>
    <row r="97">
      <c r="A97" s="6">
        <v>96.0</v>
      </c>
      <c r="B97" s="6">
        <v>1.0</v>
      </c>
      <c r="C97" s="1">
        <f>IF('Master English Sheet'!D97="18-25", 1,
IF('Master English Sheet'!D97="26-35", 2,
IF('Master English Sheet'!D97="36-45", 3,
IF('Master English Sheet'!D97="46-55", 4,
IF('Master English Sheet'!D97="56-65", 5,
IF('Master English Sheet'!D97="65+", 6, ""))))))</f>
        <v>3</v>
      </c>
      <c r="D97" s="1">
        <f>IF('Master English Sheet'!E97="Male", 1,
IF('Master English Sheet'!E97="Female", 2,
IF('Master English Sheet'!E97="Nonbinary", 3,
IF('Master English Sheet'!E97="Prefer not to say", 4, ""))))</f>
        <v>2</v>
      </c>
      <c r="E97" s="1">
        <f>IF('Master English Sheet'!F97="Under ¥3,000,000", 1,
IF('Master English Sheet'!F97="¥3,000,000 – ¥5,999,999", 2,
IF('Master English Sheet'!F97="¥6,000,000 – ¥8,999,999", 3,
IF('Master English Sheet'!F97="¥9,000,000 – ¥11,999,999", 4,
IF('Master English Sheet'!F97 = "¥12,000,000 or more", 5,
IF('Master English Sheet'!F97 = "Prefer not to say", 6, ""))))))</f>
        <v>3</v>
      </c>
      <c r="F97" s="1">
        <f>IF('Master English Sheet'!G97="Hokkaido", 1,
IF('Master English Sheet'!G97="Tohoku", 2,
IF('Master English Sheet'!G97="Kanto", 3,
IF('Master English Sheet'!G97="Chubu", 4,
IF('Master English Sheet'!G97 = "Kansai", 5,
IF('Master English Sheet'!G97 = "Chugoku", 6,
IF('Master English Sheet'!G97 = "Shikoku", 7,
IF('Master English Sheet'!G97 = "Kyushu", 8,
IF('Master English Sheet'!G97 = "Okinawa", 9, 
IF('Master English Sheet'!G97 = "I do not live in Japan", 10, ""))))))))))</f>
        <v>5</v>
      </c>
      <c r="G97" s="1">
        <f>IF('Master English Sheet'!H97="Daily", 1,
IF('Master English Sheet'!H97="Several times a week", 2,
IF('Master English Sheet'!H97="Once a week", 3,
IF('Master English Sheet'!H97 = "Rarely", 4,
IF('Master English Sheet'!H97 = "Never", 5, "")))))</f>
        <v>2</v>
      </c>
      <c r="H97" s="1">
        <f>IF('Master English Sheet'!I97="Pour Over", 1,
IF('Master English Sheet'!I97="Drip", 2,
IF('Master English Sheet'!I97="Latte", 3,
IF('Master English Sheet'!I97="Americano", 4,
IF('Master English Sheet'!I97 = "Cappuccino", 5,
IF('Master English Sheet'!I97 = "Flavored coffee (mocha, vanilla, caramel, etc.)", 6,
IF('Master English Sheet'!I97 = "Cold brew", 7,
IF('Master English Sheet'!I97 = "I don't drink coffee", 8,
IF('Master English Sheet'!I97 = "Other:", 9,
IF('Master English Sheet'!I97 ="", 10, ""))))))))))</f>
        <v>2</v>
      </c>
      <c r="I97" s="1">
        <f>IF('Master English Sheet'!K97="Daily", 1,
IF('Master English Sheet'!K97="Several times a week", 2,
IF('Master English Sheet'!K97="Once a week", 3,
IF('Master English Sheet'!K97 = "Rarely", 4,
IF('Master English Sheet'!K97 = "Never", 5, "")))))</f>
        <v>4</v>
      </c>
      <c r="J97" s="1">
        <f>IF('Master English Sheet'!L97="Usucha", 1,
IF('Master English Sheet'!L97="Koicha", 2,
IF('Master English Sheet'!L97="Matcha Latte", 3,
IF('Master English Sheet'!L97="I don’t drink matcha", 4,
IF('Master English Sheet'!L97 = "Other:", 5,
IF('Master English Sheet'!L97 ="", 6, ""))))))</f>
        <v>3</v>
      </c>
      <c r="K97" s="1">
        <f>IF('Parse of Qs'!A97="Taste/Flavor", 1,
IF('Parse of Qs'!A97="Price", 2,
IF('Parse of Qs'!A97="Energy boost/Caffeine", 3,
IF('Parse of Qs'!A97="Health benefits", 4,
IF('Parse of Qs'!A97 = "Social atmosphere", 5,
IF('Parse of Qs'!A97 ="Routine/Ritual", 6, 
IF('Parse of Qs'!A97 = "Branding/Imagery", 7,
IF('Parse of Qs'!A97 = "Social norms / influence (what people around me usually drink)", 8, 
IF('Parse of Qs'!A97 = "To try new things", 9,
IF('Parse of Qs'!A97 = "Other:", 10, 
IF('Parse of Qs'!A97 = "", 11, "")))))))))))</f>
        <v>10</v>
      </c>
      <c r="L97" s="1">
        <f>IF('Parse of Qs'!B97="Taste/Flavor", 1,
IF('Parse of Qs'!B97="Price", 2,
IF('Parse of Qs'!B97="Energy boost/Caffeine", 3,
IF('Parse of Qs'!B97="Health benefits", 4,
IF('Parse of Qs'!B97 = "Social atmosphere", 5,
IF('Parse of Qs'!B97 ="Routine/Ritual", 6, 
IF('Parse of Qs'!B97 = "Branding/Imagery", 7,
IF('Parse of Qs'!B97 = "Social norms / influence (what people around me usually drink)", 8, 
IF('Parse of Qs'!B97 = "To try new things", 9,
IF('Parse of Qs'!B97 = "Other:", 10, 
IF('Parse of Qs'!B97 = "", 11, "")))))))))))</f>
        <v>1</v>
      </c>
      <c r="M97" s="1">
        <f>IF('Parse of Qs'!C97="At cafés", 1,
IF('Parse of Qs'!C97="At home", 2,
IF('Parse of Qs'!C97="From convenience stores (7-Eleven, Lawson, etc.)", 3,
IF('Parse of Qs'!C97="From vending machines", 4,
IF('Parse of Qs'!C97 = "Other:", 5,
IF('Parse of Qs'!C97 = "", 6, ""))))))</f>
        <v>2</v>
      </c>
      <c r="N97" s="1">
        <f>IF('Parse of Qs'!D97="At cafés", 1,
IF('Parse of Qs'!D97="At home", 2,
IF('Parse of Qs'!D97="From convenience stores (7-Eleven, Lawson, etc.)", 3,
IF('Parse of Qs'!D97="From vending machines", 4,
IF('Parse of Qs'!D97 = "Other:", 5,
IF('Parse of Qs'!D97 = "", 6, ""))))))</f>
        <v>3</v>
      </c>
      <c r="O97" s="1">
        <f>IF('Parse of Qs'!E97="At cafés", 1,
IF('Parse of Qs'!E97="At home", 2,
IF('Parse of Qs'!E97="From convenience stores (7-Eleven, Lawson, etc.)", 3,
IF('Parse of Qs'!E97="From vending machines", 4,
IF('Parse of Qs'!E97 = "Other:", 5,
IF('Parse of Qs'!E97 = "", 6, ""))))))</f>
        <v>6</v>
      </c>
      <c r="P97" s="1">
        <f>IF('Parse of Qs'!F97="At cafés", 1,
IF('Parse of Qs'!F97="At home", 2,
IF('Parse of Qs'!F97="From convenience stores (7-Eleven, Lawson, etc.)", 3,
IF('Parse of Qs'!F97="From vending machines", 4,
IF('Parse of Qs'!F97 = "Other:", 5,
IF('Parse of Qs'!F97 = "", 6, ""))))))</f>
        <v>6</v>
      </c>
      <c r="Q97" s="1">
        <f>IF(OR('Master English Sheet'!R97="Every Day",'Master English Sheet'!R97="Daily"), 1,
IF('Master English Sheet'!R97="Several times a week", 2,
IF('Master English Sheet'!R97="Once a week", 3,
IF('Master English Sheet'!R97="A few times a month", 4,
IF('Master English Sheet'!R97="Rarely", 5,
IF('Master English Sheet'!R97="Never", 6, 
IF('Master English Sheet'!R97 = "", 7, "")))))))</f>
        <v>4</v>
      </c>
      <c r="R97" s="1">
        <f>IF('Master English Sheet'!S97="To relax or take a break", 1,
IF('Master English Sheet'!S97="To meet friends", 2,
IF('Master English Sheet'!S97="To study/work", 3,
IF('Master English Sheet'!S97="To try a new drink", 4,
IF('Master English Sheet'!S97="Out of habit", 5,
IF('Master English Sheet'!S97="Other:", 6, 
IF('Master English Sheet'!S97 = "", 7, "")))))))</f>
        <v>3</v>
      </c>
      <c r="S97" s="1">
        <f>IF('Master English Sheet'!U97="Quality of drinks", 1,
IF('Master English Sheet'!U97="Atmosphere", 2,
IF('Master English Sheet'!U97="Service", 3,
IF('Master English Sheet'!U97="Brand image", 4,
IF('Master English Sheet'!U97="Other:", 5, 
IF('Master English Sheet'!U97 = "", 6, ""))))))</f>
        <v>2</v>
      </c>
      <c r="T97" s="1">
        <f>IF('Master English Sheet'!W97="Yes, Western", 1,
IF('Master English Sheet'!W97="Yes, Global", 2,
IF('Master English Sheet'!W97="Yes,  Japanese", 3,
IF('Master English Sheet'!W97="No", 4,
IF('Master English Sheet'!W97="Unsure", 5, 
IF('Master English Sheet'!W97 = "", 6, ""))))))</f>
        <v>2</v>
      </c>
      <c r="U97" s="1">
        <f>IF('Master English Sheet'!X97="Yes, Western", 1,
IF('Master English Sheet'!X97="Yes, Global", 2,
IF('Master English Sheet'!X97="Yes,  Japanese", 3,
IF('Master English Sheet'!X97="No", 4,
IF('Master English Sheet'!X97="Unsure", 5, 
IF('Master English Sheet'!X97 = "", 6, ""))))))</f>
        <v>3</v>
      </c>
      <c r="V97" s="1">
        <f>'Master English Sheet'!Y97</f>
        <v>5</v>
      </c>
      <c r="W97" s="1">
        <f>'Master English Sheet'!Z97</f>
        <v>5</v>
      </c>
      <c r="X97" s="1">
        <f>'Master English Sheet'!AA97</f>
        <v>5</v>
      </c>
    </row>
    <row r="98">
      <c r="A98" s="6">
        <v>97.0</v>
      </c>
      <c r="B98" s="6">
        <v>1.0</v>
      </c>
      <c r="C98" s="1">
        <f>IF('Master English Sheet'!D98="18-25", 1,
IF('Master English Sheet'!D98="26-35", 2,
IF('Master English Sheet'!D98="36-45", 3,
IF('Master English Sheet'!D98="46-55", 4,
IF('Master English Sheet'!D98="56-65", 5,
IF('Master English Sheet'!D98="65+", 6, ""))))))</f>
        <v>6</v>
      </c>
      <c r="D98" s="1">
        <f>IF('Master English Sheet'!E98="Male", 1,
IF('Master English Sheet'!E98="Female", 2,
IF('Master English Sheet'!E98="Nonbinary", 3,
IF('Master English Sheet'!E98="Prefer not to say", 4, ""))))</f>
        <v>1</v>
      </c>
      <c r="E98" s="1">
        <f>IF('Master English Sheet'!F98="Under ¥3,000,000", 1,
IF('Master English Sheet'!F98="¥3,000,000 – ¥5,999,999", 2,
IF('Master English Sheet'!F98="¥6,000,000 – ¥8,999,999", 3,
IF('Master English Sheet'!F98="¥9,000,000 – ¥11,999,999", 4,
IF('Master English Sheet'!F98 = "¥12,000,000 or more", 5,
IF('Master English Sheet'!F98 = "Prefer not to say", 6, ""))))))</f>
        <v>2</v>
      </c>
      <c r="F98" s="1">
        <f>IF('Master English Sheet'!G98="Hokkaido", 1,
IF('Master English Sheet'!G98="Tohoku", 2,
IF('Master English Sheet'!G98="Kanto", 3,
IF('Master English Sheet'!G98="Chubu", 4,
IF('Master English Sheet'!G98 = "Kansai", 5,
IF('Master English Sheet'!G98 = "Chugoku", 6,
IF('Master English Sheet'!G98 = "Shikoku", 7,
IF('Master English Sheet'!G98 = "Kyushu", 8,
IF('Master English Sheet'!G98 = "Okinawa", 9, 
IF('Master English Sheet'!G98 = "I do not live in Japan", 10, ""))))))))))</f>
        <v>5</v>
      </c>
      <c r="G98" s="1">
        <f>IF('Master English Sheet'!H98="Daily", 1,
IF('Master English Sheet'!H98="Several times a week", 2,
IF('Master English Sheet'!H98="Once a week", 3,
IF('Master English Sheet'!H98 = "Rarely", 4,
IF('Master English Sheet'!H98 = "Never", 5, "")))))</f>
        <v>1</v>
      </c>
      <c r="H98" s="1">
        <f>IF('Master English Sheet'!I98="Pour Over", 1,
IF('Master English Sheet'!I98="Drip", 2,
IF('Master English Sheet'!I98="Latte", 3,
IF('Master English Sheet'!I98="Americano", 4,
IF('Master English Sheet'!I98 = "Cappuccino", 5,
IF('Master English Sheet'!I98 = "Flavored coffee (mocha, vanilla, caramel, etc.)", 6,
IF('Master English Sheet'!I98 = "Cold brew", 7,
IF('Master English Sheet'!I98 = "I don't drink coffee", 8,
IF('Master English Sheet'!I98 = "Other:", 9,
IF('Master English Sheet'!I98 ="", 10, ""))))))))))</f>
        <v>2</v>
      </c>
      <c r="I98" s="1">
        <f>IF('Master English Sheet'!K98="Daily", 1,
IF('Master English Sheet'!K98="Several times a week", 2,
IF('Master English Sheet'!K98="Once a week", 3,
IF('Master English Sheet'!K98 = "Rarely", 4,
IF('Master English Sheet'!K98 = "Never", 5, "")))))</f>
        <v>4</v>
      </c>
      <c r="J98" s="1">
        <f>IF('Master English Sheet'!L98="Usucha", 1,
IF('Master English Sheet'!L98="Koicha", 2,
IF('Master English Sheet'!L98="Matcha Latte", 3,
IF('Master English Sheet'!L98="I don’t drink matcha", 4,
IF('Master English Sheet'!L98 = "Other:", 5,
IF('Master English Sheet'!L98 ="", 6, ""))))))</f>
        <v>5</v>
      </c>
      <c r="K98" s="1">
        <f>IF('Parse of Qs'!A98="Taste/Flavor", 1,
IF('Parse of Qs'!A98="Price", 2,
IF('Parse of Qs'!A98="Energy boost/Caffeine", 3,
IF('Parse of Qs'!A98="Health benefits", 4,
IF('Parse of Qs'!A98 = "Social atmosphere", 5,
IF('Parse of Qs'!A98 ="Routine/Ritual", 6, 
IF('Parse of Qs'!A98 = "Branding/Imagery", 7,
IF('Parse of Qs'!A98 = "Social norms / influence (what people around me usually drink)", 8, 
IF('Parse of Qs'!A98 = "To try new things", 9,
IF('Parse of Qs'!A98 = "Other:", 10, 
IF('Parse of Qs'!A98 = "", 11, "")))))))))))</f>
        <v>6</v>
      </c>
      <c r="L98" s="1">
        <f>IF('Parse of Qs'!B98="Taste/Flavor", 1,
IF('Parse of Qs'!B98="Price", 2,
IF('Parse of Qs'!B98="Energy boost/Caffeine", 3,
IF('Parse of Qs'!B98="Health benefits", 4,
IF('Parse of Qs'!B98 = "Social atmosphere", 5,
IF('Parse of Qs'!B98 ="Routine/Ritual", 6, 
IF('Parse of Qs'!B98 = "Branding/Imagery", 7,
IF('Parse of Qs'!B98 = "Social norms / influence (what people around me usually drink)", 8, 
IF('Parse of Qs'!B98 = "To try new things", 9,
IF('Parse of Qs'!B98 = "Other:", 10, 
IF('Parse of Qs'!B98 = "", 11, "")))))))))))</f>
        <v>7</v>
      </c>
      <c r="M98" s="1">
        <f>IF('Parse of Qs'!C98="At cafés", 1,
IF('Parse of Qs'!C98="At home", 2,
IF('Parse of Qs'!C98="From convenience stores (7-Eleven, Lawson, etc.)", 3,
IF('Parse of Qs'!C98="From vending machines", 4,
IF('Parse of Qs'!C98 = "Other:", 5,
IF('Parse of Qs'!C98 = "", 6, ""))))))</f>
        <v>2</v>
      </c>
      <c r="N98" s="1">
        <f>IF('Parse of Qs'!D98="At cafés", 1,
IF('Parse of Qs'!D98="At home", 2,
IF('Parse of Qs'!D98="From convenience stores (7-Eleven, Lawson, etc.)", 3,
IF('Parse of Qs'!D98="From vending machines", 4,
IF('Parse of Qs'!D98 = "Other:", 5,
IF('Parse of Qs'!D98 = "", 6, ""))))))</f>
        <v>6</v>
      </c>
      <c r="O98" s="1">
        <f>IF('Parse of Qs'!E98="At cafés", 1,
IF('Parse of Qs'!E98="At home", 2,
IF('Parse of Qs'!E98="From convenience stores (7-Eleven, Lawson, etc.)", 3,
IF('Parse of Qs'!E98="From vending machines", 4,
IF('Parse of Qs'!E98 = "Other:", 5,
IF('Parse of Qs'!E98 = "", 6, ""))))))</f>
        <v>6</v>
      </c>
      <c r="P98" s="1">
        <f>IF('Parse of Qs'!F98="At cafés", 1,
IF('Parse of Qs'!F98="At home", 2,
IF('Parse of Qs'!F98="From convenience stores (7-Eleven, Lawson, etc.)", 3,
IF('Parse of Qs'!F98="From vending machines", 4,
IF('Parse of Qs'!F98 = "Other:", 5,
IF('Parse of Qs'!F98 = "", 6, ""))))))</f>
        <v>6</v>
      </c>
      <c r="Q98" s="1">
        <f>IF(OR('Master English Sheet'!R98="Every Day",'Master English Sheet'!R98="Daily"), 1,
IF('Master English Sheet'!R98="Several times a week", 2,
IF('Master English Sheet'!R98="Once a week", 3,
IF('Master English Sheet'!R98="A few times a month", 4,
IF('Master English Sheet'!R98="Rarely", 5,
IF('Master English Sheet'!R98="Never", 6, 
IF('Master English Sheet'!R98 = "", 7, "")))))))</f>
        <v>5</v>
      </c>
      <c r="R98" s="1">
        <f>IF('Master English Sheet'!S98="To relax or take a break", 1,
IF('Master English Sheet'!S98="To meet friends", 2,
IF('Master English Sheet'!S98="To study/work", 3,
IF('Master English Sheet'!S98="To try a new drink", 4,
IF('Master English Sheet'!S98="Out of habit", 5,
IF('Master English Sheet'!S98="Other:", 6, 
IF('Master English Sheet'!S98 = "", 7, "")))))))</f>
        <v>6</v>
      </c>
      <c r="S98" s="1">
        <f>IF('Master English Sheet'!U98="Quality of drinks", 1,
IF('Master English Sheet'!U98="Atmosphere", 2,
IF('Master English Sheet'!U98="Service", 3,
IF('Master English Sheet'!U98="Brand image", 4,
IF('Master English Sheet'!U98="Other:", 5, 
IF('Master English Sheet'!U98 = "", 6, ""))))))</f>
        <v>6</v>
      </c>
      <c r="T98" s="1">
        <f>IF('Master English Sheet'!W98="Yes, Western", 1,
IF('Master English Sheet'!W98="Yes, Global", 2,
IF('Master English Sheet'!W98="Yes,  Japanese", 3,
IF('Master English Sheet'!W98="No", 4,
IF('Master English Sheet'!W98="Unsure", 5, 
IF('Master English Sheet'!W98 = "", 6, ""))))))</f>
        <v>1</v>
      </c>
      <c r="U98" s="1">
        <f>IF('Master English Sheet'!X98="Yes, Western", 1,
IF('Master English Sheet'!X98="Yes, Global", 2,
IF('Master English Sheet'!X98="Yes,  Japanese", 3,
IF('Master English Sheet'!X98="No", 4,
IF('Master English Sheet'!X98="Unsure", 5, 
IF('Master English Sheet'!X98 = "", 6, ""))))))</f>
        <v>3</v>
      </c>
      <c r="V98" s="1">
        <f>'Master English Sheet'!Y98</f>
        <v>5</v>
      </c>
      <c r="W98" s="1">
        <f>'Master English Sheet'!Z98</f>
        <v>6</v>
      </c>
      <c r="X98" s="1">
        <f>'Master English Sheet'!AA98</f>
        <v>2</v>
      </c>
    </row>
    <row r="99">
      <c r="A99" s="6">
        <v>98.0</v>
      </c>
      <c r="B99" s="6">
        <v>1.0</v>
      </c>
      <c r="C99" s="1">
        <f>IF('Master English Sheet'!D99="18-25", 1,
IF('Master English Sheet'!D99="26-35", 2,
IF('Master English Sheet'!D99="36-45", 3,
IF('Master English Sheet'!D99="46-55", 4,
IF('Master English Sheet'!D99="56-65", 5,
IF('Master English Sheet'!D99="65+", 6, ""))))))</f>
        <v>3</v>
      </c>
      <c r="D99" s="1">
        <f>IF('Master English Sheet'!E99="Male", 1,
IF('Master English Sheet'!E99="Female", 2,
IF('Master English Sheet'!E99="Nonbinary", 3,
IF('Master English Sheet'!E99="Prefer not to say", 4, ""))))</f>
        <v>2</v>
      </c>
      <c r="E99" s="1">
        <f>IF('Master English Sheet'!F99="Under ¥3,000,000", 1,
IF('Master English Sheet'!F99="¥3,000,000 – ¥5,999,999", 2,
IF('Master English Sheet'!F99="¥6,000,000 – ¥8,999,999", 3,
IF('Master English Sheet'!F99="¥9,000,000 – ¥11,999,999", 4,
IF('Master English Sheet'!F99 = "¥12,000,000 or more", 5,
IF('Master English Sheet'!F99 = "Prefer not to say", 6, ""))))))</f>
        <v>3</v>
      </c>
      <c r="F99" s="1">
        <f>IF('Master English Sheet'!G99="Hokkaido", 1,
IF('Master English Sheet'!G99="Tohoku", 2,
IF('Master English Sheet'!G99="Kanto", 3,
IF('Master English Sheet'!G99="Chubu", 4,
IF('Master English Sheet'!G99 = "Kansai", 5,
IF('Master English Sheet'!G99 = "Chugoku", 6,
IF('Master English Sheet'!G99 = "Shikoku", 7,
IF('Master English Sheet'!G99 = "Kyushu", 8,
IF('Master English Sheet'!G99 = "Okinawa", 9, 
IF('Master English Sheet'!G99 = "I do not live in Japan", 10, ""))))))))))</f>
        <v>3</v>
      </c>
      <c r="G99" s="1">
        <f>IF('Master English Sheet'!H99="Daily", 1,
IF('Master English Sheet'!H99="Several times a week", 2,
IF('Master English Sheet'!H99="Once a week", 3,
IF('Master English Sheet'!H99 = "Rarely", 4,
IF('Master English Sheet'!H99 = "Never", 5, "")))))</f>
        <v>2</v>
      </c>
      <c r="H99" s="1">
        <f>IF('Master English Sheet'!I99="Pour Over", 1,
IF('Master English Sheet'!I99="Drip", 2,
IF('Master English Sheet'!I99="Latte", 3,
IF('Master English Sheet'!I99="Americano", 4,
IF('Master English Sheet'!I99 = "Cappuccino", 5,
IF('Master English Sheet'!I99 = "Flavored coffee (mocha, vanilla, caramel, etc.)", 6,
IF('Master English Sheet'!I99 = "Cold brew", 7,
IF('Master English Sheet'!I99 = "I don't drink coffee", 8,
IF('Master English Sheet'!I99 = "Other:", 9,
IF('Master English Sheet'!I99 ="", 10, ""))))))))))</f>
        <v>3</v>
      </c>
      <c r="I99" s="1">
        <f>IF('Master English Sheet'!K99="Daily", 1,
IF('Master English Sheet'!K99="Several times a week", 2,
IF('Master English Sheet'!K99="Once a week", 3,
IF('Master English Sheet'!K99 = "Rarely", 4,
IF('Master English Sheet'!K99 = "Never", 5, "")))))</f>
        <v>4</v>
      </c>
      <c r="J99" s="1">
        <f>IF('Master English Sheet'!L99="Usucha", 1,
IF('Master English Sheet'!L99="Koicha", 2,
IF('Master English Sheet'!L99="Matcha Latte", 3,
IF('Master English Sheet'!L99="I don’t drink matcha", 4,
IF('Master English Sheet'!L99 = "Other:", 5,
IF('Master English Sheet'!L99 ="", 6, ""))))))</f>
        <v>3</v>
      </c>
      <c r="K99" s="1">
        <f>IF('Parse of Qs'!A99="Taste/Flavor", 1,
IF('Parse of Qs'!A99="Price", 2,
IF('Parse of Qs'!A99="Energy boost/Caffeine", 3,
IF('Parse of Qs'!A99="Health benefits", 4,
IF('Parse of Qs'!A99 = "Social atmosphere", 5,
IF('Parse of Qs'!A99 ="Routine/Ritual", 6, 
IF('Parse of Qs'!A99 = "Branding/Imagery", 7,
IF('Parse of Qs'!A99 = "Social norms / influence (what people around me usually drink)", 8, 
IF('Parse of Qs'!A99 = "To try new things", 9,
IF('Parse of Qs'!A99 = "Other:", 10, 
IF('Parse of Qs'!A99 = "", 11, "")))))))))))</f>
        <v>1</v>
      </c>
      <c r="L99" s="1">
        <f>IF('Parse of Qs'!B99="Taste/Flavor", 1,
IF('Parse of Qs'!B99="Price", 2,
IF('Parse of Qs'!B99="Energy boost/Caffeine", 3,
IF('Parse of Qs'!B99="Health benefits", 4,
IF('Parse of Qs'!B99 = "Social atmosphere", 5,
IF('Parse of Qs'!B99 ="Routine/Ritual", 6, 
IF('Parse of Qs'!B99 = "Branding/Imagery", 7,
IF('Parse of Qs'!B99 = "Social norms / influence (what people around me usually drink)", 8, 
IF('Parse of Qs'!B99 = "To try new things", 9,
IF('Parse of Qs'!B99 = "Other:", 10, 
IF('Parse of Qs'!B99 = "", 11, "")))))))))))</f>
        <v>2</v>
      </c>
      <c r="M99" s="1">
        <f>IF('Parse of Qs'!C99="At cafés", 1,
IF('Parse of Qs'!C99="At home", 2,
IF('Parse of Qs'!C99="From convenience stores (7-Eleven, Lawson, etc.)", 3,
IF('Parse of Qs'!C99="From vending machines", 4,
IF('Parse of Qs'!C99 = "Other:", 5,
IF('Parse of Qs'!C99 = "", 6, ""))))))</f>
        <v>1</v>
      </c>
      <c r="N99" s="1">
        <f>IF('Parse of Qs'!D99="At cafés", 1,
IF('Parse of Qs'!D99="At home", 2,
IF('Parse of Qs'!D99="From convenience stores (7-Eleven, Lawson, etc.)", 3,
IF('Parse of Qs'!D99="From vending machines", 4,
IF('Parse of Qs'!D99 = "Other:", 5,
IF('Parse of Qs'!D99 = "", 6, ""))))))</f>
        <v>5</v>
      </c>
      <c r="O99" s="1">
        <f>IF('Parse of Qs'!E99="At cafés", 1,
IF('Parse of Qs'!E99="At home", 2,
IF('Parse of Qs'!E99="From convenience stores (7-Eleven, Lawson, etc.)", 3,
IF('Parse of Qs'!E99="From vending machines", 4,
IF('Parse of Qs'!E99 = "Other:", 5,
IF('Parse of Qs'!E99 = "", 6, ""))))))</f>
        <v>6</v>
      </c>
      <c r="P99" s="1">
        <f>IF('Parse of Qs'!F99="At cafés", 1,
IF('Parse of Qs'!F99="At home", 2,
IF('Parse of Qs'!F99="From convenience stores (7-Eleven, Lawson, etc.)", 3,
IF('Parse of Qs'!F99="From vending machines", 4,
IF('Parse of Qs'!F99 = "Other:", 5,
IF('Parse of Qs'!F99 = "", 6, ""))))))</f>
        <v>6</v>
      </c>
      <c r="Q99" s="1">
        <f>IF(OR('Master English Sheet'!R99="Every Day",'Master English Sheet'!R99="Daily"), 1,
IF('Master English Sheet'!R99="Several times a week", 2,
IF('Master English Sheet'!R99="Once a week", 3,
IF('Master English Sheet'!R99="A few times a month", 4,
IF('Master English Sheet'!R99="Rarely", 5,
IF('Master English Sheet'!R99="Never", 6, 
IF('Master English Sheet'!R99 = "", 7, "")))))))</f>
        <v>3</v>
      </c>
      <c r="R99" s="1">
        <f>IF('Master English Sheet'!S99="To relax or take a break", 1,
IF('Master English Sheet'!S99="To meet friends", 2,
IF('Master English Sheet'!S99="To study/work", 3,
IF('Master English Sheet'!S99="To try a new drink", 4,
IF('Master English Sheet'!S99="Out of habit", 5,
IF('Master English Sheet'!S99="Other:", 6, 
IF('Master English Sheet'!S99 = "", 7, "")))))))</f>
        <v>6</v>
      </c>
      <c r="S99" s="1">
        <f>IF('Master English Sheet'!U99="Quality of drinks", 1,
IF('Master English Sheet'!U99="Atmosphere", 2,
IF('Master English Sheet'!U99="Service", 3,
IF('Master English Sheet'!U99="Brand image", 4,
IF('Master English Sheet'!U99="Other:", 5, 
IF('Master English Sheet'!U99 = "", 6, ""))))))</f>
        <v>2</v>
      </c>
      <c r="T99" s="1">
        <f>IF('Master English Sheet'!W99="Yes, Western", 1,
IF('Master English Sheet'!W99="Yes, Global", 2,
IF('Master English Sheet'!W99="Yes,  Japanese", 3,
IF('Master English Sheet'!W99="No", 4,
IF('Master English Sheet'!W99="Unsure", 5, 
IF('Master English Sheet'!W99 = "", 6, ""))))))</f>
        <v>4</v>
      </c>
      <c r="U99" s="1">
        <f>IF('Master English Sheet'!X99="Yes, Western", 1,
IF('Master English Sheet'!X99="Yes, Global", 2,
IF('Master English Sheet'!X99="Yes,  Japanese", 3,
IF('Master English Sheet'!X99="No", 4,
IF('Master English Sheet'!X99="Unsure", 5, 
IF('Master English Sheet'!X99 = "", 6, ""))))))</f>
        <v>3</v>
      </c>
      <c r="V99" s="1">
        <f>'Master English Sheet'!Y99</f>
        <v>4</v>
      </c>
      <c r="W99" s="1">
        <f>'Master English Sheet'!Z99</f>
        <v>7</v>
      </c>
      <c r="X99" s="1">
        <f>'Master English Sheet'!AA99</f>
        <v>5</v>
      </c>
    </row>
    <row r="100">
      <c r="A100" s="6">
        <v>99.0</v>
      </c>
      <c r="B100" s="6">
        <v>1.0</v>
      </c>
      <c r="C100" s="1">
        <f>IF('Master English Sheet'!D100="18-25", 1,
IF('Master English Sheet'!D100="26-35", 2,
IF('Master English Sheet'!D100="36-45", 3,
IF('Master English Sheet'!D100="46-55", 4,
IF('Master English Sheet'!D100="56-65", 5,
IF('Master English Sheet'!D100="65+", 6, ""))))))</f>
        <v>4</v>
      </c>
      <c r="D100" s="1">
        <f>IF('Master English Sheet'!E100="Male", 1,
IF('Master English Sheet'!E100="Female", 2,
IF('Master English Sheet'!E100="Nonbinary", 3,
IF('Master English Sheet'!E100="Prefer not to say", 4, ""))))</f>
        <v>2</v>
      </c>
      <c r="E100" s="1">
        <f>IF('Master English Sheet'!F100="Under ¥3,000,000", 1,
IF('Master English Sheet'!F100="¥3,000,000 – ¥5,999,999", 2,
IF('Master English Sheet'!F100="¥6,000,000 – ¥8,999,999", 3,
IF('Master English Sheet'!F100="¥9,000,000 – ¥11,999,999", 4,
IF('Master English Sheet'!F100 = "¥12,000,000 or more", 5,
IF('Master English Sheet'!F100 = "Prefer not to say", 6, ""))))))</f>
        <v>5</v>
      </c>
      <c r="F100" s="1">
        <f>IF('Master English Sheet'!G100="Hokkaido", 1,
IF('Master English Sheet'!G100="Tohoku", 2,
IF('Master English Sheet'!G100="Kanto", 3,
IF('Master English Sheet'!G100="Chubu", 4,
IF('Master English Sheet'!G100 = "Kansai", 5,
IF('Master English Sheet'!G100 = "Chugoku", 6,
IF('Master English Sheet'!G100 = "Shikoku", 7,
IF('Master English Sheet'!G100 = "Kyushu", 8,
IF('Master English Sheet'!G100 = "Okinawa", 9, 
IF('Master English Sheet'!G100 = "I do not live in Japan", 10, ""))))))))))</f>
        <v>3</v>
      </c>
      <c r="G100" s="1">
        <f>IF('Master English Sheet'!H100="Daily", 1,
IF('Master English Sheet'!H100="Several times a week", 2,
IF('Master English Sheet'!H100="Once a week", 3,
IF('Master English Sheet'!H100 = "Rarely", 4,
IF('Master English Sheet'!H100 = "Never", 5, "")))))</f>
        <v>2</v>
      </c>
      <c r="H100" s="1">
        <f>IF('Master English Sheet'!I100="Pour Over", 1,
IF('Master English Sheet'!I100="Drip", 2,
IF('Master English Sheet'!I100="Latte", 3,
IF('Master English Sheet'!I100="Americano", 4,
IF('Master English Sheet'!I100 = "Cappuccino", 5,
IF('Master English Sheet'!I100 = "Flavored coffee (mocha, vanilla, caramel, etc.)", 6,
IF('Master English Sheet'!I100 = "Cold brew", 7,
IF('Master English Sheet'!I100 = "I don't drink coffee", 8,
IF('Master English Sheet'!I100 = "Other:", 9,
IF('Master English Sheet'!I100 ="", 10, ""))))))))))</f>
        <v>3</v>
      </c>
      <c r="I100" s="1">
        <f>IF('Master English Sheet'!K100="Daily", 1,
IF('Master English Sheet'!K100="Several times a week", 2,
IF('Master English Sheet'!K100="Once a week", 3,
IF('Master English Sheet'!K100 = "Rarely", 4,
IF('Master English Sheet'!K100 = "Never", 5, "")))))</f>
        <v>4</v>
      </c>
      <c r="J100" s="1">
        <f>IF('Master English Sheet'!L100="Usucha", 1,
IF('Master English Sheet'!L100="Koicha", 2,
IF('Master English Sheet'!L100="Matcha Latte", 3,
IF('Master English Sheet'!L100="I don’t drink matcha", 4,
IF('Master English Sheet'!L100 = "Other:", 5,
IF('Master English Sheet'!L100 ="", 6, ""))))))</f>
        <v>2</v>
      </c>
      <c r="K100" s="1">
        <f>IF('Parse of Qs'!A100="Taste/Flavor", 1,
IF('Parse of Qs'!A100="Price", 2,
IF('Parse of Qs'!A100="Energy boost/Caffeine", 3,
IF('Parse of Qs'!A100="Health benefits", 4,
IF('Parse of Qs'!A100 = "Social atmosphere", 5,
IF('Parse of Qs'!A100 ="Routine/Ritual", 6, 
IF('Parse of Qs'!A100 = "Branding/Imagery", 7,
IF('Parse of Qs'!A100 = "Social norms / influence (what people around me usually drink)", 8, 
IF('Parse of Qs'!A100 = "To try new things", 9,
IF('Parse of Qs'!A100 = "Other:", 10, 
IF('Parse of Qs'!A100 = "", 11, "")))))))))))</f>
        <v>1</v>
      </c>
      <c r="L100" s="1">
        <f>IF('Parse of Qs'!B100="Taste/Flavor", 1,
IF('Parse of Qs'!B100="Price", 2,
IF('Parse of Qs'!B100="Energy boost/Caffeine", 3,
IF('Parse of Qs'!B100="Health benefits", 4,
IF('Parse of Qs'!B100 = "Social atmosphere", 5,
IF('Parse of Qs'!B100 ="Routine/Ritual", 6, 
IF('Parse of Qs'!B100 = "Branding/Imagery", 7,
IF('Parse of Qs'!B100 = "Social norms / influence (what people around me usually drink)", 8, 
IF('Parse of Qs'!B100 = "To try new things", 9,
IF('Parse of Qs'!B100 = "Other:", 10, 
IF('Parse of Qs'!B100 = "", 11, "")))))))))))</f>
        <v>11</v>
      </c>
      <c r="M100" s="1">
        <f>IF('Parse of Qs'!C100="At cafés", 1,
IF('Parse of Qs'!C100="At home", 2,
IF('Parse of Qs'!C100="From convenience stores (7-Eleven, Lawson, etc.)", 3,
IF('Parse of Qs'!C100="From vending machines", 4,
IF('Parse of Qs'!C100 = "Other:", 5,
IF('Parse of Qs'!C100 = "", 6, ""))))))</f>
        <v>2</v>
      </c>
      <c r="N100" s="1">
        <f>IF('Parse of Qs'!D100="At cafés", 1,
IF('Parse of Qs'!D100="At home", 2,
IF('Parse of Qs'!D100="From convenience stores (7-Eleven, Lawson, etc.)", 3,
IF('Parse of Qs'!D100="From vending machines", 4,
IF('Parse of Qs'!D100 = "Other:", 5,
IF('Parse of Qs'!D100 = "", 6, ""))))))</f>
        <v>1</v>
      </c>
      <c r="O100" s="1">
        <f>IF('Parse of Qs'!E100="At cafés", 1,
IF('Parse of Qs'!E100="At home", 2,
IF('Parse of Qs'!E100="From convenience stores (7-Eleven, Lawson, etc.)", 3,
IF('Parse of Qs'!E100="From vending machines", 4,
IF('Parse of Qs'!E100 = "Other:", 5,
IF('Parse of Qs'!E100 = "", 6, ""))))))</f>
        <v>3</v>
      </c>
      <c r="P100" s="1">
        <f>IF('Parse of Qs'!F100="At cafés", 1,
IF('Parse of Qs'!F100="At home", 2,
IF('Parse of Qs'!F100="From convenience stores (7-Eleven, Lawson, etc.)", 3,
IF('Parse of Qs'!F100="From vending machines", 4,
IF('Parse of Qs'!F100 = "Other:", 5,
IF('Parse of Qs'!F100 = "", 6, ""))))))</f>
        <v>6</v>
      </c>
      <c r="Q100" s="1">
        <f>IF(OR('Master English Sheet'!R100="Every Day",'Master English Sheet'!R100="Daily"), 1,
IF('Master English Sheet'!R100="Several times a week", 2,
IF('Master English Sheet'!R100="Once a week", 3,
IF('Master English Sheet'!R100="A few times a month", 4,
IF('Master English Sheet'!R100="Rarely", 5,
IF('Master English Sheet'!R100="Never", 6, 
IF('Master English Sheet'!R100 = "", 7, "")))))))</f>
        <v>4</v>
      </c>
      <c r="R100" s="1">
        <f>IF('Master English Sheet'!S100="To relax or take a break", 1,
IF('Master English Sheet'!S100="To meet friends", 2,
IF('Master English Sheet'!S100="To study/work", 3,
IF('Master English Sheet'!S100="To try a new drink", 4,
IF('Master English Sheet'!S100="Out of habit", 5,
IF('Master English Sheet'!S100="Other:", 6, 
IF('Master English Sheet'!S100 = "", 7, "")))))))</f>
        <v>3</v>
      </c>
      <c r="S100" s="1">
        <f>IF('Master English Sheet'!U100="Quality of drinks", 1,
IF('Master English Sheet'!U100="Atmosphere", 2,
IF('Master English Sheet'!U100="Service", 3,
IF('Master English Sheet'!U100="Brand image", 4,
IF('Master English Sheet'!U100="Other:", 5, 
IF('Master English Sheet'!U100 = "", 6, ""))))))</f>
        <v>2</v>
      </c>
      <c r="T100" s="1">
        <f>IF('Master English Sheet'!W100="Yes, Western", 1,
IF('Master English Sheet'!W100="Yes, Global", 2,
IF('Master English Sheet'!W100="Yes,  Japanese", 3,
IF('Master English Sheet'!W100="No", 4,
IF('Master English Sheet'!W100="Unsure", 5, 
IF('Master English Sheet'!W100 = "", 6, ""))))))</f>
        <v>5</v>
      </c>
      <c r="U100" s="1">
        <f>IF('Master English Sheet'!X100="Yes, Western", 1,
IF('Master English Sheet'!X100="Yes, Global", 2,
IF('Master English Sheet'!X100="Yes,  Japanese", 3,
IF('Master English Sheet'!X100="No", 4,
IF('Master English Sheet'!X100="Unsure", 5, 
IF('Master English Sheet'!X100 = "", 6, ""))))))</f>
        <v>3</v>
      </c>
      <c r="V100" s="1">
        <f>'Master English Sheet'!Y100</f>
        <v>7</v>
      </c>
      <c r="W100" s="1">
        <f>'Master English Sheet'!Z100</f>
        <v>5</v>
      </c>
      <c r="X100" s="1">
        <f>'Master English Sheet'!AA100</f>
        <v>5</v>
      </c>
    </row>
    <row r="101">
      <c r="A101" s="6">
        <v>100.0</v>
      </c>
      <c r="B101" s="6">
        <v>1.0</v>
      </c>
      <c r="C101" s="1">
        <f>IF('Master English Sheet'!D101="18-25", 1,
IF('Master English Sheet'!D101="26-35", 2,
IF('Master English Sheet'!D101="36-45", 3,
IF('Master English Sheet'!D101="46-55", 4,
IF('Master English Sheet'!D101="56-65", 5,
IF('Master English Sheet'!D101="65+", 6, ""))))))</f>
        <v>1</v>
      </c>
      <c r="D101" s="1">
        <f>IF('Master English Sheet'!E101="Male", 1,
IF('Master English Sheet'!E101="Female", 2,
IF('Master English Sheet'!E101="Nonbinary", 3,
IF('Master English Sheet'!E101="Prefer not to say", 4, ""))))</f>
        <v>1</v>
      </c>
      <c r="E101" s="1">
        <f>IF('Master English Sheet'!F101="Under ¥3,000,000", 1,
IF('Master English Sheet'!F101="¥3,000,000 – ¥5,999,999", 2,
IF('Master English Sheet'!F101="¥6,000,000 – ¥8,999,999", 3,
IF('Master English Sheet'!F101="¥9,000,000 – ¥11,999,999", 4,
IF('Master English Sheet'!F101 = "¥12,000,000 or more", 5,
IF('Master English Sheet'!F101 = "Prefer not to say", 6, ""))))))</f>
        <v>5</v>
      </c>
      <c r="F101" s="1">
        <f>IF('Master English Sheet'!G101="Hokkaido", 1,
IF('Master English Sheet'!G101="Tohoku", 2,
IF('Master English Sheet'!G101="Kanto", 3,
IF('Master English Sheet'!G101="Chubu", 4,
IF('Master English Sheet'!G101 = "Kansai", 5,
IF('Master English Sheet'!G101 = "Chugoku", 6,
IF('Master English Sheet'!G101 = "Shikoku", 7,
IF('Master English Sheet'!G101 = "Kyushu", 8,
IF('Master English Sheet'!G101 = "Okinawa", 9, 
IF('Master English Sheet'!G101 = "I do not live in Japan", 10, ""))))))))))</f>
        <v>3</v>
      </c>
      <c r="G101" s="1">
        <f>IF('Master English Sheet'!H101="Daily", 1,
IF('Master English Sheet'!H101="Several times a week", 2,
IF('Master English Sheet'!H101="Once a week", 3,
IF('Master English Sheet'!H101 = "Rarely", 4,
IF('Master English Sheet'!H101 = "Never", 5, "")))))</f>
        <v>2</v>
      </c>
      <c r="H101" s="1">
        <f>IF('Master English Sheet'!I101="Pour Over", 1,
IF('Master English Sheet'!I101="Drip", 2,
IF('Master English Sheet'!I101="Latte", 3,
IF('Master English Sheet'!I101="Americano", 4,
IF('Master English Sheet'!I101 = "Cappuccino", 5,
IF('Master English Sheet'!I101 = "Flavored coffee (mocha, vanilla, caramel, etc.)", 6,
IF('Master English Sheet'!I101 = "Cold brew", 7,
IF('Master English Sheet'!I101 = "I don't drink coffee", 8,
IF('Master English Sheet'!I101 = "Other:", 9,
IF('Master English Sheet'!I101 ="", 10, ""))))))))))</f>
        <v>9</v>
      </c>
      <c r="I101" s="1">
        <f>IF('Master English Sheet'!K101="Daily", 1,
IF('Master English Sheet'!K101="Several times a week", 2,
IF('Master English Sheet'!K101="Once a week", 3,
IF('Master English Sheet'!K101 = "Rarely", 4,
IF('Master English Sheet'!K101 = "Never", 5, "")))))</f>
        <v>5</v>
      </c>
      <c r="J101" s="1">
        <f>IF('Master English Sheet'!L101="Usucha", 1,
IF('Master English Sheet'!L101="Koicha", 2,
IF('Master English Sheet'!L101="Matcha Latte", 3,
IF('Master English Sheet'!L101="I don’t drink matcha", 4,
IF('Master English Sheet'!L101 = "Other:", 5,
IF('Master English Sheet'!L101 ="", 6, ""))))))</f>
        <v>6</v>
      </c>
      <c r="K101" s="1">
        <f>IF('Parse of Qs'!A101="Taste/Flavor", 1,
IF('Parse of Qs'!A101="Price", 2,
IF('Parse of Qs'!A101="Energy boost/Caffeine", 3,
IF('Parse of Qs'!A101="Health benefits", 4,
IF('Parse of Qs'!A101 = "Social atmosphere", 5,
IF('Parse of Qs'!A101 ="Routine/Ritual", 6, 
IF('Parse of Qs'!A101 = "Branding/Imagery", 7,
IF('Parse of Qs'!A101 = "Social norms / influence (what people around me usually drink)", 8, 
IF('Parse of Qs'!A101 = "To try new things", 9,
IF('Parse of Qs'!A101 = "Other:", 10, 
IF('Parse of Qs'!A101 = "", 11, "")))))))))))</f>
        <v>10</v>
      </c>
      <c r="L101" s="1">
        <f>IF('Parse of Qs'!B101="Taste/Flavor", 1,
IF('Parse of Qs'!B101="Price", 2,
IF('Parse of Qs'!B101="Energy boost/Caffeine", 3,
IF('Parse of Qs'!B101="Health benefits", 4,
IF('Parse of Qs'!B101 = "Social atmosphere", 5,
IF('Parse of Qs'!B101 ="Routine/Ritual", 6, 
IF('Parse of Qs'!B101 = "Branding/Imagery", 7,
IF('Parse of Qs'!B101 = "Social norms / influence (what people around me usually drink)", 8, 
IF('Parse of Qs'!B101 = "To try new things", 9,
IF('Parse of Qs'!B101 = "Other:", 10, 
IF('Parse of Qs'!B101 = "", 11, "")))))))))))</f>
        <v>11</v>
      </c>
      <c r="M101" s="1">
        <f>IF('Parse of Qs'!C101="At cafés", 1,
IF('Parse of Qs'!C101="At home", 2,
IF('Parse of Qs'!C101="From convenience stores (7-Eleven, Lawson, etc.)", 3,
IF('Parse of Qs'!C101="From vending machines", 4,
IF('Parse of Qs'!C101 = "Other:", 5,
IF('Parse of Qs'!C101 = "", 6, ""))))))</f>
        <v>3</v>
      </c>
      <c r="N101" s="1">
        <f>IF('Parse of Qs'!D101="At cafés", 1,
IF('Parse of Qs'!D101="At home", 2,
IF('Parse of Qs'!D101="From convenience stores (7-Eleven, Lawson, etc.)", 3,
IF('Parse of Qs'!D101="From vending machines", 4,
IF('Parse of Qs'!D101 = "Other:", 5,
IF('Parse of Qs'!D101 = "", 6, ""))))))</f>
        <v>6</v>
      </c>
      <c r="O101" s="1">
        <f>IF('Parse of Qs'!E101="At cafés", 1,
IF('Parse of Qs'!E101="At home", 2,
IF('Parse of Qs'!E101="From convenience stores (7-Eleven, Lawson, etc.)", 3,
IF('Parse of Qs'!E101="From vending machines", 4,
IF('Parse of Qs'!E101 = "Other:", 5,
IF('Parse of Qs'!E101 = "", 6, ""))))))</f>
        <v>6</v>
      </c>
      <c r="P101" s="1">
        <f>IF('Parse of Qs'!F101="At cafés", 1,
IF('Parse of Qs'!F101="At home", 2,
IF('Parse of Qs'!F101="From convenience stores (7-Eleven, Lawson, etc.)", 3,
IF('Parse of Qs'!F101="From vending machines", 4,
IF('Parse of Qs'!F101 = "Other:", 5,
IF('Parse of Qs'!F101 = "", 6, ""))))))</f>
        <v>6</v>
      </c>
      <c r="Q101" s="1">
        <f>IF(OR('Master English Sheet'!R101="Every Day",'Master English Sheet'!R101="Daily"), 1,
IF('Master English Sheet'!R101="Several times a week", 2,
IF('Master English Sheet'!R101="Once a week", 3,
IF('Master English Sheet'!R101="A few times a month", 4,
IF('Master English Sheet'!R101="Rarely", 5,
IF('Master English Sheet'!R101="Never", 6, 
IF('Master English Sheet'!R101 = "", 7, "")))))))</f>
        <v>4</v>
      </c>
      <c r="R101" s="1">
        <f>IF('Master English Sheet'!S101="To relax or take a break", 1,
IF('Master English Sheet'!S101="To meet friends", 2,
IF('Master English Sheet'!S101="To study/work", 3,
IF('Master English Sheet'!S101="To try a new drink", 4,
IF('Master English Sheet'!S101="Out of habit", 5,
IF('Master English Sheet'!S101="Other:", 6, 
IF('Master English Sheet'!S101 = "", 7, "")))))))</f>
        <v>2</v>
      </c>
      <c r="S101" s="1">
        <f>IF('Master English Sheet'!U101="Quality of drinks", 1,
IF('Master English Sheet'!U101="Atmosphere", 2,
IF('Master English Sheet'!U101="Service", 3,
IF('Master English Sheet'!U101="Brand image", 4,
IF('Master English Sheet'!U101="Other:", 5, 
IF('Master English Sheet'!U101 = "", 6, ""))))))</f>
        <v>2</v>
      </c>
      <c r="T101" s="1">
        <f>IF('Master English Sheet'!W101="Yes, Western", 1,
IF('Master English Sheet'!W101="Yes, Global", 2,
IF('Master English Sheet'!W101="Yes,  Japanese", 3,
IF('Master English Sheet'!W101="No", 4,
IF('Master English Sheet'!W101="Unsure", 5, 
IF('Master English Sheet'!W101 = "", 6, ""))))))</f>
        <v>4</v>
      </c>
      <c r="U101" s="1">
        <f>IF('Master English Sheet'!X101="Yes, Western", 1,
IF('Master English Sheet'!X101="Yes, Global", 2,
IF('Master English Sheet'!X101="Yes,  Japanese", 3,
IF('Master English Sheet'!X101="No", 4,
IF('Master English Sheet'!X101="Unsure", 5, 
IF('Master English Sheet'!X101 = "", 6, ""))))))</f>
        <v>3</v>
      </c>
      <c r="V101" s="1">
        <f>'Master English Sheet'!Y101</f>
        <v>5</v>
      </c>
      <c r="W101" s="1">
        <f>'Master English Sheet'!Z101</f>
        <v>6</v>
      </c>
      <c r="X101" s="1">
        <f>'Master English Sheet'!AA101</f>
        <v>7</v>
      </c>
    </row>
    <row r="102">
      <c r="A102" s="6">
        <v>101.0</v>
      </c>
      <c r="B102" s="6">
        <v>1.0</v>
      </c>
      <c r="C102" s="1">
        <f>IF('Master English Sheet'!D102="18-25", 1,
IF('Master English Sheet'!D102="26-35", 2,
IF('Master English Sheet'!D102="36-45", 3,
IF('Master English Sheet'!D102="46-55", 4,
IF('Master English Sheet'!D102="56-65", 5,
IF('Master English Sheet'!D102="65+", 6, ""))))))</f>
        <v>3</v>
      </c>
      <c r="D102" s="1">
        <f>IF('Master English Sheet'!E102="Male", 1,
IF('Master English Sheet'!E102="Female", 2,
IF('Master English Sheet'!E102="Nonbinary", 3,
IF('Master English Sheet'!E102="Prefer not to say", 4, ""))))</f>
        <v>1</v>
      </c>
      <c r="E102" s="1">
        <f>IF('Master English Sheet'!F102="Under ¥3,000,000", 1,
IF('Master English Sheet'!F102="¥3,000,000 – ¥5,999,999", 2,
IF('Master English Sheet'!F102="¥6,000,000 – ¥8,999,999", 3,
IF('Master English Sheet'!F102="¥9,000,000 – ¥11,999,999", 4,
IF('Master English Sheet'!F102 = "¥12,000,000 or more", 5,
IF('Master English Sheet'!F102 = "Prefer not to say", 6, ""))))))</f>
        <v>5</v>
      </c>
      <c r="F102" s="1">
        <f>IF('Master English Sheet'!G102="Hokkaido", 1,
IF('Master English Sheet'!G102="Tohoku", 2,
IF('Master English Sheet'!G102="Kanto", 3,
IF('Master English Sheet'!G102="Chubu", 4,
IF('Master English Sheet'!G102 = "Kansai", 5,
IF('Master English Sheet'!G102 = "Chugoku", 6,
IF('Master English Sheet'!G102 = "Shikoku", 7,
IF('Master English Sheet'!G102 = "Kyushu", 8,
IF('Master English Sheet'!G102 = "Okinawa", 9, 
IF('Master English Sheet'!G102 = "I do not live in Japan", 10, ""))))))))))</f>
        <v>5</v>
      </c>
      <c r="G102" s="1">
        <f>IF('Master English Sheet'!H102="Daily", 1,
IF('Master English Sheet'!H102="Several times a week", 2,
IF('Master English Sheet'!H102="Once a week", 3,
IF('Master English Sheet'!H102 = "Rarely", 4,
IF('Master English Sheet'!H102 = "Never", 5, "")))))</f>
        <v>1</v>
      </c>
      <c r="H102" s="1">
        <f>IF('Master English Sheet'!I102="Pour Over", 1,
IF('Master English Sheet'!I102="Drip", 2,
IF('Master English Sheet'!I102="Latte", 3,
IF('Master English Sheet'!I102="Americano", 4,
IF('Master English Sheet'!I102 = "Cappuccino", 5,
IF('Master English Sheet'!I102 = "Flavored coffee (mocha, vanilla, caramel, etc.)", 6,
IF('Master English Sheet'!I102 = "Cold brew", 7,
IF('Master English Sheet'!I102 = "I don't drink coffee", 8,
IF('Master English Sheet'!I102 = "Other:", 9,
IF('Master English Sheet'!I102 ="", 10, ""))))))))))</f>
        <v>2</v>
      </c>
      <c r="I102" s="1">
        <f>IF('Master English Sheet'!K102="Daily", 1,
IF('Master English Sheet'!K102="Several times a week", 2,
IF('Master English Sheet'!K102="Once a week", 3,
IF('Master English Sheet'!K102 = "Rarely", 4,
IF('Master English Sheet'!K102 = "Never", 5, "")))))</f>
        <v>5</v>
      </c>
      <c r="J102" s="1">
        <f>IF('Master English Sheet'!L102="Usucha", 1,
IF('Master English Sheet'!L102="Koicha", 2,
IF('Master English Sheet'!L102="Matcha Latte", 3,
IF('Master English Sheet'!L102="I don’t drink matcha", 4,
IF('Master English Sheet'!L102 = "Other:", 5,
IF('Master English Sheet'!L102 ="", 6, ""))))))</f>
        <v>6</v>
      </c>
      <c r="K102" s="1">
        <f>IF('Parse of Qs'!A102="Taste/Flavor", 1,
IF('Parse of Qs'!A102="Price", 2,
IF('Parse of Qs'!A102="Energy boost/Caffeine", 3,
IF('Parse of Qs'!A102="Health benefits", 4,
IF('Parse of Qs'!A102 = "Social atmosphere", 5,
IF('Parse of Qs'!A102 ="Routine/Ritual", 6, 
IF('Parse of Qs'!A102 = "Branding/Imagery", 7,
IF('Parse of Qs'!A102 = "Social norms / influence (what people around me usually drink)", 8, 
IF('Parse of Qs'!A102 = "To try new things", 9,
IF('Parse of Qs'!A102 = "Other:", 10, 
IF('Parse of Qs'!A102 = "", 11, "")))))))))))</f>
        <v>3</v>
      </c>
      <c r="L102" s="1">
        <f>IF('Parse of Qs'!B102="Taste/Flavor", 1,
IF('Parse of Qs'!B102="Price", 2,
IF('Parse of Qs'!B102="Energy boost/Caffeine", 3,
IF('Parse of Qs'!B102="Health benefits", 4,
IF('Parse of Qs'!B102 = "Social atmosphere", 5,
IF('Parse of Qs'!B102 ="Routine/Ritual", 6, 
IF('Parse of Qs'!B102 = "Branding/Imagery", 7,
IF('Parse of Qs'!B102 = "Social norms / influence (what people around me usually drink)", 8, 
IF('Parse of Qs'!B102 = "To try new things", 9,
IF('Parse of Qs'!B102 = "Other:", 10, 
IF('Parse of Qs'!B102 = "", 11, "")))))))))))</f>
        <v>1</v>
      </c>
      <c r="M102" s="1">
        <f>IF('Parse of Qs'!C102="At cafés", 1,
IF('Parse of Qs'!C102="At home", 2,
IF('Parse of Qs'!C102="From convenience stores (7-Eleven, Lawson, etc.)", 3,
IF('Parse of Qs'!C102="From vending machines", 4,
IF('Parse of Qs'!C102 = "Other:", 5,
IF('Parse of Qs'!C102 = "", 6, ""))))))</f>
        <v>3</v>
      </c>
      <c r="N102" s="1">
        <f>IF('Parse of Qs'!D102="At cafés", 1,
IF('Parse of Qs'!D102="At home", 2,
IF('Parse of Qs'!D102="From convenience stores (7-Eleven, Lawson, etc.)", 3,
IF('Parse of Qs'!D102="From vending machines", 4,
IF('Parse of Qs'!D102 = "Other:", 5,
IF('Parse of Qs'!D102 = "", 6, ""))))))</f>
        <v>2</v>
      </c>
      <c r="O102" s="1">
        <f>IF('Parse of Qs'!E102="At cafés", 1,
IF('Parse of Qs'!E102="At home", 2,
IF('Parse of Qs'!E102="From convenience stores (7-Eleven, Lawson, etc.)", 3,
IF('Parse of Qs'!E102="From vending machines", 4,
IF('Parse of Qs'!E102 = "Other:", 5,
IF('Parse of Qs'!E102 = "", 6, ""))))))</f>
        <v>1</v>
      </c>
      <c r="P102" s="1">
        <f>IF('Parse of Qs'!F102="At cafés", 1,
IF('Parse of Qs'!F102="At home", 2,
IF('Parse of Qs'!F102="From convenience stores (7-Eleven, Lawson, etc.)", 3,
IF('Parse of Qs'!F102="From vending machines", 4,
IF('Parse of Qs'!F102 = "Other:", 5,
IF('Parse of Qs'!F102 = "", 6, ""))))))</f>
        <v>6</v>
      </c>
      <c r="Q102" s="1">
        <f>IF(OR('Master English Sheet'!R102="Every Day",'Master English Sheet'!R102="Daily"), 1,
IF('Master English Sheet'!R102="Several times a week", 2,
IF('Master English Sheet'!R102="Once a week", 3,
IF('Master English Sheet'!R102="A few times a month", 4,
IF('Master English Sheet'!R102="Rarely", 5,
IF('Master English Sheet'!R102="Never", 6, 
IF('Master English Sheet'!R102 = "", 7, "")))))))</f>
        <v>3</v>
      </c>
      <c r="R102" s="1">
        <f>IF('Master English Sheet'!S102="To relax or take a break", 1,
IF('Master English Sheet'!S102="To meet friends", 2,
IF('Master English Sheet'!S102="To study/work", 3,
IF('Master English Sheet'!S102="To try a new drink", 4,
IF('Master English Sheet'!S102="Out of habit", 5,
IF('Master English Sheet'!S102="Other:", 6, 
IF('Master English Sheet'!S102 = "", 7, "")))))))</f>
        <v>3</v>
      </c>
      <c r="S102" s="1">
        <f>IF('Master English Sheet'!U102="Quality of drinks", 1,
IF('Master English Sheet'!U102="Atmosphere", 2,
IF('Master English Sheet'!U102="Service", 3,
IF('Master English Sheet'!U102="Brand image", 4,
IF('Master English Sheet'!U102="Other:", 5, 
IF('Master English Sheet'!U102 = "", 6, ""))))))</f>
        <v>2</v>
      </c>
      <c r="T102" s="1">
        <f>IF('Master English Sheet'!W102="Yes, Western", 1,
IF('Master English Sheet'!W102="Yes, Global", 2,
IF('Master English Sheet'!W102="Yes,  Japanese", 3,
IF('Master English Sheet'!W102="No", 4,
IF('Master English Sheet'!W102="Unsure", 5, 
IF('Master English Sheet'!W102 = "", 6, ""))))))</f>
        <v>2</v>
      </c>
      <c r="U102" s="1">
        <f>IF('Master English Sheet'!X102="Yes, Western", 1,
IF('Master English Sheet'!X102="Yes, Global", 2,
IF('Master English Sheet'!X102="Yes,  Japanese", 3,
IF('Master English Sheet'!X102="No", 4,
IF('Master English Sheet'!X102="Unsure", 5, 
IF('Master English Sheet'!X102 = "", 6, ""))))))</f>
        <v>3</v>
      </c>
      <c r="V102" s="1">
        <f>'Master English Sheet'!Y102</f>
        <v>6</v>
      </c>
      <c r="W102" s="1">
        <f>'Master English Sheet'!Z102</f>
        <v>4</v>
      </c>
      <c r="X102" s="1">
        <f>'Master English Sheet'!AA102</f>
        <v>7</v>
      </c>
    </row>
    <row r="103">
      <c r="A103" s="6">
        <v>102.0</v>
      </c>
      <c r="B103" s="6">
        <v>1.0</v>
      </c>
      <c r="C103" s="1">
        <f>IF('Master English Sheet'!D103="18-25", 1,
IF('Master English Sheet'!D103="26-35", 2,
IF('Master English Sheet'!D103="36-45", 3,
IF('Master English Sheet'!D103="46-55", 4,
IF('Master English Sheet'!D103="56-65", 5,
IF('Master English Sheet'!D103="65+", 6, ""))))))</f>
        <v>3</v>
      </c>
      <c r="D103" s="1">
        <f>IF('Master English Sheet'!E103="Male", 1,
IF('Master English Sheet'!E103="Female", 2,
IF('Master English Sheet'!E103="Nonbinary", 3,
IF('Master English Sheet'!E103="Prefer not to say", 4, ""))))</f>
        <v>1</v>
      </c>
      <c r="E103" s="1">
        <f>IF('Master English Sheet'!F103="Under ¥3,000,000", 1,
IF('Master English Sheet'!F103="¥3,000,000 – ¥5,999,999", 2,
IF('Master English Sheet'!F103="¥6,000,000 – ¥8,999,999", 3,
IF('Master English Sheet'!F103="¥9,000,000 – ¥11,999,999", 4,
IF('Master English Sheet'!F103 = "¥12,000,000 or more", 5,
IF('Master English Sheet'!F103 = "Prefer not to say", 6, ""))))))</f>
        <v>5</v>
      </c>
      <c r="F103" s="1">
        <f>IF('Master English Sheet'!G103="Hokkaido", 1,
IF('Master English Sheet'!G103="Tohoku", 2,
IF('Master English Sheet'!G103="Kanto", 3,
IF('Master English Sheet'!G103="Chubu", 4,
IF('Master English Sheet'!G103 = "Kansai", 5,
IF('Master English Sheet'!G103 = "Chugoku", 6,
IF('Master English Sheet'!G103 = "Shikoku", 7,
IF('Master English Sheet'!G103 = "Kyushu", 8,
IF('Master English Sheet'!G103 = "Okinawa", 9, 
IF('Master English Sheet'!G103 = "I do not live in Japan", 10, ""))))))))))</f>
        <v>3</v>
      </c>
      <c r="G103" s="1">
        <f>IF('Master English Sheet'!H103="Daily", 1,
IF('Master English Sheet'!H103="Several times a week", 2,
IF('Master English Sheet'!H103="Once a week", 3,
IF('Master English Sheet'!H103 = "Rarely", 4,
IF('Master English Sheet'!H103 = "Never", 5, "")))))</f>
        <v>1</v>
      </c>
      <c r="H103" s="1">
        <f>IF('Master English Sheet'!I103="Pour Over", 1,
IF('Master English Sheet'!I103="Drip", 2,
IF('Master English Sheet'!I103="Latte", 3,
IF('Master English Sheet'!I103="Americano", 4,
IF('Master English Sheet'!I103 = "Cappuccino", 5,
IF('Master English Sheet'!I103 = "Flavored coffee (mocha, vanilla, caramel, etc.)", 6,
IF('Master English Sheet'!I103 = "Cold brew", 7,
IF('Master English Sheet'!I103 = "I don't drink coffee", 8,
IF('Master English Sheet'!I103 = "Other:", 9,
IF('Master English Sheet'!I103 ="", 10, ""))))))))))</f>
        <v>2</v>
      </c>
      <c r="I103" s="1">
        <f>IF('Master English Sheet'!K103="Daily", 1,
IF('Master English Sheet'!K103="Several times a week", 2,
IF('Master English Sheet'!K103="Once a week", 3,
IF('Master English Sheet'!K103 = "Rarely", 4,
IF('Master English Sheet'!K103 = "Never", 5, "")))))</f>
        <v>5</v>
      </c>
      <c r="J103" s="1">
        <f>IF('Master English Sheet'!L103="Usucha", 1,
IF('Master English Sheet'!L103="Koicha", 2,
IF('Master English Sheet'!L103="Matcha Latte", 3,
IF('Master English Sheet'!L103="I don’t drink matcha", 4,
IF('Master English Sheet'!L103 = "Other:", 5,
IF('Master English Sheet'!L103 ="", 6, ""))))))</f>
        <v>6</v>
      </c>
      <c r="K103" s="1">
        <f>IF('Parse of Qs'!A103="Taste/Flavor", 1,
IF('Parse of Qs'!A103="Price", 2,
IF('Parse of Qs'!A103="Energy boost/Caffeine", 3,
IF('Parse of Qs'!A103="Health benefits", 4,
IF('Parse of Qs'!A103 = "Social atmosphere", 5,
IF('Parse of Qs'!A103 ="Routine/Ritual", 6, 
IF('Parse of Qs'!A103 = "Branding/Imagery", 7,
IF('Parse of Qs'!A103 = "Social norms / influence (what people around me usually drink)", 8, 
IF('Parse of Qs'!A103 = "To try new things", 9,
IF('Parse of Qs'!A103 = "Other:", 10, 
IF('Parse of Qs'!A103 = "", 11, "")))))))))))</f>
        <v>1</v>
      </c>
      <c r="L103" s="1">
        <f>IF('Parse of Qs'!B103="Taste/Flavor", 1,
IF('Parse of Qs'!B103="Price", 2,
IF('Parse of Qs'!B103="Energy boost/Caffeine", 3,
IF('Parse of Qs'!B103="Health benefits", 4,
IF('Parse of Qs'!B103 = "Social atmosphere", 5,
IF('Parse of Qs'!B103 ="Routine/Ritual", 6, 
IF('Parse of Qs'!B103 = "Branding/Imagery", 7,
IF('Parse of Qs'!B103 = "Social norms / influence (what people around me usually drink)", 8, 
IF('Parse of Qs'!B103 = "To try new things", 9,
IF('Parse of Qs'!B103 = "Other:", 10, 
IF('Parse of Qs'!B103 = "", 11, "")))))))))))</f>
        <v>11</v>
      </c>
      <c r="M103" s="1">
        <f>IF('Parse of Qs'!C103="At cafés", 1,
IF('Parse of Qs'!C103="At home", 2,
IF('Parse of Qs'!C103="From convenience stores (7-Eleven, Lawson, etc.)", 3,
IF('Parse of Qs'!C103="From vending machines", 4,
IF('Parse of Qs'!C103 = "Other:", 5,
IF('Parse of Qs'!C103 = "", 6, ""))))))</f>
        <v>2</v>
      </c>
      <c r="N103" s="1">
        <f>IF('Parse of Qs'!D103="At cafés", 1,
IF('Parse of Qs'!D103="At home", 2,
IF('Parse of Qs'!D103="From convenience stores (7-Eleven, Lawson, etc.)", 3,
IF('Parse of Qs'!D103="From vending machines", 4,
IF('Parse of Qs'!D103 = "Other:", 5,
IF('Parse of Qs'!D103 = "", 6, ""))))))</f>
        <v>3</v>
      </c>
      <c r="O103" s="1">
        <f>IF('Parse of Qs'!E103="At cafés", 1,
IF('Parse of Qs'!E103="At home", 2,
IF('Parse of Qs'!E103="From convenience stores (7-Eleven, Lawson, etc.)", 3,
IF('Parse of Qs'!E103="From vending machines", 4,
IF('Parse of Qs'!E103 = "Other:", 5,
IF('Parse of Qs'!E103 = "", 6, ""))))))</f>
        <v>6</v>
      </c>
      <c r="P103" s="1">
        <f>IF('Parse of Qs'!F103="At cafés", 1,
IF('Parse of Qs'!F103="At home", 2,
IF('Parse of Qs'!F103="From convenience stores (7-Eleven, Lawson, etc.)", 3,
IF('Parse of Qs'!F103="From vending machines", 4,
IF('Parse of Qs'!F103 = "Other:", 5,
IF('Parse of Qs'!F103 = "", 6, ""))))))</f>
        <v>6</v>
      </c>
      <c r="Q103" s="1">
        <f>IF(OR('Master English Sheet'!R103="Every Day",'Master English Sheet'!R103="Daily"), 1,
IF('Master English Sheet'!R103="Several times a week", 2,
IF('Master English Sheet'!R103="Once a week", 3,
IF('Master English Sheet'!R103="A few times a month", 4,
IF('Master English Sheet'!R103="Rarely", 5,
IF('Master English Sheet'!R103="Never", 6, 
IF('Master English Sheet'!R103 = "", 7, "")))))))</f>
        <v>5</v>
      </c>
      <c r="R103" s="1">
        <f>IF('Master English Sheet'!S103="To relax or take a break", 1,
IF('Master English Sheet'!S103="To meet friends", 2,
IF('Master English Sheet'!S103="To study/work", 3,
IF('Master English Sheet'!S103="To try a new drink", 4,
IF('Master English Sheet'!S103="Out of habit", 5,
IF('Master English Sheet'!S103="Other:", 6, 
IF('Master English Sheet'!S103 = "", 7, "")))))))</f>
        <v>2</v>
      </c>
      <c r="S103" s="1">
        <f>IF('Master English Sheet'!U103="Quality of drinks", 1,
IF('Master English Sheet'!U103="Atmosphere", 2,
IF('Master English Sheet'!U103="Service", 3,
IF('Master English Sheet'!U103="Brand image", 4,
IF('Master English Sheet'!U103="Other:", 5, 
IF('Master English Sheet'!U103 = "", 6, ""))))))</f>
        <v>2</v>
      </c>
      <c r="T103" s="1">
        <f>IF('Master English Sheet'!W103="Yes, Western", 1,
IF('Master English Sheet'!W103="Yes, Global", 2,
IF('Master English Sheet'!W103="Yes,  Japanese", 3,
IF('Master English Sheet'!W103="No", 4,
IF('Master English Sheet'!W103="Unsure", 5, 
IF('Master English Sheet'!W103 = "", 6, ""))))))</f>
        <v>4</v>
      </c>
      <c r="U103" s="1">
        <f>IF('Master English Sheet'!X103="Yes, Western", 1,
IF('Master English Sheet'!X103="Yes, Global", 2,
IF('Master English Sheet'!X103="Yes,  Japanese", 3,
IF('Master English Sheet'!X103="No", 4,
IF('Master English Sheet'!X103="Unsure", 5, 
IF('Master English Sheet'!X103 = "", 6, ""))))))</f>
        <v>3</v>
      </c>
      <c r="V103" s="1">
        <f>'Master English Sheet'!Y103</f>
        <v>5</v>
      </c>
      <c r="W103" s="1">
        <f>'Master English Sheet'!Z103</f>
        <v>7</v>
      </c>
      <c r="X103" s="1">
        <f>'Master English Sheet'!AA103</f>
        <v>2</v>
      </c>
    </row>
    <row r="104">
      <c r="A104" s="6">
        <v>103.0</v>
      </c>
      <c r="B104" s="6">
        <v>1.0</v>
      </c>
      <c r="C104" s="1">
        <f>IF('Master English Sheet'!D104="18-25", 1,
IF('Master English Sheet'!D104="26-35", 2,
IF('Master English Sheet'!D104="36-45", 3,
IF('Master English Sheet'!D104="46-55", 4,
IF('Master English Sheet'!D104="56-65", 5,
IF('Master English Sheet'!D104="65+", 6, ""))))))</f>
        <v>2</v>
      </c>
      <c r="D104" s="1">
        <f>IF('Master English Sheet'!E104="Male", 1,
IF('Master English Sheet'!E104="Female", 2,
IF('Master English Sheet'!E104="Nonbinary", 3,
IF('Master English Sheet'!E104="Prefer not to say", 4, ""))))</f>
        <v>1</v>
      </c>
      <c r="E104" s="1">
        <f>IF('Master English Sheet'!F104="Under ¥3,000,000", 1,
IF('Master English Sheet'!F104="¥3,000,000 – ¥5,999,999", 2,
IF('Master English Sheet'!F104="¥6,000,000 – ¥8,999,999", 3,
IF('Master English Sheet'!F104="¥9,000,000 – ¥11,999,999", 4,
IF('Master English Sheet'!F104 = "¥12,000,000 or more", 5,
IF('Master English Sheet'!F104 = "Prefer not to say", 6, ""))))))</f>
        <v>2</v>
      </c>
      <c r="F104" s="1">
        <f>IF('Master English Sheet'!G104="Hokkaido", 1,
IF('Master English Sheet'!G104="Tohoku", 2,
IF('Master English Sheet'!G104="Kanto", 3,
IF('Master English Sheet'!G104="Chubu", 4,
IF('Master English Sheet'!G104 = "Kansai", 5,
IF('Master English Sheet'!G104 = "Chugoku", 6,
IF('Master English Sheet'!G104 = "Shikoku", 7,
IF('Master English Sheet'!G104 = "Kyushu", 8,
IF('Master English Sheet'!G104 = "Okinawa", 9, 
IF('Master English Sheet'!G104 = "I do not live in Japan", 10, ""))))))))))</f>
        <v>3</v>
      </c>
      <c r="G104" s="1">
        <f>IF('Master English Sheet'!H104="Daily", 1,
IF('Master English Sheet'!H104="Several times a week", 2,
IF('Master English Sheet'!H104="Once a week", 3,
IF('Master English Sheet'!H104 = "Rarely", 4,
IF('Master English Sheet'!H104 = "Never", 5, "")))))</f>
        <v>1</v>
      </c>
      <c r="H104" s="1">
        <f>IF('Master English Sheet'!I104="Pour Over", 1,
IF('Master English Sheet'!I104="Drip", 2,
IF('Master English Sheet'!I104="Latte", 3,
IF('Master English Sheet'!I104="Americano", 4,
IF('Master English Sheet'!I104 = "Cappuccino", 5,
IF('Master English Sheet'!I104 = "Flavored coffee (mocha, vanilla, caramel, etc.)", 6,
IF('Master English Sheet'!I104 = "Cold brew", 7,
IF('Master English Sheet'!I104 = "I don't drink coffee", 8,
IF('Master English Sheet'!I104 = "Other:", 9,
IF('Master English Sheet'!I104 ="", 10, ""))))))))))</f>
        <v>2</v>
      </c>
      <c r="I104" s="1">
        <f>IF('Master English Sheet'!K104="Daily", 1,
IF('Master English Sheet'!K104="Several times a week", 2,
IF('Master English Sheet'!K104="Once a week", 3,
IF('Master English Sheet'!K104 = "Rarely", 4,
IF('Master English Sheet'!K104 = "Never", 5, "")))))</f>
        <v>5</v>
      </c>
      <c r="J104" s="1">
        <f>IF('Master English Sheet'!L104="Usucha", 1,
IF('Master English Sheet'!L104="Koicha", 2,
IF('Master English Sheet'!L104="Matcha Latte", 3,
IF('Master English Sheet'!L104="I don’t drink matcha", 4,
IF('Master English Sheet'!L104 = "Other:", 5,
IF('Master English Sheet'!L104 ="", 6, ""))))))</f>
        <v>6</v>
      </c>
      <c r="K104" s="1">
        <f>IF('Parse of Qs'!A104="Taste/Flavor", 1,
IF('Parse of Qs'!A104="Price", 2,
IF('Parse of Qs'!A104="Energy boost/Caffeine", 3,
IF('Parse of Qs'!A104="Health benefits", 4,
IF('Parse of Qs'!A104 = "Social atmosphere", 5,
IF('Parse of Qs'!A104 ="Routine/Ritual", 6, 
IF('Parse of Qs'!A104 = "Branding/Imagery", 7,
IF('Parse of Qs'!A104 = "Social norms / influence (what people around me usually drink)", 8, 
IF('Parse of Qs'!A104 = "To try new things", 9,
IF('Parse of Qs'!A104 = "Other:", 10, 
IF('Parse of Qs'!A104 = "", 11, "")))))))))))</f>
        <v>6</v>
      </c>
      <c r="L104" s="1">
        <f>IF('Parse of Qs'!B104="Taste/Flavor", 1,
IF('Parse of Qs'!B104="Price", 2,
IF('Parse of Qs'!B104="Energy boost/Caffeine", 3,
IF('Parse of Qs'!B104="Health benefits", 4,
IF('Parse of Qs'!B104 = "Social atmosphere", 5,
IF('Parse of Qs'!B104 ="Routine/Ritual", 6, 
IF('Parse of Qs'!B104 = "Branding/Imagery", 7,
IF('Parse of Qs'!B104 = "Social norms / influence (what people around me usually drink)", 8, 
IF('Parse of Qs'!B104 = "To try new things", 9,
IF('Parse of Qs'!B104 = "Other:", 10, 
IF('Parse of Qs'!B104 = "", 11, "")))))))))))</f>
        <v>11</v>
      </c>
      <c r="M104" s="1">
        <f>IF('Parse of Qs'!C104="At cafés", 1,
IF('Parse of Qs'!C104="At home", 2,
IF('Parse of Qs'!C104="From convenience stores (7-Eleven, Lawson, etc.)", 3,
IF('Parse of Qs'!C104="From vending machines", 4,
IF('Parse of Qs'!C104 = "Other:", 5,
IF('Parse of Qs'!C104 = "", 6, ""))))))</f>
        <v>2</v>
      </c>
      <c r="N104" s="1">
        <f>IF('Parse of Qs'!D104="At cafés", 1,
IF('Parse of Qs'!D104="At home", 2,
IF('Parse of Qs'!D104="From convenience stores (7-Eleven, Lawson, etc.)", 3,
IF('Parse of Qs'!D104="From vending machines", 4,
IF('Parse of Qs'!D104 = "Other:", 5,
IF('Parse of Qs'!D104 = "", 6, ""))))))</f>
        <v>6</v>
      </c>
      <c r="O104" s="1">
        <f>IF('Parse of Qs'!E104="At cafés", 1,
IF('Parse of Qs'!E104="At home", 2,
IF('Parse of Qs'!E104="From convenience stores (7-Eleven, Lawson, etc.)", 3,
IF('Parse of Qs'!E104="From vending machines", 4,
IF('Parse of Qs'!E104 = "Other:", 5,
IF('Parse of Qs'!E104 = "", 6, ""))))))</f>
        <v>6</v>
      </c>
      <c r="P104" s="1">
        <f>IF('Parse of Qs'!F104="At cafés", 1,
IF('Parse of Qs'!F104="At home", 2,
IF('Parse of Qs'!F104="From convenience stores (7-Eleven, Lawson, etc.)", 3,
IF('Parse of Qs'!F104="From vending machines", 4,
IF('Parse of Qs'!F104 = "Other:", 5,
IF('Parse of Qs'!F104 = "", 6, ""))))))</f>
        <v>6</v>
      </c>
      <c r="Q104" s="1">
        <f>IF(OR('Master English Sheet'!R104="Every Day",'Master English Sheet'!R104="Daily"), 1,
IF('Master English Sheet'!R104="Several times a week", 2,
IF('Master English Sheet'!R104="Once a week", 3,
IF('Master English Sheet'!R104="A few times a month", 4,
IF('Master English Sheet'!R104="Rarely", 5,
IF('Master English Sheet'!R104="Never", 6, 
IF('Master English Sheet'!R104 = "", 7, "")))))))</f>
        <v>4</v>
      </c>
      <c r="R104" s="1">
        <f>IF('Master English Sheet'!S104="To relax or take a break", 1,
IF('Master English Sheet'!S104="To meet friends", 2,
IF('Master English Sheet'!S104="To study/work", 3,
IF('Master English Sheet'!S104="To try a new drink", 4,
IF('Master English Sheet'!S104="Out of habit", 5,
IF('Master English Sheet'!S104="Other:", 6, 
IF('Master English Sheet'!S104 = "", 7, "")))))))</f>
        <v>3</v>
      </c>
      <c r="S104" s="1">
        <f>IF('Master English Sheet'!U104="Quality of drinks", 1,
IF('Master English Sheet'!U104="Atmosphere", 2,
IF('Master English Sheet'!U104="Service", 3,
IF('Master English Sheet'!U104="Brand image", 4,
IF('Master English Sheet'!U104="Other:", 5, 
IF('Master English Sheet'!U104 = "", 6, ""))))))</f>
        <v>2</v>
      </c>
      <c r="T104" s="1">
        <f>IF('Master English Sheet'!W104="Yes, Western", 1,
IF('Master English Sheet'!W104="Yes, Global", 2,
IF('Master English Sheet'!W104="Yes,  Japanese", 3,
IF('Master English Sheet'!W104="No", 4,
IF('Master English Sheet'!W104="Unsure", 5, 
IF('Master English Sheet'!W104 = "", 6, ""))))))</f>
        <v>4</v>
      </c>
      <c r="U104" s="1">
        <f>IF('Master English Sheet'!X104="Yes, Western", 1,
IF('Master English Sheet'!X104="Yes, Global", 2,
IF('Master English Sheet'!X104="Yes,  Japanese", 3,
IF('Master English Sheet'!X104="No", 4,
IF('Master English Sheet'!X104="Unsure", 5, 
IF('Master English Sheet'!X104 = "", 6, ""))))))</f>
        <v>3</v>
      </c>
      <c r="V104" s="1">
        <f>'Master English Sheet'!Y104</f>
        <v>6</v>
      </c>
      <c r="W104" s="1">
        <f>'Master English Sheet'!Z104</f>
        <v>6</v>
      </c>
      <c r="X104" s="1">
        <f>'Master English Sheet'!AA104</f>
        <v>4</v>
      </c>
    </row>
    <row r="105">
      <c r="A105" s="6">
        <v>104.0</v>
      </c>
      <c r="B105" s="6">
        <v>1.0</v>
      </c>
      <c r="C105" s="1">
        <f>IF('Master English Sheet'!D105="18-25", 1,
IF('Master English Sheet'!D105="26-35", 2,
IF('Master English Sheet'!D105="36-45", 3,
IF('Master English Sheet'!D105="46-55", 4,
IF('Master English Sheet'!D105="56-65", 5,
IF('Master English Sheet'!D105="65+", 6, ""))))))</f>
        <v>2</v>
      </c>
      <c r="D105" s="1">
        <f>IF('Master English Sheet'!E105="Male", 1,
IF('Master English Sheet'!E105="Female", 2,
IF('Master English Sheet'!E105="Nonbinary", 3,
IF('Master English Sheet'!E105="Prefer not to say", 4, ""))))</f>
        <v>1</v>
      </c>
      <c r="E105" s="1">
        <f>IF('Master English Sheet'!F105="Under ¥3,000,000", 1,
IF('Master English Sheet'!F105="¥3,000,000 – ¥5,999,999", 2,
IF('Master English Sheet'!F105="¥6,000,000 – ¥8,999,999", 3,
IF('Master English Sheet'!F105="¥9,000,000 – ¥11,999,999", 4,
IF('Master English Sheet'!F105 = "¥12,000,000 or more", 5,
IF('Master English Sheet'!F105 = "Prefer not to say", 6, ""))))))</f>
        <v>4</v>
      </c>
      <c r="F105" s="1">
        <f>IF('Master English Sheet'!G105="Hokkaido", 1,
IF('Master English Sheet'!G105="Tohoku", 2,
IF('Master English Sheet'!G105="Kanto", 3,
IF('Master English Sheet'!G105="Chubu", 4,
IF('Master English Sheet'!G105 = "Kansai", 5,
IF('Master English Sheet'!G105 = "Chugoku", 6,
IF('Master English Sheet'!G105 = "Shikoku", 7,
IF('Master English Sheet'!G105 = "Kyushu", 8,
IF('Master English Sheet'!G105 = "Okinawa", 9, 
IF('Master English Sheet'!G105 = "I do not live in Japan", 10, ""))))))))))</f>
        <v>3</v>
      </c>
      <c r="G105" s="1">
        <f>IF('Master English Sheet'!H105="Daily", 1,
IF('Master English Sheet'!H105="Several times a week", 2,
IF('Master English Sheet'!H105="Once a week", 3,
IF('Master English Sheet'!H105 = "Rarely", 4,
IF('Master English Sheet'!H105 = "Never", 5, "")))))</f>
        <v>3</v>
      </c>
      <c r="H105" s="1">
        <f>IF('Master English Sheet'!I105="Pour Over", 1,
IF('Master English Sheet'!I105="Drip", 2,
IF('Master English Sheet'!I105="Latte", 3,
IF('Master English Sheet'!I105="Americano", 4,
IF('Master English Sheet'!I105 = "Cappuccino", 5,
IF('Master English Sheet'!I105 = "Flavored coffee (mocha, vanilla, caramel, etc.)", 6,
IF('Master English Sheet'!I105 = "Cold brew", 7,
IF('Master English Sheet'!I105 = "I don't drink coffee", 8,
IF('Master English Sheet'!I105 = "Other:", 9,
IF('Master English Sheet'!I105 ="", 10, ""))))))))))</f>
        <v>3</v>
      </c>
      <c r="I105" s="1">
        <f>IF('Master English Sheet'!K105="Daily", 1,
IF('Master English Sheet'!K105="Several times a week", 2,
IF('Master English Sheet'!K105="Once a week", 3,
IF('Master English Sheet'!K105 = "Rarely", 4,
IF('Master English Sheet'!K105 = "Never", 5, "")))))</f>
        <v>3</v>
      </c>
      <c r="J105" s="1">
        <f>IF('Master English Sheet'!L105="Usucha", 1,
IF('Master English Sheet'!L105="Koicha", 2,
IF('Master English Sheet'!L105="Matcha Latte", 3,
IF('Master English Sheet'!L105="I don’t drink matcha", 4,
IF('Master English Sheet'!L105 = "Other:", 5,
IF('Master English Sheet'!L105 ="", 6, ""))))))</f>
        <v>1</v>
      </c>
      <c r="K105" s="1">
        <f>IF('Parse of Qs'!A105="Taste/Flavor", 1,
IF('Parse of Qs'!A105="Price", 2,
IF('Parse of Qs'!A105="Energy boost/Caffeine", 3,
IF('Parse of Qs'!A105="Health benefits", 4,
IF('Parse of Qs'!A105 = "Social atmosphere", 5,
IF('Parse of Qs'!A105 ="Routine/Ritual", 6, 
IF('Parse of Qs'!A105 = "Branding/Imagery", 7,
IF('Parse of Qs'!A105 = "Social norms / influence (what people around me usually drink)", 8, 
IF('Parse of Qs'!A105 = "To try new things", 9,
IF('Parse of Qs'!A105 = "Other:", 10, 
IF('Parse of Qs'!A105 = "", 11, "")))))))))))</f>
        <v>6</v>
      </c>
      <c r="L105" s="1">
        <f>IF('Parse of Qs'!B105="Taste/Flavor", 1,
IF('Parse of Qs'!B105="Price", 2,
IF('Parse of Qs'!B105="Energy boost/Caffeine", 3,
IF('Parse of Qs'!B105="Health benefits", 4,
IF('Parse of Qs'!B105 = "Social atmosphere", 5,
IF('Parse of Qs'!B105 ="Routine/Ritual", 6, 
IF('Parse of Qs'!B105 = "Branding/Imagery", 7,
IF('Parse of Qs'!B105 = "Social norms / influence (what people around me usually drink)", 8, 
IF('Parse of Qs'!B105 = "To try new things", 9,
IF('Parse of Qs'!B105 = "Other:", 10, 
IF('Parse of Qs'!B105 = "", 11, "")))))))))))</f>
        <v>1</v>
      </c>
      <c r="M105" s="1">
        <f>IF('Parse of Qs'!C105="At cafés", 1,
IF('Parse of Qs'!C105="At home", 2,
IF('Parse of Qs'!C105="From convenience stores (7-Eleven, Lawson, etc.)", 3,
IF('Parse of Qs'!C105="From vending machines", 4,
IF('Parse of Qs'!C105 = "Other:", 5,
IF('Parse of Qs'!C105 = "", 6, ""))))))</f>
        <v>2</v>
      </c>
      <c r="N105" s="1">
        <f>IF('Parse of Qs'!D105="At cafés", 1,
IF('Parse of Qs'!D105="At home", 2,
IF('Parse of Qs'!D105="From convenience stores (7-Eleven, Lawson, etc.)", 3,
IF('Parse of Qs'!D105="From vending machines", 4,
IF('Parse of Qs'!D105 = "Other:", 5,
IF('Parse of Qs'!D105 = "", 6, ""))))))</f>
        <v>3</v>
      </c>
      <c r="O105" s="1">
        <f>IF('Parse of Qs'!E105="At cafés", 1,
IF('Parse of Qs'!E105="At home", 2,
IF('Parse of Qs'!E105="From convenience stores (7-Eleven, Lawson, etc.)", 3,
IF('Parse of Qs'!E105="From vending machines", 4,
IF('Parse of Qs'!E105 = "Other:", 5,
IF('Parse of Qs'!E105 = "", 6, ""))))))</f>
        <v>6</v>
      </c>
      <c r="P105" s="1">
        <f>IF('Parse of Qs'!F105="At cafés", 1,
IF('Parse of Qs'!F105="At home", 2,
IF('Parse of Qs'!F105="From convenience stores (7-Eleven, Lawson, etc.)", 3,
IF('Parse of Qs'!F105="From vending machines", 4,
IF('Parse of Qs'!F105 = "Other:", 5,
IF('Parse of Qs'!F105 = "", 6, ""))))))</f>
        <v>6</v>
      </c>
      <c r="Q105" s="1">
        <f>IF(OR('Master English Sheet'!R105="Every Day",'Master English Sheet'!R105="Daily"), 1,
IF('Master English Sheet'!R105="Several times a week", 2,
IF('Master English Sheet'!R105="Once a week", 3,
IF('Master English Sheet'!R105="A few times a month", 4,
IF('Master English Sheet'!R105="Rarely", 5,
IF('Master English Sheet'!R105="Never", 6, 
IF('Master English Sheet'!R105 = "", 7, "")))))))</f>
        <v>4</v>
      </c>
      <c r="R105" s="1">
        <f>IF('Master English Sheet'!S105="To relax or take a break", 1,
IF('Master English Sheet'!S105="To meet friends", 2,
IF('Master English Sheet'!S105="To study/work", 3,
IF('Master English Sheet'!S105="To try a new drink", 4,
IF('Master English Sheet'!S105="Out of habit", 5,
IF('Master English Sheet'!S105="Other:", 6, 
IF('Master English Sheet'!S105 = "", 7, "")))))))</f>
        <v>6</v>
      </c>
      <c r="S105" s="1">
        <f>IF('Master English Sheet'!U105="Quality of drinks", 1,
IF('Master English Sheet'!U105="Atmosphere", 2,
IF('Master English Sheet'!U105="Service", 3,
IF('Master English Sheet'!U105="Brand image", 4,
IF('Master English Sheet'!U105="Other:", 5, 
IF('Master English Sheet'!U105 = "", 6, ""))))))</f>
        <v>2</v>
      </c>
      <c r="T105" s="1">
        <f>IF('Master English Sheet'!W105="Yes, Western", 1,
IF('Master English Sheet'!W105="Yes, Global", 2,
IF('Master English Sheet'!W105="Yes,  Japanese", 3,
IF('Master English Sheet'!W105="No", 4,
IF('Master English Sheet'!W105="Unsure", 5, 
IF('Master English Sheet'!W105 = "", 6, ""))))))</f>
        <v>4</v>
      </c>
      <c r="U105" s="1">
        <f>IF('Master English Sheet'!X105="Yes, Western", 1,
IF('Master English Sheet'!X105="Yes, Global", 2,
IF('Master English Sheet'!X105="Yes,  Japanese", 3,
IF('Master English Sheet'!X105="No", 4,
IF('Master English Sheet'!X105="Unsure", 5, 
IF('Master English Sheet'!X105 = "", 6, ""))))))</f>
        <v>3</v>
      </c>
      <c r="V105" s="1">
        <f>'Master English Sheet'!Y105</f>
        <v>3</v>
      </c>
      <c r="W105" s="1">
        <f>'Master English Sheet'!Z105</f>
        <v>6</v>
      </c>
      <c r="X105" s="1">
        <f>'Master English Sheet'!AA105</f>
        <v>2</v>
      </c>
    </row>
    <row r="106">
      <c r="A106" s="6">
        <v>105.0</v>
      </c>
      <c r="B106" s="6">
        <v>1.0</v>
      </c>
      <c r="C106" s="1">
        <f>IF('Master English Sheet'!D106="18-25", 1,
IF('Master English Sheet'!D106="26-35", 2,
IF('Master English Sheet'!D106="36-45", 3,
IF('Master English Sheet'!D106="46-55", 4,
IF('Master English Sheet'!D106="56-65", 5,
IF('Master English Sheet'!D106="65+", 6, ""))))))</f>
        <v>4</v>
      </c>
      <c r="D106" s="1">
        <f>IF('Master English Sheet'!E106="Male", 1,
IF('Master English Sheet'!E106="Female", 2,
IF('Master English Sheet'!E106="Nonbinary", 3,
IF('Master English Sheet'!E106="Prefer not to say", 4, ""))))</f>
        <v>2</v>
      </c>
      <c r="E106" s="1">
        <f>IF('Master English Sheet'!F106="Under ¥3,000,000", 1,
IF('Master English Sheet'!F106="¥3,000,000 – ¥5,999,999", 2,
IF('Master English Sheet'!F106="¥6,000,000 – ¥8,999,999", 3,
IF('Master English Sheet'!F106="¥9,000,000 – ¥11,999,999", 4,
IF('Master English Sheet'!F106 = "¥12,000,000 or more", 5,
IF('Master English Sheet'!F106 = "Prefer not to say", 6, ""))))))</f>
        <v>5</v>
      </c>
      <c r="F106" s="1">
        <f>IF('Master English Sheet'!G106="Hokkaido", 1,
IF('Master English Sheet'!G106="Tohoku", 2,
IF('Master English Sheet'!G106="Kanto", 3,
IF('Master English Sheet'!G106="Chubu", 4,
IF('Master English Sheet'!G106 = "Kansai", 5,
IF('Master English Sheet'!G106 = "Chugoku", 6,
IF('Master English Sheet'!G106 = "Shikoku", 7,
IF('Master English Sheet'!G106 = "Kyushu", 8,
IF('Master English Sheet'!G106 = "Okinawa", 9, 
IF('Master English Sheet'!G106 = "I do not live in Japan", 10, ""))))))))))</f>
        <v>3</v>
      </c>
      <c r="G106" s="1">
        <f>IF('Master English Sheet'!H106="Daily", 1,
IF('Master English Sheet'!H106="Several times a week", 2,
IF('Master English Sheet'!H106="Once a week", 3,
IF('Master English Sheet'!H106 = "Rarely", 4,
IF('Master English Sheet'!H106 = "Never", 5, "")))))</f>
        <v>1</v>
      </c>
      <c r="H106" s="1">
        <f>IF('Master English Sheet'!I106="Pour Over", 1,
IF('Master English Sheet'!I106="Drip", 2,
IF('Master English Sheet'!I106="Latte", 3,
IF('Master English Sheet'!I106="Americano", 4,
IF('Master English Sheet'!I106 = "Cappuccino", 5,
IF('Master English Sheet'!I106 = "Flavored coffee (mocha, vanilla, caramel, etc.)", 6,
IF('Master English Sheet'!I106 = "Cold brew", 7,
IF('Master English Sheet'!I106 = "I don't drink coffee", 8,
IF('Master English Sheet'!I106 = "Other:", 9,
IF('Master English Sheet'!I106 ="", 10, ""))))))))))</f>
        <v>2</v>
      </c>
      <c r="I106" s="1">
        <f>IF('Master English Sheet'!K106="Daily", 1,
IF('Master English Sheet'!K106="Several times a week", 2,
IF('Master English Sheet'!K106="Once a week", 3,
IF('Master English Sheet'!K106 = "Rarely", 4,
IF('Master English Sheet'!K106 = "Never", 5, "")))))</f>
        <v>4</v>
      </c>
      <c r="J106" s="1">
        <f>IF('Master English Sheet'!L106="Usucha", 1,
IF('Master English Sheet'!L106="Koicha", 2,
IF('Master English Sheet'!L106="Matcha Latte", 3,
IF('Master English Sheet'!L106="I don’t drink matcha", 4,
IF('Master English Sheet'!L106 = "Other:", 5,
IF('Master English Sheet'!L106 ="", 6, ""))))))</f>
        <v>4</v>
      </c>
      <c r="K106" s="1">
        <f>IF('Parse of Qs'!A106="Taste/Flavor", 1,
IF('Parse of Qs'!A106="Price", 2,
IF('Parse of Qs'!A106="Energy boost/Caffeine", 3,
IF('Parse of Qs'!A106="Health benefits", 4,
IF('Parse of Qs'!A106 = "Social atmosphere", 5,
IF('Parse of Qs'!A106 ="Routine/Ritual", 6, 
IF('Parse of Qs'!A106 = "Branding/Imagery", 7,
IF('Parse of Qs'!A106 = "Social norms / influence (what people around me usually drink)", 8, 
IF('Parse of Qs'!A106 = "To try new things", 9,
IF('Parse of Qs'!A106 = "Other:", 10, 
IF('Parse of Qs'!A106 = "", 11, "")))))))))))</f>
        <v>1</v>
      </c>
      <c r="L106" s="1">
        <f>IF('Parse of Qs'!B106="Taste/Flavor", 1,
IF('Parse of Qs'!B106="Price", 2,
IF('Parse of Qs'!B106="Energy boost/Caffeine", 3,
IF('Parse of Qs'!B106="Health benefits", 4,
IF('Parse of Qs'!B106 = "Social atmosphere", 5,
IF('Parse of Qs'!B106 ="Routine/Ritual", 6, 
IF('Parse of Qs'!B106 = "Branding/Imagery", 7,
IF('Parse of Qs'!B106 = "Social norms / influence (what people around me usually drink)", 8, 
IF('Parse of Qs'!B106 = "To try new things", 9,
IF('Parse of Qs'!B106 = "Other:", 10, 
IF('Parse of Qs'!B106 = "", 11, "")))))))))))</f>
        <v>5</v>
      </c>
      <c r="M106" s="1">
        <f>IF('Parse of Qs'!C106="At cafés", 1,
IF('Parse of Qs'!C106="At home", 2,
IF('Parse of Qs'!C106="From convenience stores (7-Eleven, Lawson, etc.)", 3,
IF('Parse of Qs'!C106="From vending machines", 4,
IF('Parse of Qs'!C106 = "Other:", 5,
IF('Parse of Qs'!C106 = "", 6, ""))))))</f>
        <v>2</v>
      </c>
      <c r="N106" s="1">
        <f>IF('Parse of Qs'!D106="At cafés", 1,
IF('Parse of Qs'!D106="At home", 2,
IF('Parse of Qs'!D106="From convenience stores (7-Eleven, Lawson, etc.)", 3,
IF('Parse of Qs'!D106="From vending machines", 4,
IF('Parse of Qs'!D106 = "Other:", 5,
IF('Parse of Qs'!D106 = "", 6, ""))))))</f>
        <v>1</v>
      </c>
      <c r="O106" s="1">
        <f>IF('Parse of Qs'!E106="At cafés", 1,
IF('Parse of Qs'!E106="At home", 2,
IF('Parse of Qs'!E106="From convenience stores (7-Eleven, Lawson, etc.)", 3,
IF('Parse of Qs'!E106="From vending machines", 4,
IF('Parse of Qs'!E106 = "Other:", 5,
IF('Parse of Qs'!E106 = "", 6, ""))))))</f>
        <v>3</v>
      </c>
      <c r="P106" s="1">
        <f>IF('Parse of Qs'!F106="At cafés", 1,
IF('Parse of Qs'!F106="At home", 2,
IF('Parse of Qs'!F106="From convenience stores (7-Eleven, Lawson, etc.)", 3,
IF('Parse of Qs'!F106="From vending machines", 4,
IF('Parse of Qs'!F106 = "Other:", 5,
IF('Parse of Qs'!F106 = "", 6, ""))))))</f>
        <v>6</v>
      </c>
      <c r="Q106" s="1">
        <f>IF(OR('Master English Sheet'!R106="Every Day",'Master English Sheet'!R106="Daily"), 1,
IF('Master English Sheet'!R106="Several times a week", 2,
IF('Master English Sheet'!R106="Once a week", 3,
IF('Master English Sheet'!R106="A few times a month", 4,
IF('Master English Sheet'!R106="Rarely", 5,
IF('Master English Sheet'!R106="Never", 6, 
IF('Master English Sheet'!R106 = "", 7, "")))))))</f>
        <v>4</v>
      </c>
      <c r="R106" s="1">
        <f>IF('Master English Sheet'!S106="To relax or take a break", 1,
IF('Master English Sheet'!S106="To meet friends", 2,
IF('Master English Sheet'!S106="To study/work", 3,
IF('Master English Sheet'!S106="To try a new drink", 4,
IF('Master English Sheet'!S106="Out of habit", 5,
IF('Master English Sheet'!S106="Other:", 6, 
IF('Master English Sheet'!S106 = "", 7, "")))))))</f>
        <v>2</v>
      </c>
      <c r="S106" s="1">
        <f>IF('Master English Sheet'!U106="Quality of drinks", 1,
IF('Master English Sheet'!U106="Atmosphere", 2,
IF('Master English Sheet'!U106="Service", 3,
IF('Master English Sheet'!U106="Brand image", 4,
IF('Master English Sheet'!U106="Other:", 5, 
IF('Master English Sheet'!U106 = "", 6, ""))))))</f>
        <v>2</v>
      </c>
      <c r="T106" s="1">
        <f>IF('Master English Sheet'!W106="Yes, Western", 1,
IF('Master English Sheet'!W106="Yes, Global", 2,
IF('Master English Sheet'!W106="Yes,  Japanese", 3,
IF('Master English Sheet'!W106="No", 4,
IF('Master English Sheet'!W106="Unsure", 5, 
IF('Master English Sheet'!W106 = "", 6, ""))))))</f>
        <v>4</v>
      </c>
      <c r="U106" s="1">
        <f>IF('Master English Sheet'!X106="Yes, Western", 1,
IF('Master English Sheet'!X106="Yes, Global", 2,
IF('Master English Sheet'!X106="Yes,  Japanese", 3,
IF('Master English Sheet'!X106="No", 4,
IF('Master English Sheet'!X106="Unsure", 5, 
IF('Master English Sheet'!X106 = "", 6, ""))))))</f>
        <v>3</v>
      </c>
      <c r="V106" s="1">
        <f>'Master English Sheet'!Y106</f>
        <v>6</v>
      </c>
      <c r="W106" s="1">
        <f>'Master English Sheet'!Z106</f>
        <v>6</v>
      </c>
      <c r="X106" s="1">
        <f>'Master English Sheet'!AA106</f>
        <v>3</v>
      </c>
    </row>
    <row r="107">
      <c r="A107" s="6">
        <v>106.0</v>
      </c>
      <c r="B107" s="6">
        <v>1.0</v>
      </c>
      <c r="C107" s="1">
        <f>IF('Master English Sheet'!D107="18-25", 1,
IF('Master English Sheet'!D107="26-35", 2,
IF('Master English Sheet'!D107="36-45", 3,
IF('Master English Sheet'!D107="46-55", 4,
IF('Master English Sheet'!D107="56-65", 5,
IF('Master English Sheet'!D107="65+", 6, ""))))))</f>
        <v>3</v>
      </c>
      <c r="D107" s="1">
        <f>IF('Master English Sheet'!E107="Male", 1,
IF('Master English Sheet'!E107="Female", 2,
IF('Master English Sheet'!E107="Nonbinary", 3,
IF('Master English Sheet'!E107="Prefer not to say", 4, ""))))</f>
        <v>1</v>
      </c>
      <c r="E107" s="1">
        <f>IF('Master English Sheet'!F107="Under ¥3,000,000", 1,
IF('Master English Sheet'!F107="¥3,000,000 – ¥5,999,999", 2,
IF('Master English Sheet'!F107="¥6,000,000 – ¥8,999,999", 3,
IF('Master English Sheet'!F107="¥9,000,000 – ¥11,999,999", 4,
IF('Master English Sheet'!F107 = "¥12,000,000 or more", 5,
IF('Master English Sheet'!F107 = "Prefer not to say", 6, ""))))))</f>
        <v>5</v>
      </c>
      <c r="F107" s="1">
        <f>IF('Master English Sheet'!G107="Hokkaido", 1,
IF('Master English Sheet'!G107="Tohoku", 2,
IF('Master English Sheet'!G107="Kanto", 3,
IF('Master English Sheet'!G107="Chubu", 4,
IF('Master English Sheet'!G107 = "Kansai", 5,
IF('Master English Sheet'!G107 = "Chugoku", 6,
IF('Master English Sheet'!G107 = "Shikoku", 7,
IF('Master English Sheet'!G107 = "Kyushu", 8,
IF('Master English Sheet'!G107 = "Okinawa", 9, 
IF('Master English Sheet'!G107 = "I do not live in Japan", 10, ""))))))))))</f>
        <v>3</v>
      </c>
      <c r="G107" s="1">
        <f>IF('Master English Sheet'!H107="Daily", 1,
IF('Master English Sheet'!H107="Several times a week", 2,
IF('Master English Sheet'!H107="Once a week", 3,
IF('Master English Sheet'!H107 = "Rarely", 4,
IF('Master English Sheet'!H107 = "Never", 5, "")))))</f>
        <v>1</v>
      </c>
      <c r="H107" s="1">
        <f>IF('Master English Sheet'!I107="Pour Over", 1,
IF('Master English Sheet'!I107="Drip", 2,
IF('Master English Sheet'!I107="Latte", 3,
IF('Master English Sheet'!I107="Americano", 4,
IF('Master English Sheet'!I107 = "Cappuccino", 5,
IF('Master English Sheet'!I107 = "Flavored coffee (mocha, vanilla, caramel, etc.)", 6,
IF('Master English Sheet'!I107 = "Cold brew", 7,
IF('Master English Sheet'!I107 = "I don't drink coffee", 8,
IF('Master English Sheet'!I107 = "Other:", 9,
IF('Master English Sheet'!I107 ="", 10, ""))))))))))</f>
        <v>2</v>
      </c>
      <c r="I107" s="1">
        <f>IF('Master English Sheet'!K107="Daily", 1,
IF('Master English Sheet'!K107="Several times a week", 2,
IF('Master English Sheet'!K107="Once a week", 3,
IF('Master English Sheet'!K107 = "Rarely", 4,
IF('Master English Sheet'!K107 = "Never", 5, "")))))</f>
        <v>5</v>
      </c>
      <c r="J107" s="1">
        <f>IF('Master English Sheet'!L107="Usucha", 1,
IF('Master English Sheet'!L107="Koicha", 2,
IF('Master English Sheet'!L107="Matcha Latte", 3,
IF('Master English Sheet'!L107="I don’t drink matcha", 4,
IF('Master English Sheet'!L107 = "Other:", 5,
IF('Master English Sheet'!L107 ="", 6, ""))))))</f>
        <v>6</v>
      </c>
      <c r="K107" s="1">
        <f>IF('Parse of Qs'!A107="Taste/Flavor", 1,
IF('Parse of Qs'!A107="Price", 2,
IF('Parse of Qs'!A107="Energy boost/Caffeine", 3,
IF('Parse of Qs'!A107="Health benefits", 4,
IF('Parse of Qs'!A107 = "Social atmosphere", 5,
IF('Parse of Qs'!A107 ="Routine/Ritual", 6, 
IF('Parse of Qs'!A107 = "Branding/Imagery", 7,
IF('Parse of Qs'!A107 = "Social norms / influence (what people around me usually drink)", 8, 
IF('Parse of Qs'!A107 = "To try new things", 9,
IF('Parse of Qs'!A107 = "Other:", 10, 
IF('Parse of Qs'!A107 = "", 11, "")))))))))))</f>
        <v>6</v>
      </c>
      <c r="L107" s="1">
        <f>IF('Parse of Qs'!B107="Taste/Flavor", 1,
IF('Parse of Qs'!B107="Price", 2,
IF('Parse of Qs'!B107="Energy boost/Caffeine", 3,
IF('Parse of Qs'!B107="Health benefits", 4,
IF('Parse of Qs'!B107 = "Social atmosphere", 5,
IF('Parse of Qs'!B107 ="Routine/Ritual", 6, 
IF('Parse of Qs'!B107 = "Branding/Imagery", 7,
IF('Parse of Qs'!B107 = "Social norms / influence (what people around me usually drink)", 8, 
IF('Parse of Qs'!B107 = "To try new things", 9,
IF('Parse of Qs'!B107 = "Other:", 10, 
IF('Parse of Qs'!B107 = "", 11, "")))))))))))</f>
        <v>3</v>
      </c>
      <c r="M107" s="1">
        <f>IF('Parse of Qs'!C107="At cafés", 1,
IF('Parse of Qs'!C107="At home", 2,
IF('Parse of Qs'!C107="From convenience stores (7-Eleven, Lawson, etc.)", 3,
IF('Parse of Qs'!C107="From vending machines", 4,
IF('Parse of Qs'!C107 = "Other:", 5,
IF('Parse of Qs'!C107 = "", 6, ""))))))</f>
        <v>2</v>
      </c>
      <c r="N107" s="1">
        <f>IF('Parse of Qs'!D107="At cafés", 1,
IF('Parse of Qs'!D107="At home", 2,
IF('Parse of Qs'!D107="From convenience stores (7-Eleven, Lawson, etc.)", 3,
IF('Parse of Qs'!D107="From vending machines", 4,
IF('Parse of Qs'!D107 = "Other:", 5,
IF('Parse of Qs'!D107 = "", 6, ""))))))</f>
        <v>6</v>
      </c>
      <c r="O107" s="1">
        <f>IF('Parse of Qs'!E107="At cafés", 1,
IF('Parse of Qs'!E107="At home", 2,
IF('Parse of Qs'!E107="From convenience stores (7-Eleven, Lawson, etc.)", 3,
IF('Parse of Qs'!E107="From vending machines", 4,
IF('Parse of Qs'!E107 = "Other:", 5,
IF('Parse of Qs'!E107 = "", 6, ""))))))</f>
        <v>6</v>
      </c>
      <c r="P107" s="1">
        <f>IF('Parse of Qs'!F107="At cafés", 1,
IF('Parse of Qs'!F107="At home", 2,
IF('Parse of Qs'!F107="From convenience stores (7-Eleven, Lawson, etc.)", 3,
IF('Parse of Qs'!F107="From vending machines", 4,
IF('Parse of Qs'!F107 = "Other:", 5,
IF('Parse of Qs'!F107 = "", 6, ""))))))</f>
        <v>6</v>
      </c>
      <c r="Q107" s="1">
        <f>IF(OR('Master English Sheet'!R107="Every Day",'Master English Sheet'!R107="Daily"), 1,
IF('Master English Sheet'!R107="Several times a week", 2,
IF('Master English Sheet'!R107="Once a week", 3,
IF('Master English Sheet'!R107="A few times a month", 4,
IF('Master English Sheet'!R107="Rarely", 5,
IF('Master English Sheet'!R107="Never", 6, 
IF('Master English Sheet'!R107 = "", 7, "")))))))</f>
        <v>5</v>
      </c>
      <c r="R107" s="1">
        <f>IF('Master English Sheet'!S107="To relax or take a break", 1,
IF('Master English Sheet'!S107="To meet friends", 2,
IF('Master English Sheet'!S107="To study/work", 3,
IF('Master English Sheet'!S107="To try a new drink", 4,
IF('Master English Sheet'!S107="Out of habit", 5,
IF('Master English Sheet'!S107="Other:", 6, 
IF('Master English Sheet'!S107 = "", 7, "")))))))</f>
        <v>6</v>
      </c>
      <c r="S107" s="1">
        <f>IF('Master English Sheet'!U107="Quality of drinks", 1,
IF('Master English Sheet'!U107="Atmosphere", 2,
IF('Master English Sheet'!U107="Service", 3,
IF('Master English Sheet'!U107="Brand image", 4,
IF('Master English Sheet'!U107="Other:", 5, 
IF('Master English Sheet'!U107 = "", 6, ""))))))</f>
        <v>2</v>
      </c>
      <c r="T107" s="1">
        <f>IF('Master English Sheet'!W107="Yes, Western", 1,
IF('Master English Sheet'!W107="Yes, Global", 2,
IF('Master English Sheet'!W107="Yes,  Japanese", 3,
IF('Master English Sheet'!W107="No", 4,
IF('Master English Sheet'!W107="Unsure", 5, 
IF('Master English Sheet'!W107 = "", 6, ""))))))</f>
        <v>4</v>
      </c>
      <c r="U107" s="1">
        <f>IF('Master English Sheet'!X107="Yes, Western", 1,
IF('Master English Sheet'!X107="Yes, Global", 2,
IF('Master English Sheet'!X107="Yes,  Japanese", 3,
IF('Master English Sheet'!X107="No", 4,
IF('Master English Sheet'!X107="Unsure", 5, 
IF('Master English Sheet'!X107 = "", 6, ""))))))</f>
        <v>3</v>
      </c>
      <c r="V107" s="1">
        <f>'Master English Sheet'!Y107</f>
        <v>7</v>
      </c>
      <c r="W107" s="1">
        <f>'Master English Sheet'!Z107</f>
        <v>7</v>
      </c>
      <c r="X107" s="1">
        <f>'Master English Sheet'!AA107</f>
        <v>2</v>
      </c>
    </row>
    <row r="108">
      <c r="A108" s="6">
        <v>107.0</v>
      </c>
      <c r="B108" s="6">
        <v>1.0</v>
      </c>
      <c r="C108" s="1">
        <f>IF('Master English Sheet'!D108="18-25", 1,
IF('Master English Sheet'!D108="26-35", 2,
IF('Master English Sheet'!D108="36-45", 3,
IF('Master English Sheet'!D108="46-55", 4,
IF('Master English Sheet'!D108="56-65", 5,
IF('Master English Sheet'!D108="65+", 6, ""))))))</f>
        <v>3</v>
      </c>
      <c r="D108" s="1">
        <f>IF('Master English Sheet'!E108="Male", 1,
IF('Master English Sheet'!E108="Female", 2,
IF('Master English Sheet'!E108="Nonbinary", 3,
IF('Master English Sheet'!E108="Prefer not to say", 4, ""))))</f>
        <v>2</v>
      </c>
      <c r="E108" s="1">
        <f>IF('Master English Sheet'!F108="Under ¥3,000,000", 1,
IF('Master English Sheet'!F108="¥3,000,000 – ¥5,999,999", 2,
IF('Master English Sheet'!F108="¥6,000,000 – ¥8,999,999", 3,
IF('Master English Sheet'!F108="¥9,000,000 – ¥11,999,999", 4,
IF('Master English Sheet'!F108 = "¥12,000,000 or more", 5,
IF('Master English Sheet'!F108 = "Prefer not to say", 6, ""))))))</f>
        <v>5</v>
      </c>
      <c r="F108" s="1">
        <f>IF('Master English Sheet'!G108="Hokkaido", 1,
IF('Master English Sheet'!G108="Tohoku", 2,
IF('Master English Sheet'!G108="Kanto", 3,
IF('Master English Sheet'!G108="Chubu", 4,
IF('Master English Sheet'!G108 = "Kansai", 5,
IF('Master English Sheet'!G108 = "Chugoku", 6,
IF('Master English Sheet'!G108 = "Shikoku", 7,
IF('Master English Sheet'!G108 = "Kyushu", 8,
IF('Master English Sheet'!G108 = "Okinawa", 9, 
IF('Master English Sheet'!G108 = "I do not live in Japan", 10, ""))))))))))</f>
        <v>3</v>
      </c>
      <c r="G108" s="1">
        <f>IF('Master English Sheet'!H108="Daily", 1,
IF('Master English Sheet'!H108="Several times a week", 2,
IF('Master English Sheet'!H108="Once a week", 3,
IF('Master English Sheet'!H108 = "Rarely", 4,
IF('Master English Sheet'!H108 = "Never", 5, "")))))</f>
        <v>1</v>
      </c>
      <c r="H108" s="1">
        <f>IF('Master English Sheet'!I108="Pour Over", 1,
IF('Master English Sheet'!I108="Drip", 2,
IF('Master English Sheet'!I108="Latte", 3,
IF('Master English Sheet'!I108="Americano", 4,
IF('Master English Sheet'!I108 = "Cappuccino", 5,
IF('Master English Sheet'!I108 = "Flavored coffee (mocha, vanilla, caramel, etc.)", 6,
IF('Master English Sheet'!I108 = "Cold brew", 7,
IF('Master English Sheet'!I108 = "I don't drink coffee", 8,
IF('Master English Sheet'!I108 = "Other:", 9,
IF('Master English Sheet'!I108 ="", 10, ""))))))))))</f>
        <v>1</v>
      </c>
      <c r="I108" s="1">
        <f>IF('Master English Sheet'!K108="Daily", 1,
IF('Master English Sheet'!K108="Several times a week", 2,
IF('Master English Sheet'!K108="Once a week", 3,
IF('Master English Sheet'!K108 = "Rarely", 4,
IF('Master English Sheet'!K108 = "Never", 5, "")))))</f>
        <v>5</v>
      </c>
      <c r="J108" s="1">
        <f>IF('Master English Sheet'!L108="Usucha", 1,
IF('Master English Sheet'!L108="Koicha", 2,
IF('Master English Sheet'!L108="Matcha Latte", 3,
IF('Master English Sheet'!L108="I don’t drink matcha", 4,
IF('Master English Sheet'!L108 = "Other:", 5,
IF('Master English Sheet'!L108 ="", 6, ""))))))</f>
        <v>6</v>
      </c>
      <c r="K108" s="1">
        <f>IF('Parse of Qs'!A108="Taste/Flavor", 1,
IF('Parse of Qs'!A108="Price", 2,
IF('Parse of Qs'!A108="Energy boost/Caffeine", 3,
IF('Parse of Qs'!A108="Health benefits", 4,
IF('Parse of Qs'!A108 = "Social atmosphere", 5,
IF('Parse of Qs'!A108 ="Routine/Ritual", 6, 
IF('Parse of Qs'!A108 = "Branding/Imagery", 7,
IF('Parse of Qs'!A108 = "Social norms / influence (what people around me usually drink)", 8, 
IF('Parse of Qs'!A108 = "To try new things", 9,
IF('Parse of Qs'!A108 = "Other:", 10, 
IF('Parse of Qs'!A108 = "", 11, "")))))))))))</f>
        <v>1</v>
      </c>
      <c r="L108" s="1">
        <f>IF('Parse of Qs'!B108="Taste/Flavor", 1,
IF('Parse of Qs'!B108="Price", 2,
IF('Parse of Qs'!B108="Energy boost/Caffeine", 3,
IF('Parse of Qs'!B108="Health benefits", 4,
IF('Parse of Qs'!B108 = "Social atmosphere", 5,
IF('Parse of Qs'!B108 ="Routine/Ritual", 6, 
IF('Parse of Qs'!B108 = "Branding/Imagery", 7,
IF('Parse of Qs'!B108 = "Social norms / influence (what people around me usually drink)", 8, 
IF('Parse of Qs'!B108 = "To try new things", 9,
IF('Parse of Qs'!B108 = "Other:", 10, 
IF('Parse of Qs'!B108 = "", 11, "")))))))))))</f>
        <v>11</v>
      </c>
      <c r="M108" s="1">
        <f>IF('Parse of Qs'!C108="At cafés", 1,
IF('Parse of Qs'!C108="At home", 2,
IF('Parse of Qs'!C108="From convenience stores (7-Eleven, Lawson, etc.)", 3,
IF('Parse of Qs'!C108="From vending machines", 4,
IF('Parse of Qs'!C108 = "Other:", 5,
IF('Parse of Qs'!C108 = "", 6, ""))))))</f>
        <v>2</v>
      </c>
      <c r="N108" s="1">
        <f>IF('Parse of Qs'!D108="At cafés", 1,
IF('Parse of Qs'!D108="At home", 2,
IF('Parse of Qs'!D108="From convenience stores (7-Eleven, Lawson, etc.)", 3,
IF('Parse of Qs'!D108="From vending machines", 4,
IF('Parse of Qs'!D108 = "Other:", 5,
IF('Parse of Qs'!D108 = "", 6, ""))))))</f>
        <v>3</v>
      </c>
      <c r="O108" s="1">
        <f>IF('Parse of Qs'!E108="At cafés", 1,
IF('Parse of Qs'!E108="At home", 2,
IF('Parse of Qs'!E108="From convenience stores (7-Eleven, Lawson, etc.)", 3,
IF('Parse of Qs'!E108="From vending machines", 4,
IF('Parse of Qs'!E108 = "Other:", 5,
IF('Parse of Qs'!E108 = "", 6, ""))))))</f>
        <v>6</v>
      </c>
      <c r="P108" s="1">
        <f>IF('Parse of Qs'!F108="At cafés", 1,
IF('Parse of Qs'!F108="At home", 2,
IF('Parse of Qs'!F108="From convenience stores (7-Eleven, Lawson, etc.)", 3,
IF('Parse of Qs'!F108="From vending machines", 4,
IF('Parse of Qs'!F108 = "Other:", 5,
IF('Parse of Qs'!F108 = "", 6, ""))))))</f>
        <v>6</v>
      </c>
      <c r="Q108" s="1">
        <f>IF(OR('Master English Sheet'!R108="Every Day",'Master English Sheet'!R108="Daily"), 1,
IF('Master English Sheet'!R108="Several times a week", 2,
IF('Master English Sheet'!R108="Once a week", 3,
IF('Master English Sheet'!R108="A few times a month", 4,
IF('Master English Sheet'!R108="Rarely", 5,
IF('Master English Sheet'!R108="Never", 6, 
IF('Master English Sheet'!R108 = "", 7, "")))))))</f>
        <v>4</v>
      </c>
      <c r="R108" s="1">
        <f>IF('Master English Sheet'!S108="To relax or take a break", 1,
IF('Master English Sheet'!S108="To meet friends", 2,
IF('Master English Sheet'!S108="To study/work", 3,
IF('Master English Sheet'!S108="To try a new drink", 4,
IF('Master English Sheet'!S108="Out of habit", 5,
IF('Master English Sheet'!S108="Other:", 6, 
IF('Master English Sheet'!S108 = "", 7, "")))))))</f>
        <v>1</v>
      </c>
      <c r="S108" s="1">
        <f>IF('Master English Sheet'!U108="Quality of drinks", 1,
IF('Master English Sheet'!U108="Atmosphere", 2,
IF('Master English Sheet'!U108="Service", 3,
IF('Master English Sheet'!U108="Brand image", 4,
IF('Master English Sheet'!U108="Other:", 5, 
IF('Master English Sheet'!U108 = "", 6, ""))))))</f>
        <v>2</v>
      </c>
      <c r="T108" s="1">
        <f>IF('Master English Sheet'!W108="Yes, Western", 1,
IF('Master English Sheet'!W108="Yes, Global", 2,
IF('Master English Sheet'!W108="Yes,  Japanese", 3,
IF('Master English Sheet'!W108="No", 4,
IF('Master English Sheet'!W108="Unsure", 5, 
IF('Master English Sheet'!W108 = "", 6, ""))))))</f>
        <v>5</v>
      </c>
      <c r="U108" s="1">
        <f>IF('Master English Sheet'!X108="Yes, Western", 1,
IF('Master English Sheet'!X108="Yes, Global", 2,
IF('Master English Sheet'!X108="Yes,  Japanese", 3,
IF('Master English Sheet'!X108="No", 4,
IF('Master English Sheet'!X108="Unsure", 5, 
IF('Master English Sheet'!X108 = "", 6, ""))))))</f>
        <v>3</v>
      </c>
      <c r="V108" s="1">
        <f>'Master English Sheet'!Y108</f>
        <v>4</v>
      </c>
      <c r="W108" s="1">
        <f>'Master English Sheet'!Z108</f>
        <v>6</v>
      </c>
      <c r="X108" s="1">
        <f>'Master English Sheet'!AA108</f>
        <v>5</v>
      </c>
    </row>
    <row r="109">
      <c r="A109" s="6">
        <v>108.0</v>
      </c>
      <c r="B109" s="6">
        <v>1.0</v>
      </c>
      <c r="C109" s="1">
        <f>IF('Master English Sheet'!D109="18-25", 1,
IF('Master English Sheet'!D109="26-35", 2,
IF('Master English Sheet'!D109="36-45", 3,
IF('Master English Sheet'!D109="46-55", 4,
IF('Master English Sheet'!D109="56-65", 5,
IF('Master English Sheet'!D109="65+", 6, ""))))))</f>
        <v>1</v>
      </c>
      <c r="D109" s="1">
        <f>IF('Master English Sheet'!E109="Male", 1,
IF('Master English Sheet'!E109="Female", 2,
IF('Master English Sheet'!E109="Nonbinary", 3,
IF('Master English Sheet'!E109="Prefer not to say", 4, ""))))</f>
        <v>1</v>
      </c>
      <c r="E109" s="1">
        <f>IF('Master English Sheet'!F109="Under ¥3,000,000", 1,
IF('Master English Sheet'!F109="¥3,000,000 – ¥5,999,999", 2,
IF('Master English Sheet'!F109="¥6,000,000 – ¥8,999,999", 3,
IF('Master English Sheet'!F109="¥9,000,000 – ¥11,999,999", 4,
IF('Master English Sheet'!F109 = "¥12,000,000 or more", 5,
IF('Master English Sheet'!F109 = "Prefer not to say", 6, ""))))))</f>
        <v>3</v>
      </c>
      <c r="F109" s="1">
        <f>IF('Master English Sheet'!G109="Hokkaido", 1,
IF('Master English Sheet'!G109="Tohoku", 2,
IF('Master English Sheet'!G109="Kanto", 3,
IF('Master English Sheet'!G109="Chubu", 4,
IF('Master English Sheet'!G109 = "Kansai", 5,
IF('Master English Sheet'!G109 = "Chugoku", 6,
IF('Master English Sheet'!G109 = "Shikoku", 7,
IF('Master English Sheet'!G109 = "Kyushu", 8,
IF('Master English Sheet'!G109 = "Okinawa", 9, 
IF('Master English Sheet'!G109 = "I do not live in Japan", 10, ""))))))))))</f>
        <v>3</v>
      </c>
      <c r="G109" s="1">
        <f>IF('Master English Sheet'!H109="Daily", 1,
IF('Master English Sheet'!H109="Several times a week", 2,
IF('Master English Sheet'!H109="Once a week", 3,
IF('Master English Sheet'!H109 = "Rarely", 4,
IF('Master English Sheet'!H109 = "Never", 5, "")))))</f>
        <v>1</v>
      </c>
      <c r="H109" s="1">
        <f>IF('Master English Sheet'!I109="Pour Over", 1,
IF('Master English Sheet'!I109="Drip", 2,
IF('Master English Sheet'!I109="Latte", 3,
IF('Master English Sheet'!I109="Americano", 4,
IF('Master English Sheet'!I109 = "Cappuccino", 5,
IF('Master English Sheet'!I109 = "Flavored coffee (mocha, vanilla, caramel, etc.)", 6,
IF('Master English Sheet'!I109 = "Cold brew", 7,
IF('Master English Sheet'!I109 = "I don't drink coffee", 8,
IF('Master English Sheet'!I109 = "Other:", 9,
IF('Master English Sheet'!I109 ="", 10, ""))))))))))</f>
        <v>2</v>
      </c>
      <c r="I109" s="1">
        <f>IF('Master English Sheet'!K109="Daily", 1,
IF('Master English Sheet'!K109="Several times a week", 2,
IF('Master English Sheet'!K109="Once a week", 3,
IF('Master English Sheet'!K109 = "Rarely", 4,
IF('Master English Sheet'!K109 = "Never", 5, "")))))</f>
        <v>4</v>
      </c>
      <c r="J109" s="1">
        <f>IF('Master English Sheet'!L109="Usucha", 1,
IF('Master English Sheet'!L109="Koicha", 2,
IF('Master English Sheet'!L109="Matcha Latte", 3,
IF('Master English Sheet'!L109="I don’t drink matcha", 4,
IF('Master English Sheet'!L109 = "Other:", 5,
IF('Master English Sheet'!L109 ="", 6, ""))))))</f>
        <v>4</v>
      </c>
      <c r="K109" s="1">
        <f>IF('Parse of Qs'!A109="Taste/Flavor", 1,
IF('Parse of Qs'!A109="Price", 2,
IF('Parse of Qs'!A109="Energy boost/Caffeine", 3,
IF('Parse of Qs'!A109="Health benefits", 4,
IF('Parse of Qs'!A109 = "Social atmosphere", 5,
IF('Parse of Qs'!A109 ="Routine/Ritual", 6, 
IF('Parse of Qs'!A109 = "Branding/Imagery", 7,
IF('Parse of Qs'!A109 = "Social norms / influence (what people around me usually drink)", 8, 
IF('Parse of Qs'!A109 = "To try new things", 9,
IF('Parse of Qs'!A109 = "Other:", 10, 
IF('Parse of Qs'!A109 = "", 11, "")))))))))))</f>
        <v>10</v>
      </c>
      <c r="L109" s="1">
        <f>IF('Parse of Qs'!B109="Taste/Flavor", 1,
IF('Parse of Qs'!B109="Price", 2,
IF('Parse of Qs'!B109="Energy boost/Caffeine", 3,
IF('Parse of Qs'!B109="Health benefits", 4,
IF('Parse of Qs'!B109 = "Social atmosphere", 5,
IF('Parse of Qs'!B109 ="Routine/Ritual", 6, 
IF('Parse of Qs'!B109 = "Branding/Imagery", 7,
IF('Parse of Qs'!B109 = "Social norms / influence (what people around me usually drink)", 8, 
IF('Parse of Qs'!B109 = "To try new things", 9,
IF('Parse of Qs'!B109 = "Other:", 10, 
IF('Parse of Qs'!B109 = "", 11, "")))))))))))</f>
        <v>11</v>
      </c>
      <c r="M109" s="1">
        <f>IF('Parse of Qs'!C109="At cafés", 1,
IF('Parse of Qs'!C109="At home", 2,
IF('Parse of Qs'!C109="From convenience stores (7-Eleven, Lawson, etc.)", 3,
IF('Parse of Qs'!C109="From vending machines", 4,
IF('Parse of Qs'!C109 = "Other:", 5,
IF('Parse of Qs'!C109 = "", 6, ""))))))</f>
        <v>6</v>
      </c>
      <c r="N109" s="1">
        <f>IF('Parse of Qs'!D109="At cafés", 1,
IF('Parse of Qs'!D109="At home", 2,
IF('Parse of Qs'!D109="From convenience stores (7-Eleven, Lawson, etc.)", 3,
IF('Parse of Qs'!D109="From vending machines", 4,
IF('Parse of Qs'!D109 = "Other:", 5,
IF('Parse of Qs'!D109 = "", 6, ""))))))</f>
        <v>6</v>
      </c>
      <c r="O109" s="1">
        <f>IF('Parse of Qs'!E109="At cafés", 1,
IF('Parse of Qs'!E109="At home", 2,
IF('Parse of Qs'!E109="From convenience stores (7-Eleven, Lawson, etc.)", 3,
IF('Parse of Qs'!E109="From vending machines", 4,
IF('Parse of Qs'!E109 = "Other:", 5,
IF('Parse of Qs'!E109 = "", 6, ""))))))</f>
        <v>6</v>
      </c>
      <c r="P109" s="1">
        <f>IF('Parse of Qs'!F109="At cafés", 1,
IF('Parse of Qs'!F109="At home", 2,
IF('Parse of Qs'!F109="From convenience stores (7-Eleven, Lawson, etc.)", 3,
IF('Parse of Qs'!F109="From vending machines", 4,
IF('Parse of Qs'!F109 = "Other:", 5,
IF('Parse of Qs'!F109 = "", 6, ""))))))</f>
        <v>6</v>
      </c>
      <c r="Q109" s="1">
        <f>IF(OR('Master English Sheet'!R109="Every Day",'Master English Sheet'!R109="Daily"), 1,
IF('Master English Sheet'!R109="Several times a week", 2,
IF('Master English Sheet'!R109="Once a week", 3,
IF('Master English Sheet'!R109="A few times a month", 4,
IF('Master English Sheet'!R109="Rarely", 5,
IF('Master English Sheet'!R109="Never", 6, 
IF('Master English Sheet'!R109 = "", 7, "")))))))</f>
        <v>4</v>
      </c>
      <c r="R109" s="1">
        <f>IF('Master English Sheet'!S109="To relax or take a break", 1,
IF('Master English Sheet'!S109="To meet friends", 2,
IF('Master English Sheet'!S109="To study/work", 3,
IF('Master English Sheet'!S109="To try a new drink", 4,
IF('Master English Sheet'!S109="Out of habit", 5,
IF('Master English Sheet'!S109="Other:", 6, 
IF('Master English Sheet'!S109 = "", 7, "")))))))</f>
        <v>2</v>
      </c>
      <c r="S109" s="1">
        <f>IF('Master English Sheet'!U109="Quality of drinks", 1,
IF('Master English Sheet'!U109="Atmosphere", 2,
IF('Master English Sheet'!U109="Service", 3,
IF('Master English Sheet'!U109="Brand image", 4,
IF('Master English Sheet'!U109="Other:", 5, 
IF('Master English Sheet'!U109 = "", 6, ""))))))</f>
        <v>2</v>
      </c>
      <c r="T109" s="1">
        <f>IF('Master English Sheet'!W109="Yes, Western", 1,
IF('Master English Sheet'!W109="Yes, Global", 2,
IF('Master English Sheet'!W109="Yes,  Japanese", 3,
IF('Master English Sheet'!W109="No", 4,
IF('Master English Sheet'!W109="Unsure", 5, 
IF('Master English Sheet'!W109 = "", 6, ""))))))</f>
        <v>4</v>
      </c>
      <c r="U109" s="1">
        <f>IF('Master English Sheet'!X109="Yes, Western", 1,
IF('Master English Sheet'!X109="Yes, Global", 2,
IF('Master English Sheet'!X109="Yes,  Japanese", 3,
IF('Master English Sheet'!X109="No", 4,
IF('Master English Sheet'!X109="Unsure", 5, 
IF('Master English Sheet'!X109 = "", 6, ""))))))</f>
        <v>3</v>
      </c>
      <c r="V109" s="1">
        <f>'Master English Sheet'!Y109</f>
        <v>6</v>
      </c>
      <c r="W109" s="1">
        <f>'Master English Sheet'!Z109</f>
        <v>6</v>
      </c>
      <c r="X109" s="1">
        <f>'Master English Sheet'!AA109</f>
        <v>4</v>
      </c>
    </row>
    <row r="110">
      <c r="A110" s="6">
        <v>109.0</v>
      </c>
      <c r="B110" s="6">
        <v>1.0</v>
      </c>
      <c r="C110" s="1">
        <f>IF('Master English Sheet'!D110="18-25", 1,
IF('Master English Sheet'!D110="26-35", 2,
IF('Master English Sheet'!D110="36-45", 3,
IF('Master English Sheet'!D110="46-55", 4,
IF('Master English Sheet'!D110="56-65", 5,
IF('Master English Sheet'!D110="65+", 6, ""))))))</f>
        <v>6</v>
      </c>
      <c r="D110" s="1">
        <f>IF('Master English Sheet'!E110="Male", 1,
IF('Master English Sheet'!E110="Female", 2,
IF('Master English Sheet'!E110="Nonbinary", 3,
IF('Master English Sheet'!E110="Prefer not to say", 4, ""))))</f>
        <v>1</v>
      </c>
      <c r="E110" s="1">
        <f>IF('Master English Sheet'!F110="Under ¥3,000,000", 1,
IF('Master English Sheet'!F110="¥3,000,000 – ¥5,999,999", 2,
IF('Master English Sheet'!F110="¥6,000,000 – ¥8,999,999", 3,
IF('Master English Sheet'!F110="¥9,000,000 – ¥11,999,999", 4,
IF('Master English Sheet'!F110 = "¥12,000,000 or more", 5,
IF('Master English Sheet'!F110 = "Prefer not to say", 6, ""))))))</f>
        <v>5</v>
      </c>
      <c r="F110" s="1">
        <f>IF('Master English Sheet'!G110="Hokkaido", 1,
IF('Master English Sheet'!G110="Tohoku", 2,
IF('Master English Sheet'!G110="Kanto", 3,
IF('Master English Sheet'!G110="Chubu", 4,
IF('Master English Sheet'!G110 = "Kansai", 5,
IF('Master English Sheet'!G110 = "Chugoku", 6,
IF('Master English Sheet'!G110 = "Shikoku", 7,
IF('Master English Sheet'!G110 = "Kyushu", 8,
IF('Master English Sheet'!G110 = "Okinawa", 9, 
IF('Master English Sheet'!G110 = "I do not live in Japan", 10, ""))))))))))</f>
        <v>3</v>
      </c>
      <c r="G110" s="1">
        <f>IF('Master English Sheet'!H110="Daily", 1,
IF('Master English Sheet'!H110="Several times a week", 2,
IF('Master English Sheet'!H110="Once a week", 3,
IF('Master English Sheet'!H110 = "Rarely", 4,
IF('Master English Sheet'!H110 = "Never", 5, "")))))</f>
        <v>4</v>
      </c>
      <c r="H110" s="1">
        <f>IF('Master English Sheet'!I110="Pour Over", 1,
IF('Master English Sheet'!I110="Drip", 2,
IF('Master English Sheet'!I110="Latte", 3,
IF('Master English Sheet'!I110="Americano", 4,
IF('Master English Sheet'!I110 = "Cappuccino", 5,
IF('Master English Sheet'!I110 = "Flavored coffee (mocha, vanilla, caramel, etc.)", 6,
IF('Master English Sheet'!I110 = "Cold brew", 7,
IF('Master English Sheet'!I110 = "I don't drink coffee", 8,
IF('Master English Sheet'!I110 = "Other:", 9,
IF('Master English Sheet'!I110 ="", 10, ""))))))))))</f>
        <v>8</v>
      </c>
      <c r="I110" s="1">
        <f>IF('Master English Sheet'!K110="Daily", 1,
IF('Master English Sheet'!K110="Several times a week", 2,
IF('Master English Sheet'!K110="Once a week", 3,
IF('Master English Sheet'!K110 = "Rarely", 4,
IF('Master English Sheet'!K110 = "Never", 5, "")))))</f>
        <v>4</v>
      </c>
      <c r="J110" s="1">
        <f>IF('Master English Sheet'!L110="Usucha", 1,
IF('Master English Sheet'!L110="Koicha", 2,
IF('Master English Sheet'!L110="Matcha Latte", 3,
IF('Master English Sheet'!L110="I don’t drink matcha", 4,
IF('Master English Sheet'!L110 = "Other:", 5,
IF('Master English Sheet'!L110 ="", 6, ""))))))</f>
        <v>4</v>
      </c>
      <c r="K110" s="1">
        <f>IF('Parse of Qs'!A110="Taste/Flavor", 1,
IF('Parse of Qs'!A110="Price", 2,
IF('Parse of Qs'!A110="Energy boost/Caffeine", 3,
IF('Parse of Qs'!A110="Health benefits", 4,
IF('Parse of Qs'!A110 = "Social atmosphere", 5,
IF('Parse of Qs'!A110 ="Routine/Ritual", 6, 
IF('Parse of Qs'!A110 = "Branding/Imagery", 7,
IF('Parse of Qs'!A110 = "Social norms / influence (what people around me usually drink)", 8, 
IF('Parse of Qs'!A110 = "To try new things", 9,
IF('Parse of Qs'!A110 = "Other:", 10, 
IF('Parse of Qs'!A110 = "", 11, "")))))))))))</f>
        <v>1</v>
      </c>
      <c r="L110" s="1">
        <f>IF('Parse of Qs'!B110="Taste/Flavor", 1,
IF('Parse of Qs'!B110="Price", 2,
IF('Parse of Qs'!B110="Energy boost/Caffeine", 3,
IF('Parse of Qs'!B110="Health benefits", 4,
IF('Parse of Qs'!B110 = "Social atmosphere", 5,
IF('Parse of Qs'!B110 ="Routine/Ritual", 6, 
IF('Parse of Qs'!B110 = "Branding/Imagery", 7,
IF('Parse of Qs'!B110 = "Social norms / influence (what people around me usually drink)", 8, 
IF('Parse of Qs'!B110 = "To try new things", 9,
IF('Parse of Qs'!B110 = "Other:", 10, 
IF('Parse of Qs'!B110 = "", 11, "")))))))))))</f>
        <v>11</v>
      </c>
      <c r="M110" s="1">
        <f>IF('Parse of Qs'!C110="At cafés", 1,
IF('Parse of Qs'!C110="At home", 2,
IF('Parse of Qs'!C110="From convenience stores (7-Eleven, Lawson, etc.)", 3,
IF('Parse of Qs'!C110="From vending machines", 4,
IF('Parse of Qs'!C110 = "Other:", 5,
IF('Parse of Qs'!C110 = "", 6, ""))))))</f>
        <v>2</v>
      </c>
      <c r="N110" s="1">
        <f>IF('Parse of Qs'!D110="At cafés", 1,
IF('Parse of Qs'!D110="At home", 2,
IF('Parse of Qs'!D110="From convenience stores (7-Eleven, Lawson, etc.)", 3,
IF('Parse of Qs'!D110="From vending machines", 4,
IF('Parse of Qs'!D110 = "Other:", 5,
IF('Parse of Qs'!D110 = "", 6, ""))))))</f>
        <v>6</v>
      </c>
      <c r="O110" s="1">
        <f>IF('Parse of Qs'!E110="At cafés", 1,
IF('Parse of Qs'!E110="At home", 2,
IF('Parse of Qs'!E110="From convenience stores (7-Eleven, Lawson, etc.)", 3,
IF('Parse of Qs'!E110="From vending machines", 4,
IF('Parse of Qs'!E110 = "Other:", 5,
IF('Parse of Qs'!E110 = "", 6, ""))))))</f>
        <v>6</v>
      </c>
      <c r="P110" s="1">
        <f>IF('Parse of Qs'!F110="At cafés", 1,
IF('Parse of Qs'!F110="At home", 2,
IF('Parse of Qs'!F110="From convenience stores (7-Eleven, Lawson, etc.)", 3,
IF('Parse of Qs'!F110="From vending machines", 4,
IF('Parse of Qs'!F110 = "Other:", 5,
IF('Parse of Qs'!F110 = "", 6, ""))))))</f>
        <v>6</v>
      </c>
      <c r="Q110" s="1">
        <f>IF(OR('Master English Sheet'!R110="Every Day",'Master English Sheet'!R110="Daily"), 1,
IF('Master English Sheet'!R110="Several times a week", 2,
IF('Master English Sheet'!R110="Once a week", 3,
IF('Master English Sheet'!R110="A few times a month", 4,
IF('Master English Sheet'!R110="Rarely", 5,
IF('Master English Sheet'!R110="Never", 6, 
IF('Master English Sheet'!R110 = "", 7, "")))))))</f>
        <v>5</v>
      </c>
      <c r="R110" s="1">
        <f>IF('Master English Sheet'!S110="To relax or take a break", 1,
IF('Master English Sheet'!S110="To meet friends", 2,
IF('Master English Sheet'!S110="To study/work", 3,
IF('Master English Sheet'!S110="To try a new drink", 4,
IF('Master English Sheet'!S110="Out of habit", 5,
IF('Master English Sheet'!S110="Other:", 6, 
IF('Master English Sheet'!S110 = "", 7, "")))))))</f>
        <v>7</v>
      </c>
      <c r="S110" s="1">
        <f>IF('Master English Sheet'!U110="Quality of drinks", 1,
IF('Master English Sheet'!U110="Atmosphere", 2,
IF('Master English Sheet'!U110="Service", 3,
IF('Master English Sheet'!U110="Brand image", 4,
IF('Master English Sheet'!U110="Other:", 5, 
IF('Master English Sheet'!U110 = "", 6, ""))))))</f>
        <v>1</v>
      </c>
      <c r="T110" s="1">
        <f>IF('Master English Sheet'!W110="Yes, Western", 1,
IF('Master English Sheet'!W110="Yes, Global", 2,
IF('Master English Sheet'!W110="Yes,  Japanese", 3,
IF('Master English Sheet'!W110="No", 4,
IF('Master English Sheet'!W110="Unsure", 5, 
IF('Master English Sheet'!W110 = "", 6, ""))))))</f>
        <v>4</v>
      </c>
      <c r="U110" s="1">
        <f>IF('Master English Sheet'!X110="Yes, Western", 1,
IF('Master English Sheet'!X110="Yes, Global", 2,
IF('Master English Sheet'!X110="Yes,  Japanese", 3,
IF('Master English Sheet'!X110="No", 4,
IF('Master English Sheet'!X110="Unsure", 5, 
IF('Master English Sheet'!X110 = "", 6, ""))))))</f>
        <v>3</v>
      </c>
      <c r="V110" s="1">
        <f>'Master English Sheet'!Y110</f>
        <v>7</v>
      </c>
      <c r="W110" s="1">
        <f>'Master English Sheet'!Z110</f>
        <v>2</v>
      </c>
      <c r="X110" s="1">
        <f>'Master English Sheet'!AA110</f>
        <v>5</v>
      </c>
    </row>
  </sheetData>
  <drawing r:id="rId1"/>
</worksheet>
</file>